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VETOR - excell\"/>
    </mc:Choice>
  </mc:AlternateContent>
  <xr:revisionPtr revIDLastSave="0" documentId="8_{83090322-F54E-488C-A017-3BE4AC2FD53A}" xr6:coauthVersionLast="47" xr6:coauthVersionMax="47" xr10:uidLastSave="{00000000-0000-0000-0000-000000000000}"/>
  <bookViews>
    <workbookView xWindow="-120" yWindow="-120" windowWidth="20730" windowHeight="11160" xr2:uid="{00000000-000D-0000-FFFF-FFFF00000000}"/>
  </bookViews>
  <sheets>
    <sheet name="Anexo III"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7" roundtripDataChecksum="BTNs5qHXNt/IV4jI/LtLfkzrEMQRyaFPrmvm1JUpdgw="/>
    </ext>
  </extLst>
</workbook>
</file>

<file path=xl/calcChain.xml><?xml version="1.0" encoding="utf-8"?>
<calcChain xmlns="http://schemas.openxmlformats.org/spreadsheetml/2006/main">
  <c r="C90" i="1" l="1"/>
  <c r="J73" i="1"/>
  <c r="I73" i="1"/>
  <c r="H73" i="1"/>
  <c r="H11" i="1"/>
  <c r="I11" i="1"/>
  <c r="J11" i="1"/>
  <c r="H12" i="1"/>
  <c r="I12" i="1"/>
  <c r="J12" i="1"/>
  <c r="H13" i="1"/>
  <c r="I13" i="1"/>
  <c r="J13" i="1"/>
  <c r="H15" i="1"/>
  <c r="I15" i="1"/>
  <c r="J15" i="1"/>
  <c r="H16" i="1"/>
  <c r="I16" i="1"/>
  <c r="J16" i="1"/>
  <c r="H17" i="1"/>
  <c r="I17" i="1"/>
  <c r="J17" i="1"/>
  <c r="H18" i="1"/>
  <c r="I18" i="1"/>
  <c r="J18" i="1"/>
  <c r="H19" i="1"/>
  <c r="I19" i="1"/>
  <c r="J19" i="1"/>
  <c r="H20" i="1"/>
  <c r="I20" i="1"/>
  <c r="J20" i="1"/>
  <c r="H21" i="1"/>
  <c r="I21" i="1"/>
  <c r="J21" i="1"/>
  <c r="H22" i="1"/>
  <c r="I22" i="1"/>
  <c r="J22" i="1"/>
  <c r="H23" i="1"/>
  <c r="I23" i="1"/>
  <c r="J23" i="1"/>
  <c r="H25" i="1"/>
  <c r="I25" i="1"/>
  <c r="J25" i="1"/>
  <c r="H27" i="1"/>
  <c r="I27" i="1"/>
  <c r="J27" i="1"/>
  <c r="H28" i="1"/>
  <c r="I28" i="1"/>
  <c r="J28" i="1"/>
  <c r="H29" i="1"/>
  <c r="I29" i="1"/>
  <c r="J29" i="1"/>
  <c r="H30" i="1"/>
  <c r="I30" i="1"/>
  <c r="J30" i="1"/>
  <c r="H31" i="1"/>
  <c r="I31" i="1"/>
  <c r="J31" i="1"/>
  <c r="H32" i="1"/>
  <c r="I32" i="1"/>
  <c r="J32" i="1"/>
  <c r="H33" i="1"/>
  <c r="I33" i="1"/>
  <c r="J33" i="1"/>
  <c r="H34" i="1"/>
  <c r="I34" i="1"/>
  <c r="J34" i="1"/>
  <c r="H35" i="1"/>
  <c r="I35" i="1"/>
  <c r="J35" i="1"/>
  <c r="K35" i="1" s="1"/>
  <c r="H36" i="1"/>
  <c r="I36" i="1"/>
  <c r="J36" i="1"/>
  <c r="H37" i="1"/>
  <c r="I37" i="1"/>
  <c r="J37" i="1"/>
  <c r="H38" i="1"/>
  <c r="I38" i="1"/>
  <c r="J38" i="1"/>
  <c r="H39" i="1"/>
  <c r="I39" i="1"/>
  <c r="J39" i="1"/>
  <c r="H40" i="1"/>
  <c r="I40" i="1"/>
  <c r="J40" i="1"/>
  <c r="H41" i="1"/>
  <c r="I41" i="1"/>
  <c r="J41" i="1"/>
  <c r="H42" i="1"/>
  <c r="I42" i="1"/>
  <c r="J42" i="1"/>
  <c r="H43" i="1"/>
  <c r="I43" i="1"/>
  <c r="J43" i="1"/>
  <c r="H44" i="1"/>
  <c r="I44" i="1"/>
  <c r="J44" i="1"/>
  <c r="H45" i="1"/>
  <c r="I45" i="1"/>
  <c r="J45" i="1"/>
  <c r="H46" i="1"/>
  <c r="I46" i="1"/>
  <c r="J46" i="1"/>
  <c r="H47" i="1"/>
  <c r="I47" i="1"/>
  <c r="J47" i="1"/>
  <c r="H49" i="1"/>
  <c r="I49" i="1"/>
  <c r="J49" i="1"/>
  <c r="H50" i="1"/>
  <c r="I50" i="1"/>
  <c r="J50" i="1"/>
  <c r="H51" i="1"/>
  <c r="I51" i="1"/>
  <c r="J51" i="1"/>
  <c r="H52" i="1"/>
  <c r="I52" i="1"/>
  <c r="J52" i="1"/>
  <c r="H53" i="1"/>
  <c r="I53" i="1"/>
  <c r="J53" i="1"/>
  <c r="H55" i="1"/>
  <c r="I55" i="1"/>
  <c r="J55" i="1"/>
  <c r="H57" i="1"/>
  <c r="I57" i="1"/>
  <c r="J57" i="1"/>
  <c r="H58" i="1"/>
  <c r="I58" i="1"/>
  <c r="J58" i="1"/>
  <c r="H59" i="1"/>
  <c r="I59" i="1"/>
  <c r="J59" i="1"/>
  <c r="H60" i="1"/>
  <c r="I60" i="1"/>
  <c r="J60" i="1"/>
  <c r="H61" i="1"/>
  <c r="I61" i="1"/>
  <c r="J61" i="1"/>
  <c r="H63" i="1"/>
  <c r="I63" i="1"/>
  <c r="J63" i="1"/>
  <c r="H64" i="1"/>
  <c r="I64" i="1"/>
  <c r="J64" i="1"/>
  <c r="H65" i="1"/>
  <c r="I65" i="1"/>
  <c r="J65" i="1"/>
  <c r="H66" i="1"/>
  <c r="I66" i="1"/>
  <c r="J66" i="1"/>
  <c r="H67" i="1"/>
  <c r="I67" i="1"/>
  <c r="J67" i="1"/>
  <c r="H68" i="1"/>
  <c r="I68" i="1"/>
  <c r="J68" i="1"/>
  <c r="H69" i="1"/>
  <c r="I69" i="1"/>
  <c r="J69" i="1"/>
  <c r="H70" i="1"/>
  <c r="I70" i="1"/>
  <c r="J70" i="1"/>
  <c r="H74" i="1"/>
  <c r="I74" i="1"/>
  <c r="J74" i="1"/>
  <c r="H75" i="1"/>
  <c r="I75" i="1"/>
  <c r="J75" i="1"/>
  <c r="H76" i="1"/>
  <c r="I76" i="1"/>
  <c r="J76" i="1"/>
  <c r="H78" i="1"/>
  <c r="I78" i="1"/>
  <c r="J78" i="1"/>
  <c r="H79" i="1"/>
  <c r="I79" i="1"/>
  <c r="J79" i="1"/>
  <c r="H81" i="1"/>
  <c r="I81" i="1"/>
  <c r="J81" i="1"/>
  <c r="J10" i="1"/>
  <c r="I10" i="1"/>
  <c r="H10" i="1"/>
  <c r="K45" i="1" l="1"/>
  <c r="K21" i="1"/>
  <c r="K12" i="1"/>
  <c r="K23" i="1"/>
  <c r="K74" i="1"/>
  <c r="K78" i="1"/>
  <c r="K76" i="1"/>
  <c r="K59" i="1"/>
  <c r="K37" i="1"/>
  <c r="K13" i="1"/>
  <c r="K47" i="1"/>
  <c r="K25" i="1"/>
  <c r="K31" i="1"/>
  <c r="K27" i="1"/>
  <c r="K39" i="1"/>
  <c r="K17" i="1"/>
  <c r="K49" i="1"/>
  <c r="K29" i="1"/>
  <c r="K33" i="1"/>
  <c r="K61" i="1"/>
  <c r="K55" i="1"/>
  <c r="K15" i="1"/>
  <c r="K51" i="1"/>
  <c r="K43" i="1"/>
  <c r="K53" i="1"/>
  <c r="K68" i="1"/>
  <c r="K57" i="1"/>
  <c r="K75" i="1"/>
  <c r="K41" i="1"/>
  <c r="K34" i="1"/>
  <c r="K19" i="1"/>
  <c r="K73" i="1"/>
  <c r="K16" i="1"/>
  <c r="K18" i="1"/>
  <c r="K11" i="1"/>
  <c r="K65" i="1"/>
  <c r="K36" i="1"/>
  <c r="K79" i="1"/>
  <c r="K70" i="1"/>
  <c r="K38" i="1"/>
  <c r="K67" i="1"/>
  <c r="K50" i="1"/>
  <c r="K40" i="1"/>
  <c r="K20" i="1"/>
  <c r="K52" i="1"/>
  <c r="K42" i="1"/>
  <c r="K22" i="1"/>
  <c r="K69" i="1"/>
  <c r="K58" i="1"/>
  <c r="K44" i="1"/>
  <c r="K28" i="1"/>
  <c r="K60" i="1"/>
  <c r="K46" i="1"/>
  <c r="K30" i="1"/>
  <c r="K63" i="1"/>
  <c r="K32" i="1"/>
  <c r="K81" i="1"/>
  <c r="K66" i="1"/>
  <c r="J82" i="1"/>
  <c r="K64" i="1"/>
  <c r="I82" i="1"/>
  <c r="K10" i="1"/>
  <c r="K82" i="1" l="1"/>
</calcChain>
</file>

<file path=xl/sharedStrings.xml><?xml version="1.0" encoding="utf-8"?>
<sst xmlns="http://schemas.openxmlformats.org/spreadsheetml/2006/main" count="294" uniqueCount="199">
  <si>
    <t>Montagem cenotécnica de exposição</t>
  </si>
  <si>
    <t>EVENTO:</t>
  </si>
  <si>
    <t xml:space="preserve">Exposição Cosmo/Chão </t>
  </si>
  <si>
    <t>UNIDADE:</t>
  </si>
  <si>
    <t>SESC AVENIDA PAULISTA</t>
  </si>
  <si>
    <t>ITEM</t>
  </si>
  <si>
    <t xml:space="preserve">ITEM
MEMORIAL
</t>
  </si>
  <si>
    <t xml:space="preserve">DESCRIÇÃO DOS SERVIÇOS
 (CONFORME MEMORIAL DESCRITIVO E PROJETO EXECUTIVO) 
EXPOSIÇÃO COSMO/CHAO
Espaço Arte (5º E 6º andares) </t>
  </si>
  <si>
    <t>UN.</t>
  </si>
  <si>
    <t>QDE.</t>
  </si>
  <si>
    <t>PREÇOS UNITÁRIOS (R$)</t>
  </si>
  <si>
    <t>PREÇOS TOTAIS (R$)</t>
  </si>
  <si>
    <t>MATERIAL</t>
  </si>
  <si>
    <t>MÃO-DE-OBRA</t>
  </si>
  <si>
    <t>TOTAL</t>
  </si>
  <si>
    <t>A</t>
  </si>
  <si>
    <t>PROJETO EXPOGRAFICO</t>
  </si>
  <si>
    <t>A.1</t>
  </si>
  <si>
    <r>
      <rPr>
        <b/>
        <sz val="11"/>
        <color theme="1"/>
        <rFont val="Arial"/>
        <family val="2"/>
      </rPr>
      <t>Estrutura metálica para reforço da instalação de obra no painel (P05)</t>
    </r>
    <r>
      <rPr>
        <sz val="11"/>
        <color theme="1"/>
        <rFont val="Arial"/>
        <family val="2"/>
      </rPr>
      <t xml:space="preserve">                                                                 
Detalhes técnicos na prancha 2 do Projeto expografico</t>
    </r>
    <r>
      <rPr>
        <sz val="11"/>
        <color rgb="FFFF0000"/>
        <rFont val="Arial"/>
        <family val="2"/>
      </rPr>
      <t xml:space="preserve"> </t>
    </r>
  </si>
  <si>
    <t>unid</t>
  </si>
  <si>
    <t>A.1.1</t>
  </si>
  <si>
    <t>Molduras metálicas de 37x93cm, feitas com barra de metalon de 50x50mm, formando uma moldura chumbada em uma caixa de marcenaria com estrutura metálica interna, reforços e contrapesos. A peça deve ser feita exatamente na largura do barco, para que ele possa entrar nesse espaço da moldura e ficar fixo apenas pela pressão exercida para travá-lo. Ainda é preciso avaliar se será permitida alguma furação ou ponto de fixação no barco/obra de arte.</t>
  </si>
  <si>
    <t>2</t>
  </si>
  <si>
    <t>A.1.2</t>
  </si>
  <si>
    <r>
      <rPr>
        <b/>
        <sz val="11"/>
        <color rgb="FF000000"/>
        <rFont val="Arial"/>
        <family val="2"/>
      </rPr>
      <t xml:space="preserve">4 </t>
    </r>
    <r>
      <rPr>
        <sz val="11"/>
        <color rgb="FF000000"/>
        <rFont val="Arial"/>
        <family val="2"/>
      </rPr>
      <t xml:space="preserve">Barracudas metálicas de 50x50mm com parede de 3mm de espessura com </t>
    </r>
    <r>
      <rPr>
        <b/>
        <u/>
        <sz val="11"/>
        <color rgb="FF000000"/>
        <rFont val="Arial"/>
        <family val="2"/>
      </rPr>
      <t>208cm de comprimento</t>
    </r>
    <r>
      <rPr>
        <sz val="11"/>
        <color rgb="FF000000"/>
        <rFont val="Arial"/>
        <family val="2"/>
      </rPr>
      <t xml:space="preserve">, prensada na laje do espaço e na moldura. Ter uma sapata regulável com chapa metálica na duas pontas da barracuda, seguindo detalhes do projeto de estrutura. </t>
    </r>
  </si>
  <si>
    <t>4</t>
  </si>
  <si>
    <t>A.1.3</t>
  </si>
  <si>
    <t xml:space="preserve">Mão-francesa metálica de 40x40cm feita com tubo metálico de 50x50mm instalado embaixo do barco para dar maior sustentação — seguir detalhes indicados no desenho, sendo essa peça composta totalmente de ferro e chapa maciça metálica de 3mm.
</t>
  </si>
  <si>
    <t>A.1.4</t>
  </si>
  <si>
    <t xml:space="preserve">Base metálica de 9x450x120cm para distribuição de peso das esculturas da artista Solange Pessoa. Peça com perfil de 50x50mm e 5mm de espessura na parede interna, apoiada diretamente no piso, sobre a qual serão fixadas duas chapas de MDF de 18mm. </t>
  </si>
  <si>
    <t>1</t>
  </si>
  <si>
    <t>A.2</t>
  </si>
  <si>
    <r>
      <rPr>
        <b/>
        <sz val="11"/>
        <color theme="1"/>
        <rFont val="Arial"/>
        <family val="2"/>
      </rPr>
      <t>Painéis a serem construidos:</t>
    </r>
    <r>
      <rPr>
        <sz val="11"/>
        <color theme="1"/>
        <rFont val="Arial"/>
        <family val="2"/>
      </rPr>
      <t xml:space="preserve"> construção e pintura de painéis em MDF 18mm, conforme indicações técnicas da folha 01 do projeto expográfico. Metros lineares totais de painéis: 72m. Área total dos painéis: 240m². Prever ignifugação do MDF em todos os painéis.</t>
    </r>
  </si>
  <si>
    <t>m2</t>
  </si>
  <si>
    <t>A.2.1</t>
  </si>
  <si>
    <r>
      <rPr>
        <sz val="7"/>
        <color theme="1"/>
        <rFont val="Times New Roman"/>
        <family val="1"/>
      </rPr>
      <t> </t>
    </r>
    <r>
      <rPr>
        <sz val="11"/>
        <color theme="1"/>
        <rFont val="Arial"/>
        <family val="2"/>
      </rPr>
      <t xml:space="preserve">(P01) </t>
    </r>
    <r>
      <rPr>
        <sz val="11"/>
        <color theme="1"/>
        <rFont val="Calibri"/>
        <family val="2"/>
      </rPr>
      <t>Painel de MDF de 18mm, com estrutura interna de pontalete 5x5cm e acabamento em pintura acrílica fosca Terra Roxa, da Suvinil. Dimensões gerais: 4,5m lineares, altura do painel de 2,9m, área total de 14m².</t>
    </r>
  </si>
  <si>
    <t>14</t>
  </si>
  <si>
    <t>A.2.2</t>
  </si>
  <si>
    <r>
      <rPr>
        <sz val="11"/>
        <color theme="1"/>
        <rFont val="Arial"/>
        <family val="2"/>
      </rPr>
      <t xml:space="preserve">(P02) </t>
    </r>
    <r>
      <rPr>
        <sz val="11"/>
        <color theme="1"/>
        <rFont val="Calibri"/>
        <family val="2"/>
      </rPr>
      <t>Painel de MDF de 18mm, com estrutura interna de pontalete 5x5cm e acabamento em pintura acrílica fosca Terra Roxa, da Suvinil. Dimensões gerais: 4,1m lineares, altura do painel de 2,9m, área total de 11,8m².</t>
    </r>
  </si>
  <si>
    <t>11,8</t>
  </si>
  <si>
    <t>A.2.3</t>
  </si>
  <si>
    <r>
      <rPr>
        <sz val="11"/>
        <color theme="1"/>
        <rFont val="Arial"/>
        <family val="2"/>
      </rPr>
      <t xml:space="preserve">(P03) </t>
    </r>
    <r>
      <rPr>
        <sz val="11"/>
        <color theme="1"/>
        <rFont val="Calibri"/>
        <family val="2"/>
      </rPr>
      <t>Painel de MDF de 18mm, com estrutura interna de pontalete 5x5cm e acabamento em pintura acrílica fosca Terra Roxa, da Suvinil</t>
    </r>
    <r>
      <rPr>
        <sz val="11"/>
        <color theme="1"/>
        <rFont val="Arial"/>
        <family val="2"/>
      </rPr>
      <t>. Dimensões gerais: 11m lineares, altura do painel de 2,9m, área total de 32m².</t>
    </r>
  </si>
  <si>
    <t>32</t>
  </si>
  <si>
    <t>A.2.4</t>
  </si>
  <si>
    <r>
      <rPr>
        <sz val="11"/>
        <color theme="1"/>
        <rFont val="Arial"/>
        <family val="2"/>
      </rPr>
      <t xml:space="preserve">(P04) </t>
    </r>
    <r>
      <rPr>
        <sz val="11"/>
        <color theme="1"/>
        <rFont val="Calibri"/>
        <family val="2"/>
      </rPr>
      <t>Painel de MDF de 18mm, com estrutura interna de pontalete 5x5cm e acabamento em pintura acrílica fosca Terra Roxa, da Suvinil</t>
    </r>
    <r>
      <rPr>
        <sz val="11"/>
        <color theme="1"/>
        <rFont val="Arial"/>
        <family val="2"/>
      </rPr>
      <t>. Dimensões gerais: 8,5 m lineares, altura do painel de 2,9m, área total de25m².</t>
    </r>
  </si>
  <si>
    <t>25</t>
  </si>
  <si>
    <t>A.2.5</t>
  </si>
  <si>
    <r>
      <rPr>
        <sz val="11"/>
        <color theme="1"/>
        <rFont val="Arial"/>
        <family val="2"/>
      </rPr>
      <t xml:space="preserve">(P05) </t>
    </r>
    <r>
      <rPr>
        <sz val="11"/>
        <color theme="1"/>
        <rFont val="Calibri"/>
        <family val="2"/>
      </rPr>
      <t>Painel de MDF de 18mm, com estrutura interna de pontalete 5x5cm e acabamento em pintura acrílica fosca Terra Roxa, da Suvinil. Este painel vai precisar ser recortado para que o barco exposto na exposição adentre 50cm para dentro do painel. Após inserido o barco, um molde na medida do vão e do perfil do barco terá que ser feito para fabricação da peça de fechamento deste furo.</t>
    </r>
    <r>
      <rPr>
        <sz val="11"/>
        <color theme="1"/>
        <rFont val="Arial"/>
        <family val="2"/>
      </rPr>
      <t xml:space="preserve"> Dimensões gerais: 5,67m lineares, altura do painel de 2,9m, área total de 16,5m².</t>
    </r>
  </si>
  <si>
    <t>16,5</t>
  </si>
  <si>
    <t>A.2.6</t>
  </si>
  <si>
    <r>
      <rPr>
        <sz val="11"/>
        <color theme="1"/>
        <rFont val="Arial"/>
        <family val="2"/>
      </rPr>
      <t xml:space="preserve">(P06) </t>
    </r>
    <r>
      <rPr>
        <sz val="11"/>
        <color theme="1"/>
        <rFont val="Calibri"/>
        <family val="2"/>
      </rPr>
      <t>Painel de MDF de 18mm, com estrutura interna de pontalete 5x5cm e acabamento em pintura acrílica fosca Papel de Seda, da Suvinil. Acoplada a este painel, deverá ser contemplada uma base de 50x30cm em MDF de 18mm.</t>
    </r>
    <r>
      <rPr>
        <sz val="11"/>
        <color theme="1"/>
        <rFont val="Arial"/>
        <family val="2"/>
      </rPr>
      <t xml:space="preserve"> Dimensões gerais: 1,2m lineares, altura do painel de 2,9m, área total de 3,8m²</t>
    </r>
  </si>
  <si>
    <t>3,8</t>
  </si>
  <si>
    <t>A.2.7</t>
  </si>
  <si>
    <t>(P07) Painel de MDF de 18mm, de 320x160cm parafusado direto no painel existente, acabamento em pintura acrílica acrílica branca.</t>
  </si>
  <si>
    <t>5,2</t>
  </si>
  <si>
    <t>A.2.8</t>
  </si>
  <si>
    <r>
      <rPr>
        <sz val="11"/>
        <color theme="1"/>
        <rFont val="Arial"/>
        <family val="2"/>
      </rPr>
      <t xml:space="preserve">(PR01) </t>
    </r>
    <r>
      <rPr>
        <sz val="11"/>
        <color theme="1"/>
        <rFont val="Calibri"/>
        <family val="2"/>
      </rPr>
      <t>Painel de MDF de 18mm, com estrutura interna reforçada, treliçada ou em grade, com pontaletes de 5x5cm, e acabamento em pintura acrílica fosca Papel de Seda, da Suvinil. Este painel terá uma abertura em arco na entrada, medindo 150x245cm, e dois recortes laterais — um simulando a geometria de uma lua, e o outro, de uma estrela.</t>
    </r>
  </si>
  <si>
    <t>35</t>
  </si>
  <si>
    <t>A.2.9</t>
  </si>
  <si>
    <t>(PR01 e PR02) Dois painéis de 450x490cm e 30cm de profundidade, com suas 4 faces revestidas com chapa de MDF de 18mm, com estrutura interna reforçada, treliçada ou em grade, com pontaletes de 5x5cm, e acabamento em pintura acrílica fosca Papel de Seda, da Suvinil. Estes dois painéis terão travamento por cabo de aço em 3 pontos cada, conforme indica o projeto de estrutura.
Dimensões gerais: 9,6m lineares, altura do painel de 4,9m, área total de 48,5m²
2 unidades</t>
  </si>
  <si>
    <t>97</t>
  </si>
  <si>
    <t>A.3</t>
  </si>
  <si>
    <t>Pintura dos painéis</t>
  </si>
  <si>
    <t>A.3.1</t>
  </si>
  <si>
    <t>Prever a pintura geral, na cor branca, dos painéis que se encontram hoje no espaço expositivo. Esses painéis estão atualmente na cor preta, então é preciso considerar algumas demãos a mais de pintura para que o acabamento fique perfeito.
Área total dos painéis: 250m².</t>
  </si>
  <si>
    <t>250</t>
  </si>
  <si>
    <t>A.4</t>
  </si>
  <si>
    <t xml:space="preserve">Construção de mobiliário para espaço expositivo: desenhos localizado na folha 02 do projeto expografico </t>
  </si>
  <si>
    <t>A.4.1</t>
  </si>
  <si>
    <r>
      <rPr>
        <sz val="11"/>
        <color theme="1"/>
        <rFont val="Arial"/>
        <family val="2"/>
      </rPr>
      <t xml:space="preserve">(M01) Mesa construída em MDF de 6, 10 e 18mm, seguindo os detalhes dos desenhos técnicos na prancha 02. Acabamento em pintura acrílica fosca Papel de Seda, da Suvinil. A mesa prevê a instalação de 4 peças de vidro museológico, que devem ser instaladas após a finalização da estrutura da mesa e a realização de molde para que as 4 peças encaixem perfeitamente. O vidro deve seguir o padrão museológico antirreflexo indicado: vidro extra clear laminado temperado 10+10mm (espessura final de 21,52mm), interlayer UV 99%, bordas lapidadas e polidas, junta seca entre peças, em 4 seções. Além destas 4 peças de vidro, há uma peça de acrílico reforçado de 66cm de diâmetro e 18mm de espessura, que servirá de apoio para uma das esculturas. Por dentro dessa peça de acrílico, abaixo dela, serão instaladas luminárias, conforme indicações abaixo: Aplicar fita LED backlight 180°, 12V, 18W/m, 3000K ou 6500K (a confirmar), com dimmer único para todos os trechos, sendo 2 trechos de 30cm, 2 de 50cm e 2 de 60cm, totalizando 220cm de fita. O interior do nicho abaixo do acrílico leitoso deverá ser inteiramente pintado de branco. A alimentação elétrica com cabo PP deve ser feita pelo piso do espaço expositivo, e uma canaleta de piso deve ser instalada para passagem do cabo, nas seguintes especificações: Canaleta de Piso 52x14x2000mm Cinza Enerbras 371/2-ECZ. </t>
    </r>
    <r>
      <rPr>
        <b/>
        <u/>
        <sz val="11"/>
        <color theme="1"/>
        <rFont val="Arial"/>
        <family val="2"/>
      </rPr>
      <t>Dimensões gerais da mesa: 220cm diametro 86cm altura</t>
    </r>
    <r>
      <rPr>
        <sz val="11"/>
        <color theme="1"/>
        <rFont val="Arial"/>
        <family val="2"/>
      </rPr>
      <t xml:space="preserve"> </t>
    </r>
  </si>
  <si>
    <t>A.4.2</t>
  </si>
  <si>
    <t>A.4.3</t>
  </si>
  <si>
    <t>A.4.4</t>
  </si>
  <si>
    <r>
      <rPr>
        <sz val="7"/>
        <color theme="1"/>
        <rFont val="Times New Roman"/>
        <family val="1"/>
      </rPr>
      <t xml:space="preserve"> </t>
    </r>
    <r>
      <rPr>
        <sz val="11"/>
        <color theme="1"/>
        <rFont val="Arial"/>
        <family val="2"/>
      </rPr>
      <t>(M06,M07,M08 e M09)  Base para escultura construída em MDF de18mm, com dimensões e geometria variada e acabamento em pintura acrílica fosca Terra Roxa, da Suvinil. Dimensões aproximadas : 75x220x271cm</t>
    </r>
  </si>
  <si>
    <t>A.4.5</t>
  </si>
  <si>
    <t>(M10 ) Base para escultura em MDF de 18mm, com dimensões e geometria variadas, e acabamento em pintura acrílica fosca Terra Roxa, da Suvinil. Dimensões aproximadas : 75x190x182cm</t>
  </si>
  <si>
    <t>A.4.6</t>
  </si>
  <si>
    <r>
      <rPr>
        <sz val="11"/>
        <color theme="1"/>
        <rFont val="Arial"/>
        <family val="2"/>
      </rPr>
      <t xml:space="preserve">(M11) Base para escultura em MDF de 18mm, com bordas chanfradas, e acabamento em pintura acrílica fosca Terra Roxa, da Suvinil
 </t>
    </r>
    <r>
      <rPr>
        <u/>
        <sz val="11"/>
        <color theme="1"/>
        <rFont val="Arial"/>
        <family val="2"/>
      </rPr>
      <t>Dimensões aproximadas : 8x95x95cm</t>
    </r>
  </si>
  <si>
    <t>A.4.7</t>
  </si>
  <si>
    <t>(M12) Base para escultura em MDF de 18mm, com dimensões e geometria variadas, e acabamento em pintura acrílica fosca Papel de Seda, da Suvinil. Dimensões aproximadas : 110x230x144cm</t>
  </si>
  <si>
    <t>A.4.8</t>
  </si>
  <si>
    <t>(M13) Base para escultura em MDF de 18mm, com dimensões e geometria variadas, e acabamento em pintura acrílica fosca Papel de Seda, da Suvinil. Considerar reforço estrutural interno de madeira com pontalete 5x5cm. Dimensões aproximadas : 50x270x65cm</t>
  </si>
  <si>
    <t>A.4.9</t>
  </si>
  <si>
    <t>(M14) Base para escultura em MDF de 18mm, com dimensões e geometria variadas, e acabamento em pintura acrílica fosca Papel de Seda, da Suvinil.Dimensões aproximadas : 50x155x95cm</t>
  </si>
  <si>
    <t>A.4.10</t>
  </si>
  <si>
    <t>(M15) Base para escultura em MDF de 18mm, com dimensões e geometria variadas, e acabamento em pintura acrílica fosca Papel de Seda, da Suvinil. Dimensões aproximadas : 30x108x80cm</t>
  </si>
  <si>
    <t>A.4.11</t>
  </si>
  <si>
    <t>(M16 e M17) Base para escultura em MDF de 18mm, com dimensões e geometria variadas, e acabamento em pintura acrílica fosca Papel de Seda, da Suvinil.Dimensões aproximadas : 70x45x59cm</t>
  </si>
  <si>
    <t>A.4.12</t>
  </si>
  <si>
    <t>(M18) Base para escultura em MDF de 18mm, com dimensões e geometria variadas, e acabamento em pintura acrílica fosca Papel de Seda, da Suvinil. Dimensões aproximadas : 70x40x40cm</t>
  </si>
  <si>
    <t>A.4.13</t>
  </si>
  <si>
    <t>(M19) Estação de acessibilidade com mdf de 10mm com nicho para objetos e tablet embutidos na marcenaria, e laterais removíveis para futura manutenção. Dimensões : 116 x 70 x 35cm</t>
  </si>
  <si>
    <t>A.4.14</t>
  </si>
  <si>
    <t>(M20) Estação de acessibilidade modelo fixada em painel vertical de MDF 18mm de 70x261cm, com sistema de fixação na parte superior da peça, e o restante apenas apoiado na parede — que não pode ser perfurada — e apoiado no piso também. A estação com mdf de 10mm contém nicho para objetos e tablet embutidos na marcenaria, e laterais removíveis para futura manutenção.Dimensões  : 116 x 70 x 35cm</t>
  </si>
  <si>
    <t>A.4.15</t>
  </si>
  <si>
    <t>(M21) Estação de acessibilidade modelo fixada em volta do pilar com “amarração” no entorno do pilar com mdf 18mm, A estação em mdf de 10mm, como as outras contém nicho para objetos e tablet embutidos na marcenaria, e laterais removíveis para futura manutenção. Dimensões: 116 x 70 x 35cm</t>
  </si>
  <si>
    <t>A.4.16</t>
  </si>
  <si>
    <t>(M24) Estação de acessibilidade com mdf de 10mm com nicho para objetos e tablet embutidos na marcenaria, e laterais removíveis para futura manutenção. Dimensões : 60x165x10 cm</t>
  </si>
  <si>
    <t>A.4.17</t>
  </si>
  <si>
    <t>(M23)  Carrinho Educativo: estrutura em MDF de 10mm, composta por 2 peças unidas por dobradiças, ambas com nichos internos, montada sobre 6 rodízios com travas, da marca Schioppa (modelo exato a ser especificado).As duas peças devem abrir e fechar com facilidade a partir da instalação das dobradiças. Será contemplado também um sistema de trava das duas peças, além de uma peça de manuseio externo do carrinho, para possibilitar sua movimentação pelo espaço. Os nichos internos devem contemplar ainda gavetas de acrílico, ganchos e suportes para materiais diversos. Na parte externa do carrinho, deve ser considerada a aplicação de vinil de recorte preto com arte da exposição, nas dimensões aproximadas de 100x80cm em cada um dos lados, totalizando uma área de aplicação de 200x160cm. Dimensões gerais do carrinho: 110x59x135cm</t>
  </si>
  <si>
    <t>A.4.18</t>
  </si>
  <si>
    <t>(M26) Base para escultura em MDF de 18mm, com dimensões e geometria variadas, e acabamento em pintura acrílica fosca Papel de Seda, da Suvinil. Dimensões aproximadas : 20x450x170cm</t>
  </si>
  <si>
    <t>A.4.19</t>
  </si>
  <si>
    <t>Base reforçada para escultura da artista Solange Pessoa. A estrutura dessa base será em serralheria (S03), conforme especificado, com fechamentos laterais em MDF de 18mm e fechamento do topo com duas chapas de 18mm, totalizando 36mm, e acabamento em pintura acrílica fosca Papel de Seda, da Suvinil. Dimensões aproximadas : 9x450x120cm</t>
  </si>
  <si>
    <t>A.4.20</t>
  </si>
  <si>
    <r>
      <rPr>
        <sz val="11"/>
        <color theme="1"/>
        <rFont val="Arial"/>
        <family val="2"/>
      </rPr>
      <t xml:space="preserve">(M22) Mobiliário/base com diferentes nichos e alturas em MDF de 18mm e com  nicho/vitrine iluminado nas medidas 46x180cm com as especificações abaixo:. 
</t>
    </r>
    <r>
      <rPr>
        <b/>
        <sz val="11"/>
        <color theme="1"/>
        <rFont val="Arial"/>
        <family val="2"/>
      </rPr>
      <t>Iluminação embutida</t>
    </r>
    <r>
      <rPr>
        <sz val="11"/>
        <color theme="1"/>
        <rFont val="Arial"/>
        <family val="2"/>
      </rPr>
      <t xml:space="preserve">: 2 Perfis de alumínio de canto (um parte superior e o outro na inferior do nicho), 16x16mm, com comprimento de 180cm e recuo de 5cm em cada lateral, e difusor em PMMA abaulado, com fita LED 3000K, 10W/m, IRC &gt; 90, 12V ou 24V, com driver e dimmer adequados para cada trecho. 
</t>
    </r>
    <r>
      <rPr>
        <b/>
        <sz val="11"/>
        <color theme="1"/>
        <rFont val="Arial"/>
        <family val="2"/>
      </rPr>
      <t>Vidro da vitrine (46x180cm)</t>
    </r>
    <r>
      <rPr>
        <sz val="11"/>
        <color theme="1"/>
        <rFont val="Arial"/>
        <family val="2"/>
      </rPr>
      <t>:Vidro extra clear laminado temperado 10+10mm (espessura final 21,52mm), com tratamento antirreflexo por deposição de camada de baixa reflexão (coating AR) em ambas as faces, interlayer UV 99%, bordas lapidadas e polidas.
Acabamento em pintura acrílica fosca Terra Roxa, da Suvinil. Dimensões aproximadas : 493x253x50 cm</t>
    </r>
  </si>
  <si>
    <t>A.4.21</t>
  </si>
  <si>
    <t>Caixa para tablet nas medidas 25x35x5cm em MDF 10mm e pintura branca. A posição exata dessa peça será definida pelo projeto gráfico da exposição.</t>
  </si>
  <si>
    <t>A.5</t>
  </si>
  <si>
    <t xml:space="preserve">Pintura e restauro de mobiliário existente do educativo </t>
  </si>
  <si>
    <t>A.5.1</t>
  </si>
  <si>
    <t>Pintura de banquinhos existentes com tinta acrílica fosca Terra Roxa, da Suvinil. Dimensões aproximadas : 50x45x45cm</t>
  </si>
  <si>
    <t>15</t>
  </si>
  <si>
    <t>A.5.2</t>
  </si>
  <si>
    <t xml:space="preserve">Pintura eletroestática de estrutura de mesas com tinta acrílica fosca Terra Roxa, da Suvinil. Dimensões aproximadas: 180x70cm </t>
  </si>
  <si>
    <t>A.5.3</t>
  </si>
  <si>
    <t xml:space="preserve">Pintura de porta folders existentes com tinta acrílica fosca Terra Roxa, da Suvinil, com medida aprox.75x25x50cm </t>
  </si>
  <si>
    <t>A.5.4</t>
  </si>
  <si>
    <t xml:space="preserve">Pintura de mesa tátil  com tinta acrílica fosca Terra Roxa, da Suvinil e aplicação de vinil de recorte na mesa. 
Dimensões aproximadas: 100x85x120cm 
</t>
  </si>
  <si>
    <t>A.5.5</t>
  </si>
  <si>
    <t xml:space="preserve">Pintura electroestática de suporte metálico com tinta acrílica fosca Terra Roxa, da Suvinil
 Dimensões aproximadas: 100x85x50cm. 
</t>
  </si>
  <si>
    <t>A.6</t>
  </si>
  <si>
    <t>Comunicação Visual</t>
  </si>
  <si>
    <t>A.6.1</t>
  </si>
  <si>
    <r>
      <rPr>
        <b/>
        <sz val="11"/>
        <color theme="1"/>
        <rFont val="Arial"/>
        <family val="2"/>
      </rPr>
      <t>Substituição do insulfilme dos 12 painéis de vidro do 6º andar</t>
    </r>
    <r>
      <rPr>
        <sz val="11"/>
        <color theme="1"/>
        <rFont val="Arial"/>
        <family val="2"/>
      </rPr>
      <t xml:space="preserve">
</t>
    </r>
    <r>
      <rPr>
        <b/>
        <sz val="11"/>
        <color theme="1"/>
        <rFont val="Arial"/>
        <family val="2"/>
      </rPr>
      <t>Medida aproximada de cada painel de vidro: 320x190cm.</t>
    </r>
    <r>
      <rPr>
        <sz val="11"/>
        <color theme="1"/>
        <rFont val="Arial"/>
        <family val="2"/>
      </rPr>
      <t xml:space="preserve">
Essas medidas precisam ser conferidas in loco, pois, por conta da altura, não foi possível a checagem precisa da medida por parte da equipe de arquitetura.
Considerar a remoção da película atual e aplicação de novo filme na tonalidade chocolate ou âmbar, a serem definidos e testados in loco. Incluir no serviço a remoção destes ao final da exposição.
</t>
    </r>
  </si>
  <si>
    <t>A.7</t>
  </si>
  <si>
    <t>Manutenção e serviços gerais</t>
  </si>
  <si>
    <t>A.7.1</t>
  </si>
  <si>
    <t>Considerar no escopo de montagem ao menos um cenotécnico e um pintor disponível até a abertura da exposição, para realização de retoques e ajustes gerais.</t>
  </si>
  <si>
    <t>A.7.2</t>
  </si>
  <si>
    <t>A.7.3</t>
  </si>
  <si>
    <r>
      <rPr>
        <b/>
        <sz val="11"/>
        <color theme="1"/>
        <rFont val="Arial"/>
        <family val="2"/>
      </rPr>
      <t>MONTAGEM NOTURNA</t>
    </r>
    <r>
      <rPr>
        <sz val="11"/>
        <color theme="1"/>
        <rFont val="Arial"/>
        <family val="2"/>
      </rPr>
      <t xml:space="preserve">. A contratada deve prever diárias de equipe para montagem noturna, a depender do cronograma de montagem que será confirmado com equipe do Sesc e Produção.
</t>
    </r>
  </si>
  <si>
    <t>A.7.4</t>
  </si>
  <si>
    <r>
      <rPr>
        <b/>
        <sz val="11"/>
        <color theme="1"/>
        <rFont val="Arial"/>
        <family val="2"/>
      </rPr>
      <t>LIMPEZA DO ESPAÇO EXPOSITIVO</t>
    </r>
    <r>
      <rPr>
        <sz val="11"/>
        <color theme="1"/>
        <rFont val="Arial"/>
        <family val="2"/>
      </rPr>
      <t xml:space="preserve">. Fornecimento de material e mão de obra para serviço de limpeza do espaço. Esta equipe deverá acompanhar a montagem cenotécnica a fim de manter o espaço expositivo limpo durante a montagem. TOTAL de diárias : 4 </t>
    </r>
  </si>
  <si>
    <t>A.7.5</t>
  </si>
  <si>
    <r>
      <rPr>
        <b/>
        <sz val="11"/>
        <color theme="1"/>
        <rFont val="Arial"/>
        <family val="2"/>
      </rPr>
      <t xml:space="preserve">DESMONTAGEM FINAL. </t>
    </r>
    <r>
      <rPr>
        <sz val="11"/>
        <color theme="1"/>
        <rFont val="Arial"/>
        <family val="2"/>
      </rPr>
      <t xml:space="preserve">Fornecimento de material e mão de obra para serviços de desmontagem, transporte e descarte dos materiais instalados (conforme determinação do Sesc). Incluso neste item o transporte e descarte em local adequado, conforme legislação vigente e limpeza final do ambiente.
A desmontagem das instalações cenográficas e provisórias deve seguir os mesmos cuidados da montagem. Recomenda-se realizar uma reunião técnica envolvendo as equipes que executaram o projeto de maneira a sincronizar as atividades de desmobilização. As atividades de desmontagem devem ainda atender a todas as recomendações de segurança para a execução dos serviços e restrições de horários e de interferências à estrutura e programação da Unidade.
A limpeza abrange todos os tipos de pisos, divisórias, paredes, carpetes, forros, tetos, estruturas metálicas aparentes ou sobre o forro, lajes de cobertura, calhas, esquadrias metálicas, esquadrias de madeiras, vidros, cobertura, tubulações aparentes, mobiliários, equipamentos diversos, louças, metais, e outros que possam ser afetados pela construção cenográfica.
</t>
    </r>
  </si>
  <si>
    <t>B</t>
  </si>
  <si>
    <r>
      <rPr>
        <b/>
        <sz val="11"/>
        <color theme="1"/>
        <rFont val="Arial"/>
        <family val="2"/>
      </rPr>
      <t>PROJETO DE ELÉTRICA</t>
    </r>
    <r>
      <rPr>
        <sz val="11"/>
        <color theme="1"/>
        <rFont val="Arial"/>
        <family val="2"/>
      </rPr>
      <t xml:space="preserve"> (conforme projeto e memoriais), incluindo todos os materiais, equipamentos, instrumentos e mão-de-obra, detalhados ou não nos projetos, memoriais e neste planilha, mas  necessários à perfeita execução, funcionamento e operação do sistema, dentro das Normas Técnicas vigentes e da segurança, que deverão ter seus custos incluídos nos itens apontados nesta planilha)</t>
    </r>
  </si>
  <si>
    <t>B.1</t>
  </si>
  <si>
    <t>Cabo PP Afumex 3x2,5mm - Cabo Afumex 0,6/1kV, CONDUTOR Metal: fios de cobre nu, têmpera mole. Encordoamento: extraflexível (classe 5). ISOLAÇÃO Composto termofixo em dupla camada de borracha HEPR (EPR/B - Alto módulo). instalado, de acordo com a NBR 5410/2004 e NBR 13570/1996</t>
  </si>
  <si>
    <t>m</t>
  </si>
  <si>
    <t>B.2</t>
  </si>
  <si>
    <t>Cabos flexíveis afumex unipolares tipo HEPR 90°C - 0,6/1KV #1x16mm, cor PRETO</t>
  </si>
  <si>
    <t>B.3</t>
  </si>
  <si>
    <t>Cabos flexíveis afumex unipolares tipo HEPR 90°C - 0,6/1KV #1x16,0mm, cor AZUL</t>
  </si>
  <si>
    <t>B.4</t>
  </si>
  <si>
    <t>Cabos flexíveis afumex unipolares tipo HEPR 90°C - 0,6/1KV #1x16,0mm, cor VERDE</t>
  </si>
  <si>
    <t>B.5</t>
  </si>
  <si>
    <t>Prolongador saída axial,  2P+T, com prensa cabos, para cabos até 8mm de diâmetro externo, em termoplástico preto, 20A - 250V (plug femea)(REF. PIAL LEGRAND)</t>
  </si>
  <si>
    <t>pç</t>
  </si>
  <si>
    <t>B.6</t>
  </si>
  <si>
    <t>B.7</t>
  </si>
  <si>
    <t>Protetor Passa Cabos Fios De Piso 1 VIA</t>
  </si>
  <si>
    <t>B.8</t>
  </si>
  <si>
    <t>Eletroduto galvanizado a fogo bitola de 3/4"</t>
  </si>
  <si>
    <t>C</t>
  </si>
  <si>
    <r>
      <rPr>
        <b/>
        <sz val="11"/>
        <color rgb="FF000000"/>
        <rFont val="Arial"/>
        <family val="2"/>
      </rPr>
      <t>PROJETO DE SEGURANÇA</t>
    </r>
    <r>
      <rPr>
        <sz val="11"/>
        <color rgb="FF000000"/>
        <rFont val="Arial"/>
        <family val="2"/>
      </rPr>
      <t>.(conforme projeto e memoriais), incluindo fornecimento, instalação, mão-de-obra de todos os materiais, equipamentos, instrumentos, preparo da superfice onde será instalados os equipamentos, detalhados ou não nos projetos, memoriais e nesta planilha, mas  necessários à perfeita execução, funcionamento e operação do sistema, dentro das Normas Técnicas vigentes e da segurança, que deverão ter seus custos incluídos nos itens apontados nesta planilha) - Placas retangulares fotoluminescentes sinalização de emergência saidas. Todas as placas de sinalização deverão ser do fabricante TOTAL LUX (MODELO PADRÃO SESC) Todos os equipamentos deverão ser fornecidos e instalados.</t>
    </r>
  </si>
  <si>
    <t>C.1.1</t>
  </si>
  <si>
    <t>Placa retangular fotoluminescente rota saida a direita 15x30cm - cod. S1</t>
  </si>
  <si>
    <t>3</t>
  </si>
  <si>
    <t>C.1.2</t>
  </si>
  <si>
    <t>Placa retangular fotoluminescente rota saida a direita 15x30cm - cod. S2</t>
  </si>
  <si>
    <t>C.1.3</t>
  </si>
  <si>
    <t>Placa retangular fotoluminescente rota saida a direita 15x30cm - cod. S3</t>
  </si>
  <si>
    <t>6</t>
  </si>
  <si>
    <t>C.1.4</t>
  </si>
  <si>
    <t>Placa de indicação de equipamentos - Indicação de localização de extintor de incêndio - cod. E5</t>
  </si>
  <si>
    <t>7</t>
  </si>
  <si>
    <t>C.2</t>
  </si>
  <si>
    <t>Extintores de Incêndio fabricado em aço carbono, com pintura vermelha aplicada, interna e externamente, por processo eletrostático e rotulação por processo de serigrafia obedescendo as normas do Inmetro.</t>
  </si>
  <si>
    <t>C.2.1</t>
  </si>
  <si>
    <t>Extintor de pó ABC 4kg - Capacidade Extintora 2-A : 20-B : C</t>
  </si>
  <si>
    <t>C.2.2</t>
  </si>
  <si>
    <t>Suporte de Extintor Tripé Bicromatizado Com Haste de Sinalização - 4 a 6 Kg PQS - CS185</t>
  </si>
  <si>
    <t>C.3</t>
  </si>
  <si>
    <t>Bloco autonomo de sobrepor para aclaramento e balizamento, com lâmpada fluorescente compacta, comutação automática, bateria selada e todos acessórios necessários para instalação.</t>
  </si>
  <si>
    <t>C.3.1</t>
  </si>
  <si>
    <t xml:space="preserve">Bloco autônomo aclaramento - LUMINÁRIA DE EMERGÊNCIA Led 60L LED 3W 127V/220V BRANCA </t>
  </si>
  <si>
    <t>visita</t>
  </si>
  <si>
    <t>Itens que a unidade possui interesse em manter após o término do período expositivo.</t>
  </si>
  <si>
    <t>Mão de obra: inclui os serviços de montagem e desmontagem do item.</t>
  </si>
  <si>
    <t>(M02 e M04)  Base para escultura construída em MDF de 6mm e 15mm, com estrutura reforçada com pontalete de 5x5cm e pintura acrílica fosca Papel de Seda, da Suvinil. 
Dimensões : 75cm diametro e 50cm altura</t>
  </si>
  <si>
    <r>
      <rPr>
        <sz val="11"/>
        <color rgb="FF000000"/>
        <rFont val="Arial"/>
        <family val="2"/>
      </rPr>
      <t xml:space="preserve">(M03 e M05 ) </t>
    </r>
    <r>
      <rPr>
        <sz val="11"/>
        <color rgb="FF000000"/>
        <rFont val="Calibri"/>
        <family val="2"/>
      </rPr>
      <t xml:space="preserve">Base para escultura construída em mdf de 6mm e 15mm com dimensões e geometrias variadas, com estrutura de madeira reforçada de pontalete 5x5cm, e acabamento em pintura acrílica fosca Papel de Seda, da Suvinil.
</t>
    </r>
    <r>
      <rPr>
        <u/>
        <sz val="11"/>
        <color rgb="FF000000"/>
        <rFont val="Arial"/>
        <family val="2"/>
      </rPr>
      <t>Dimensões aproximadas : 75x 200x 225cm</t>
    </r>
  </si>
  <si>
    <t>12</t>
  </si>
  <si>
    <t>18</t>
  </si>
  <si>
    <t>diária</t>
  </si>
  <si>
    <t>verba</t>
  </si>
  <si>
    <t>PE 2026012000380</t>
  </si>
  <si>
    <t>PLANILHA PROPOSTA COMERCIAL - ANEXO III</t>
  </si>
  <si>
    <r>
      <t xml:space="preserve">Fornecimento e instalação de painel elétrico metalico de sobrepor, composto por:  01 minidisjuntor tripolar 50A, 01 IDR-dispositivo diferencial residual - tetrapolar de 63A - 30ma, 13 disjuntores 250V - 20A BIPOLAR, 4 disjuntores 250V - 25A UNIPOLAR,01 disjuntor 250V - 50A TRIPOLAR, 01 dispositivo de proteção contra surtos 175V, 20kA, barramentos de neutro e terra 16 FUROS, barramento tipo pente trifasico 80A-40 posições, caixa metálica  600x600x200mm em chapa com tratamento de Fosfato de Zinco e pintura a pó, placa de montagem pintado na cor laranja RAL 2008, porta e corpo pintado na cor bege RAL 7032, Fecho Lingueta Yale Regulável Com Uma Chave Tasco, pino metálico nas dobradiças, porta com borracha de vedação.  Com todos acessorios para montagem(canaletas, cabos, barramentos para fase, neutro e terra, trilho din) do quadro conforme projeto de elétrica e memorial descritivo.Verificar projeto eletrico. 
</t>
    </r>
    <r>
      <rPr>
        <b/>
        <sz val="11"/>
        <color theme="1"/>
        <rFont val="Arial"/>
        <family val="2"/>
      </rPr>
      <t>Item será usado pelo setor de Infraestrutura após o término da exposição.</t>
    </r>
  </si>
  <si>
    <t>93</t>
  </si>
  <si>
    <t>31</t>
  </si>
  <si>
    <t>9</t>
  </si>
  <si>
    <t>TOTAL GLOBAL</t>
  </si>
  <si>
    <t>C.1</t>
  </si>
  <si>
    <t>Sinalização de emergência</t>
  </si>
  <si>
    <t>DATA:</t>
  </si>
  <si>
    <r>
      <rPr>
        <b/>
        <sz val="11"/>
        <color theme="1"/>
        <rFont val="Arial"/>
        <family val="2"/>
      </rPr>
      <t>MANUTENÇÃO</t>
    </r>
    <r>
      <rPr>
        <sz val="11"/>
        <color theme="1"/>
        <rFont val="Arial"/>
        <family val="2"/>
      </rPr>
      <t xml:space="preserve">. Fornecimento de material e mão de obra para realização de serviços de manutenção preventiva e corretiva para os 8 meses de duração da exposição. Deverá considerar no mínimo 1 (uma) visita quinzenal, às segundas-feiras. O atendimento aos chamados do Sesc deverá ser realizado por equipe técnica habilitada, contemplando no mínimo 2 (dois) profissionais tecnicamente capacitados de acordo com a natureza do reparo a ser executado.
A manutenção da exposição deverá ser realizada de maneira periódica, mantendo as características do projeto do início até o fim. A manutenção consiste em: repintura das áreas com desgaste, revisão e troca de lâmpadas, revisão e manutenção semanal das estruturas, substituição de pisos e revestimentos quando danificados e manutenção de material gráfico quando necessária. Os materiais empregados e a mão-de-obra são de responsabilidade da CONTRATADA.
No caso de eventuais ocorrências, a CONTRATADA receberá um chamado da equipe do Sesc e deverá recorrer à imediata limpeza e/ou conserto. A CONTRATADA deverá atender aos chamados do Sesc em até 24 horas (corridas) para serviços de manutenção corretiva durante todo o período da exposição.
</t>
    </r>
  </si>
  <si>
    <r>
      <t xml:space="preserve">As marcas mencionadas neste memorial são utilizadas exclusivamente como </t>
    </r>
    <r>
      <rPr>
        <b/>
        <sz val="14"/>
        <color theme="1"/>
        <rFont val="Arial"/>
        <family val="2"/>
      </rPr>
      <t>referência</t>
    </r>
    <r>
      <rPr>
        <sz val="14"/>
        <color theme="1"/>
        <rFont val="Arial"/>
        <family val="2"/>
      </rPr>
      <t>, podendo ser substituídas por marcas similares, desde que de qualidade igual ou superior.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</si>
</sst>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R$&quot;\ * #,##0.00_-;\-&quot;R$&quot;\ * #,##0.00_-;_-&quot;R$&quot;\ * &quot;-&quot;??_-;_-@"/>
    <numFmt numFmtId="165" formatCode="_-* #,##0_-;\-* #,##0_-;_-* &quot;-&quot;??_-;_-@"/>
    <numFmt numFmtId="166" formatCode="_-* #,##0.00_-;\-* #,##0.00_-;_-* &quot;-&quot;??_-;_-@"/>
  </numFmts>
  <fonts count="26" x14ac:knownFonts="1">
    <font>
      <sz val="11"/>
      <color theme="1"/>
      <name val="Calibri"/>
      <scheme val="minor"/>
    </font>
    <font>
      <sz val="11"/>
      <color theme="1"/>
      <name val="Calibri"/>
      <family val="2"/>
      <scheme val="minor"/>
    </font>
    <font>
      <sz val="11"/>
      <color theme="1"/>
      <name val="Arial"/>
      <family val="2"/>
    </font>
    <font>
      <sz val="11"/>
      <name val="Calibri"/>
      <family val="2"/>
    </font>
    <font>
      <b/>
      <sz val="11"/>
      <color theme="1"/>
      <name val="Arial"/>
      <family val="2"/>
    </font>
    <font>
      <b/>
      <sz val="11"/>
      <color rgb="FF000000"/>
      <name val="Arial"/>
      <family val="2"/>
    </font>
    <font>
      <sz val="11"/>
      <color theme="1"/>
      <name val="Calibri"/>
      <family val="2"/>
    </font>
    <font>
      <sz val="11"/>
      <color rgb="FF000000"/>
      <name val="Arial"/>
      <family val="2"/>
    </font>
    <font>
      <sz val="11"/>
      <color rgb="FFFF0000"/>
      <name val="Arial"/>
      <family val="2"/>
    </font>
    <font>
      <i/>
      <sz val="11"/>
      <color theme="1"/>
      <name val="Arial"/>
      <family val="2"/>
    </font>
    <font>
      <b/>
      <u/>
      <sz val="11"/>
      <color rgb="FF000000"/>
      <name val="Arial"/>
      <family val="2"/>
    </font>
    <font>
      <sz val="7"/>
      <color theme="1"/>
      <name val="Times New Roman"/>
      <family val="1"/>
    </font>
    <font>
      <b/>
      <u/>
      <sz val="11"/>
      <color theme="1"/>
      <name val="Arial"/>
      <family val="2"/>
    </font>
    <font>
      <sz val="11"/>
      <color rgb="FF000000"/>
      <name val="Calibri"/>
      <family val="2"/>
    </font>
    <font>
      <u/>
      <sz val="11"/>
      <color rgb="FF000000"/>
      <name val="Arial"/>
      <family val="2"/>
    </font>
    <font>
      <u/>
      <sz val="11"/>
      <color theme="1"/>
      <name val="Arial"/>
      <family val="2"/>
    </font>
    <font>
      <b/>
      <sz val="11"/>
      <color rgb="FF0000FF"/>
      <name val="Arial"/>
      <family val="2"/>
    </font>
    <font>
      <sz val="11"/>
      <color rgb="FF0000FF"/>
      <name val="Calibri"/>
      <family val="2"/>
    </font>
    <font>
      <b/>
      <sz val="11"/>
      <name val="Arial"/>
      <family val="2"/>
    </font>
    <font>
      <b/>
      <sz val="11"/>
      <name val="Calibri"/>
      <family val="2"/>
    </font>
    <font>
      <b/>
      <sz val="14"/>
      <color theme="1"/>
      <name val="Arial"/>
      <family val="2"/>
    </font>
    <font>
      <sz val="14"/>
      <color theme="1"/>
      <name val="Calibri"/>
      <family val="2"/>
      <scheme val="minor"/>
    </font>
    <font>
      <sz val="14"/>
      <color theme="1"/>
      <name val="Arial"/>
      <family val="2"/>
    </font>
    <font>
      <sz val="14"/>
      <name val="Arial"/>
      <family val="2"/>
    </font>
    <font>
      <sz val="14"/>
      <name val="Calibri"/>
      <family val="2"/>
      <scheme val="minor"/>
    </font>
    <font>
      <b/>
      <sz val="14"/>
      <color theme="1"/>
      <name val="Calibri"/>
      <family val="2"/>
      <scheme val="minor"/>
    </font>
  </fonts>
  <fills count="16">
    <fill>
      <patternFill patternType="none"/>
    </fill>
    <fill>
      <patternFill patternType="gray125"/>
    </fill>
    <fill>
      <patternFill patternType="solid">
        <fgColor rgb="FFD8D8D8"/>
        <bgColor rgb="FFD8D8D8"/>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theme="0" tint="-4.9989318521683403E-2"/>
        <bgColor rgb="FFD8D8D8"/>
      </patternFill>
    </fill>
    <fill>
      <patternFill patternType="solid">
        <fgColor theme="0" tint="-4.9989318521683403E-2"/>
        <bgColor indexed="64"/>
      </patternFill>
    </fill>
    <fill>
      <patternFill patternType="solid">
        <fgColor theme="0" tint="-4.9989318521683403E-2"/>
        <bgColor rgb="FFC6D9F0"/>
      </patternFill>
    </fill>
    <fill>
      <patternFill patternType="solid">
        <fgColor theme="0" tint="-4.9989318521683403E-2"/>
        <bgColor rgb="FFCFE2F3"/>
      </patternFill>
    </fill>
    <fill>
      <patternFill patternType="solid">
        <fgColor theme="0" tint="-4.9989318521683403E-2"/>
        <bgColor rgb="FFF4CCCC"/>
      </patternFill>
    </fill>
    <fill>
      <patternFill patternType="solid">
        <fgColor theme="0"/>
        <bgColor rgb="FFC6D9F0"/>
      </patternFill>
    </fill>
    <fill>
      <patternFill patternType="solid">
        <fgColor theme="0" tint="-4.9989318521683403E-2"/>
        <bgColor theme="0"/>
      </patternFill>
    </fill>
    <fill>
      <patternFill patternType="solid">
        <fgColor theme="6" tint="0.59999389629810485"/>
        <bgColor theme="0"/>
      </patternFill>
    </fill>
    <fill>
      <patternFill patternType="solid">
        <fgColor theme="6" tint="0.59999389629810485"/>
        <bgColor indexed="64"/>
      </patternFill>
    </fill>
    <fill>
      <patternFill patternType="solid">
        <fgColor theme="0" tint="-0.14999847407452621"/>
        <bgColor rgb="FFC6D9F0"/>
      </patternFill>
    </fill>
  </fills>
  <borders count="5">
    <border>
      <left/>
      <right/>
      <top/>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s>
  <cellStyleXfs count="1">
    <xf numFmtId="0" fontId="0" fillId="0" borderId="0"/>
  </cellStyleXfs>
  <cellXfs count="95">
    <xf numFmtId="0" fontId="0" fillId="0" borderId="0" xfId="0"/>
    <xf numFmtId="0" fontId="2" fillId="0" borderId="1" xfId="0" applyFont="1" applyBorder="1" applyAlignment="1" applyProtection="1">
      <alignment horizontal="center" vertical="center" wrapText="1"/>
      <protection hidden="1"/>
    </xf>
    <xf numFmtId="0" fontId="0" fillId="0" borderId="0" xfId="0" applyProtection="1">
      <protection hidden="1"/>
    </xf>
    <xf numFmtId="0" fontId="4" fillId="0" borderId="1" xfId="0" applyFont="1" applyBorder="1" applyAlignment="1" applyProtection="1">
      <alignment horizontal="center" vertical="center" wrapText="1"/>
      <protection hidden="1"/>
    </xf>
    <xf numFmtId="164" fontId="4" fillId="0" borderId="1" xfId="0" applyNumberFormat="1" applyFont="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18" fillId="2" borderId="1" xfId="0" applyFont="1" applyFill="1" applyBorder="1" applyAlignment="1" applyProtection="1">
      <alignment horizontal="left" vertical="center" wrapText="1"/>
      <protection hidden="1"/>
    </xf>
    <xf numFmtId="49" fontId="2" fillId="2" borderId="1" xfId="0" applyNumberFormat="1" applyFont="1" applyFill="1" applyBorder="1" applyAlignment="1" applyProtection="1">
      <alignment horizontal="center" vertical="center" wrapText="1"/>
      <protection hidden="1"/>
    </xf>
    <xf numFmtId="164" fontId="2" fillId="2" borderId="1" xfId="0" applyNumberFormat="1" applyFont="1" applyFill="1" applyBorder="1" applyAlignment="1" applyProtection="1">
      <alignment horizontal="center" vertical="center"/>
      <protection hidden="1"/>
    </xf>
    <xf numFmtId="0" fontId="2" fillId="8" borderId="1" xfId="0" applyFont="1" applyFill="1" applyBorder="1" applyAlignment="1" applyProtection="1">
      <alignment horizontal="center" vertical="center" wrapText="1"/>
      <protection hidden="1"/>
    </xf>
    <xf numFmtId="0" fontId="4" fillId="9" borderId="1" xfId="0" applyFont="1" applyFill="1" applyBorder="1" applyAlignment="1" applyProtection="1">
      <alignment horizontal="center" vertical="center" wrapText="1"/>
      <protection hidden="1"/>
    </xf>
    <xf numFmtId="0" fontId="4" fillId="10" borderId="1" xfId="0" applyFont="1" applyFill="1" applyBorder="1" applyAlignment="1" applyProtection="1">
      <alignment horizontal="left" vertical="center" wrapText="1"/>
      <protection hidden="1"/>
    </xf>
    <xf numFmtId="0" fontId="2" fillId="8" borderId="2" xfId="0" applyFont="1" applyFill="1" applyBorder="1" applyAlignment="1" applyProtection="1">
      <alignment horizontal="center" vertical="center" wrapText="1"/>
      <protection hidden="1"/>
    </xf>
    <xf numFmtId="49" fontId="2" fillId="8" borderId="3" xfId="0" applyNumberFormat="1" applyFont="1" applyFill="1" applyBorder="1" applyAlignment="1" applyProtection="1">
      <alignment horizontal="center" vertical="center" wrapText="1"/>
      <protection hidden="1"/>
    </xf>
    <xf numFmtId="164" fontId="2" fillId="8" borderId="3" xfId="0" applyNumberFormat="1" applyFont="1" applyFill="1" applyBorder="1" applyAlignment="1" applyProtection="1">
      <alignment horizontal="center" vertical="center"/>
      <protection hidden="1"/>
    </xf>
    <xf numFmtId="164" fontId="2" fillId="8" borderId="4" xfId="0" applyNumberFormat="1" applyFont="1" applyFill="1" applyBorder="1" applyAlignment="1" applyProtection="1">
      <alignment horizontal="center" vertical="center"/>
      <protection hidden="1"/>
    </xf>
    <xf numFmtId="0" fontId="2" fillId="3" borderId="1" xfId="0" applyFont="1" applyFill="1" applyBorder="1" applyAlignment="1" applyProtection="1">
      <alignment horizontal="center" vertical="center" wrapText="1"/>
      <protection hidden="1"/>
    </xf>
    <xf numFmtId="0" fontId="2" fillId="0" borderId="1" xfId="0" applyFont="1" applyBorder="1" applyAlignment="1" applyProtection="1">
      <alignment horizontal="left" vertical="center" wrapText="1"/>
      <protection hidden="1"/>
    </xf>
    <xf numFmtId="49" fontId="2" fillId="0" borderId="1" xfId="0" applyNumberFormat="1" applyFont="1" applyBorder="1" applyAlignment="1" applyProtection="1">
      <alignment horizontal="center" vertical="center" wrapText="1"/>
      <protection hidden="1"/>
    </xf>
    <xf numFmtId="164" fontId="2" fillId="0" borderId="1" xfId="0" applyNumberFormat="1" applyFont="1" applyBorder="1" applyAlignment="1" applyProtection="1">
      <alignment horizontal="center" vertical="center"/>
      <protection hidden="1"/>
    </xf>
    <xf numFmtId="0" fontId="5" fillId="0" borderId="1" xfId="0" applyFont="1" applyBorder="1" applyAlignment="1" applyProtection="1">
      <alignment horizontal="left" vertical="center" wrapText="1"/>
      <protection hidden="1"/>
    </xf>
    <xf numFmtId="0" fontId="2" fillId="11" borderId="1" xfId="0" applyFont="1" applyFill="1" applyBorder="1" applyAlignment="1" applyProtection="1">
      <alignment horizontal="center" vertical="center" wrapText="1"/>
      <protection hidden="1"/>
    </xf>
    <xf numFmtId="49" fontId="2" fillId="4" borderId="1" xfId="0" applyNumberFormat="1" applyFont="1" applyFill="1" applyBorder="1" applyAlignment="1" applyProtection="1">
      <alignment horizontal="center" vertical="center" wrapText="1"/>
      <protection hidden="1"/>
    </xf>
    <xf numFmtId="0" fontId="2" fillId="12" borderId="1" xfId="0" applyFont="1" applyFill="1" applyBorder="1" applyAlignment="1" applyProtection="1">
      <alignment horizontal="center" vertical="center" wrapText="1"/>
      <protection hidden="1"/>
    </xf>
    <xf numFmtId="165" fontId="4" fillId="8" borderId="1" xfId="0" applyNumberFormat="1" applyFont="1" applyFill="1" applyBorder="1" applyAlignment="1" applyProtection="1">
      <alignment horizontal="center" vertical="center" wrapText="1"/>
      <protection hidden="1"/>
    </xf>
    <xf numFmtId="0" fontId="2" fillId="10" borderId="1" xfId="0" applyFont="1" applyFill="1" applyBorder="1" applyAlignment="1" applyProtection="1">
      <alignment horizontal="left" vertical="center" wrapText="1"/>
      <protection hidden="1"/>
    </xf>
    <xf numFmtId="0" fontId="2" fillId="0" borderId="1" xfId="0" applyFont="1" applyBorder="1" applyAlignment="1" applyProtection="1">
      <alignment vertical="center" wrapText="1"/>
      <protection hidden="1"/>
    </xf>
    <xf numFmtId="0" fontId="6" fillId="0" borderId="1" xfId="0" applyFont="1" applyBorder="1" applyAlignment="1" applyProtection="1">
      <alignment vertical="center" wrapText="1"/>
      <protection hidden="1"/>
    </xf>
    <xf numFmtId="0" fontId="5" fillId="10" borderId="1" xfId="0" applyFont="1" applyFill="1" applyBorder="1" applyAlignment="1" applyProtection="1">
      <alignment horizontal="left" vertical="center"/>
      <protection hidden="1"/>
    </xf>
    <xf numFmtId="0" fontId="4" fillId="3" borderId="1" xfId="0" applyFont="1" applyFill="1" applyBorder="1" applyAlignment="1" applyProtection="1">
      <alignment horizontal="center" vertical="center" wrapText="1"/>
      <protection hidden="1"/>
    </xf>
    <xf numFmtId="0" fontId="7" fillId="3" borderId="1" xfId="0" applyFont="1" applyFill="1" applyBorder="1" applyAlignment="1" applyProtection="1">
      <alignment horizontal="left" vertical="center" wrapText="1"/>
      <protection hidden="1"/>
    </xf>
    <xf numFmtId="0" fontId="4" fillId="8" borderId="1" xfId="0" applyFont="1" applyFill="1" applyBorder="1" applyAlignment="1" applyProtection="1">
      <alignment vertical="center" wrapText="1"/>
      <protection hidden="1"/>
    </xf>
    <xf numFmtId="0" fontId="7" fillId="0" borderId="1" xfId="0" applyFont="1" applyBorder="1" applyAlignment="1" applyProtection="1">
      <alignment horizontal="left" vertical="center" wrapText="1"/>
      <protection hidden="1"/>
    </xf>
    <xf numFmtId="0" fontId="5" fillId="8" borderId="1" xfId="0" applyFont="1" applyFill="1" applyBorder="1" applyAlignment="1" applyProtection="1">
      <alignment vertical="center" wrapText="1"/>
      <protection hidden="1"/>
    </xf>
    <xf numFmtId="0" fontId="7" fillId="0" borderId="1" xfId="0" applyFont="1" applyBorder="1" applyAlignment="1" applyProtection="1">
      <alignment horizontal="left" vertical="center"/>
      <protection hidden="1"/>
    </xf>
    <xf numFmtId="0" fontId="4" fillId="8" borderId="1" xfId="0" applyFont="1" applyFill="1" applyBorder="1" applyAlignment="1" applyProtection="1">
      <alignment horizontal="left" vertical="center"/>
      <protection hidden="1"/>
    </xf>
    <xf numFmtId="0" fontId="4" fillId="8" borderId="1" xfId="0" applyFont="1" applyFill="1" applyBorder="1" applyAlignment="1" applyProtection="1">
      <alignment vertical="center"/>
      <protection hidden="1"/>
    </xf>
    <xf numFmtId="0" fontId="2" fillId="3" borderId="1" xfId="0" applyFont="1" applyFill="1" applyBorder="1" applyAlignment="1" applyProtection="1">
      <alignment vertical="center" wrapText="1"/>
      <protection hidden="1"/>
    </xf>
    <xf numFmtId="0" fontId="4" fillId="0" borderId="1" xfId="0" applyFont="1" applyBorder="1" applyAlignment="1" applyProtection="1">
      <alignment vertical="center" wrapText="1"/>
      <protection hidden="1"/>
    </xf>
    <xf numFmtId="0" fontId="2" fillId="15" borderId="1" xfId="0" applyFont="1" applyFill="1" applyBorder="1" applyAlignment="1" applyProtection="1">
      <alignment horizontal="center" vertical="center" wrapText="1"/>
      <protection hidden="1"/>
    </xf>
    <xf numFmtId="166" fontId="4" fillId="15" borderId="1" xfId="0" applyNumberFormat="1" applyFont="1" applyFill="1" applyBorder="1" applyAlignment="1" applyProtection="1">
      <alignment horizontal="center" vertical="center" wrapText="1"/>
      <protection hidden="1"/>
    </xf>
    <xf numFmtId="0" fontId="4" fillId="15" borderId="1" xfId="0" applyFont="1" applyFill="1" applyBorder="1" applyAlignment="1" applyProtection="1">
      <alignment vertical="center" wrapText="1"/>
      <protection hidden="1"/>
    </xf>
    <xf numFmtId="0" fontId="2" fillId="15" borderId="2" xfId="0" applyFont="1" applyFill="1" applyBorder="1" applyAlignment="1" applyProtection="1">
      <alignment horizontal="center" vertical="center" wrapText="1"/>
      <protection hidden="1"/>
    </xf>
    <xf numFmtId="49" fontId="2" fillId="15" borderId="3" xfId="0" applyNumberFormat="1" applyFont="1" applyFill="1" applyBorder="1" applyAlignment="1" applyProtection="1">
      <alignment horizontal="center" vertical="center" wrapText="1"/>
      <protection hidden="1"/>
    </xf>
    <xf numFmtId="164" fontId="2" fillId="15" borderId="3" xfId="0" applyNumberFormat="1" applyFont="1" applyFill="1" applyBorder="1" applyAlignment="1" applyProtection="1">
      <alignment horizontal="center" vertical="center"/>
      <protection hidden="1"/>
    </xf>
    <xf numFmtId="164" fontId="2" fillId="15" borderId="4" xfId="0" applyNumberFormat="1" applyFont="1" applyFill="1" applyBorder="1" applyAlignment="1" applyProtection="1">
      <alignment horizontal="center" vertical="center"/>
      <protection hidden="1"/>
    </xf>
    <xf numFmtId="166" fontId="4" fillId="3" borderId="1" xfId="0" applyNumberFormat="1" applyFont="1" applyFill="1" applyBorder="1" applyAlignment="1" applyProtection="1">
      <alignment horizontal="center" vertical="center" wrapText="1"/>
      <protection hidden="1"/>
    </xf>
    <xf numFmtId="0" fontId="2" fillId="3" borderId="1" xfId="0" applyFont="1" applyFill="1" applyBorder="1" applyAlignment="1" applyProtection="1">
      <alignment vertical="center"/>
      <protection hidden="1"/>
    </xf>
    <xf numFmtId="39" fontId="9" fillId="0" borderId="1" xfId="0" applyNumberFormat="1" applyFont="1" applyBorder="1" applyAlignment="1" applyProtection="1">
      <alignment horizontal="left" vertical="center" wrapText="1"/>
      <protection hidden="1"/>
    </xf>
    <xf numFmtId="0" fontId="2" fillId="13" borderId="1" xfId="0" applyFont="1" applyFill="1" applyBorder="1" applyAlignment="1" applyProtection="1">
      <alignment horizontal="center" vertical="center" wrapText="1"/>
      <protection hidden="1"/>
    </xf>
    <xf numFmtId="166" fontId="4" fillId="13" borderId="1" xfId="0" applyNumberFormat="1" applyFont="1" applyFill="1" applyBorder="1" applyAlignment="1" applyProtection="1">
      <alignment horizontal="center" vertical="center" wrapText="1"/>
      <protection hidden="1"/>
    </xf>
    <xf numFmtId="0" fontId="2" fillId="14" borderId="1" xfId="0" applyFont="1" applyFill="1" applyBorder="1" applyAlignment="1" applyProtection="1">
      <alignment vertical="center" wrapText="1"/>
      <protection hidden="1"/>
    </xf>
    <xf numFmtId="49" fontId="2" fillId="14" borderId="1" xfId="0" applyNumberFormat="1" applyFont="1" applyFill="1" applyBorder="1" applyAlignment="1" applyProtection="1">
      <alignment horizontal="center" vertical="center" wrapText="1"/>
      <protection hidden="1"/>
    </xf>
    <xf numFmtId="164" fontId="2" fillId="14" borderId="1" xfId="0" applyNumberFormat="1" applyFont="1" applyFill="1" applyBorder="1" applyAlignment="1" applyProtection="1">
      <alignment horizontal="center" vertical="center"/>
      <protection hidden="1"/>
    </xf>
    <xf numFmtId="0" fontId="7" fillId="15" borderId="1" xfId="0" applyFont="1" applyFill="1" applyBorder="1" applyAlignment="1" applyProtection="1">
      <alignment vertical="center" wrapText="1"/>
      <protection hidden="1"/>
    </xf>
    <xf numFmtId="0" fontId="2" fillId="3" borderId="2" xfId="0" applyFont="1" applyFill="1" applyBorder="1" applyAlignment="1" applyProtection="1">
      <alignment horizontal="center" vertical="center" wrapText="1"/>
      <protection hidden="1"/>
    </xf>
    <xf numFmtId="49" fontId="2" fillId="3" borderId="3" xfId="0" applyNumberFormat="1" applyFont="1" applyFill="1" applyBorder="1" applyAlignment="1" applyProtection="1">
      <alignment horizontal="center" vertical="center" wrapText="1"/>
      <protection hidden="1"/>
    </xf>
    <xf numFmtId="164" fontId="2" fillId="0" borderId="3" xfId="0" applyNumberFormat="1" applyFont="1" applyBorder="1" applyAlignment="1" applyProtection="1">
      <alignment horizontal="center" vertical="center"/>
      <protection hidden="1"/>
    </xf>
    <xf numFmtId="164" fontId="2" fillId="0" borderId="4" xfId="0" applyNumberFormat="1" applyFont="1" applyBorder="1" applyAlignment="1" applyProtection="1">
      <alignment horizontal="center" vertical="center"/>
      <protection hidden="1"/>
    </xf>
    <xf numFmtId="49" fontId="2" fillId="3" borderId="1" xfId="0" applyNumberFormat="1" applyFont="1" applyFill="1" applyBorder="1" applyAlignment="1" applyProtection="1">
      <alignment horizontal="center" vertical="center" wrapText="1"/>
      <protection hidden="1"/>
    </xf>
    <xf numFmtId="166" fontId="4" fillId="0" borderId="1" xfId="0" applyNumberFormat="1" applyFont="1" applyBorder="1" applyAlignment="1" applyProtection="1">
      <alignment horizontal="center" vertical="center" wrapText="1"/>
      <protection hidden="1"/>
    </xf>
    <xf numFmtId="0" fontId="2" fillId="0" borderId="1" xfId="0" applyFont="1" applyBorder="1" applyAlignment="1" applyProtection="1">
      <alignment vertical="center"/>
      <protection hidden="1"/>
    </xf>
    <xf numFmtId="164" fontId="4" fillId="2" borderId="1" xfId="0" applyNumberFormat="1" applyFont="1" applyFill="1" applyBorder="1" applyAlignment="1" applyProtection="1">
      <alignment horizontal="center" vertical="center"/>
      <protection hidden="1"/>
    </xf>
    <xf numFmtId="164" fontId="20" fillId="2" borderId="1" xfId="0" applyNumberFormat="1" applyFont="1" applyFill="1" applyBorder="1" applyAlignment="1" applyProtection="1">
      <alignment horizontal="center" vertical="center"/>
      <protection hidden="1"/>
    </xf>
    <xf numFmtId="0" fontId="1" fillId="0" borderId="0" xfId="0" applyFont="1" applyAlignment="1" applyProtection="1">
      <alignment horizontal="center" vertical="center"/>
      <protection hidden="1"/>
    </xf>
    <xf numFmtId="0" fontId="0" fillId="0" borderId="0" xfId="0" applyAlignment="1" applyProtection="1">
      <alignment vertical="center"/>
      <protection hidden="1"/>
    </xf>
    <xf numFmtId="0" fontId="0" fillId="0" borderId="0" xfId="0" applyAlignment="1" applyProtection="1">
      <alignment horizontal="center" vertical="center"/>
      <protection hidden="1"/>
    </xf>
    <xf numFmtId="166" fontId="20" fillId="5" borderId="1" xfId="0" applyNumberFormat="1" applyFont="1" applyFill="1" applyBorder="1" applyAlignment="1" applyProtection="1">
      <alignment horizontal="center" vertical="center" wrapText="1"/>
      <protection hidden="1"/>
    </xf>
    <xf numFmtId="0" fontId="22" fillId="0" borderId="0" xfId="0" applyFont="1" applyAlignment="1" applyProtection="1">
      <alignment vertical="center"/>
      <protection hidden="1"/>
    </xf>
    <xf numFmtId="0" fontId="21" fillId="0" borderId="0" xfId="0" applyFont="1" applyAlignment="1" applyProtection="1">
      <alignment horizontal="center" vertical="center"/>
      <protection hidden="1"/>
    </xf>
    <xf numFmtId="0" fontId="21" fillId="0" borderId="0" xfId="0" applyFont="1" applyProtection="1">
      <protection hidden="1"/>
    </xf>
    <xf numFmtId="0" fontId="21" fillId="0" borderId="0" xfId="0" applyFont="1" applyAlignment="1" applyProtection="1">
      <alignment vertical="center"/>
      <protection hidden="1"/>
    </xf>
    <xf numFmtId="0" fontId="25" fillId="0" borderId="0" xfId="0" applyFont="1" applyAlignment="1" applyProtection="1">
      <alignment vertical="center"/>
      <protection hidden="1"/>
    </xf>
    <xf numFmtId="0" fontId="20" fillId="0" borderId="0" xfId="0" applyFont="1" applyAlignment="1" applyProtection="1">
      <alignment vertical="center"/>
      <protection hidden="1"/>
    </xf>
    <xf numFmtId="14" fontId="20" fillId="0" borderId="0" xfId="0" applyNumberFormat="1" applyFont="1" applyAlignment="1" applyProtection="1">
      <alignment horizontal="left" vertical="center"/>
      <protection hidden="1"/>
    </xf>
    <xf numFmtId="164" fontId="2" fillId="0" borderId="1" xfId="0" applyNumberFormat="1" applyFont="1" applyBorder="1" applyAlignment="1" applyProtection="1">
      <alignment horizontal="center" vertical="center"/>
      <protection locked="0"/>
    </xf>
    <xf numFmtId="164" fontId="2" fillId="14" borderId="1" xfId="0" applyNumberFormat="1" applyFont="1" applyFill="1" applyBorder="1" applyAlignment="1" applyProtection="1">
      <alignment horizontal="center" vertical="center"/>
      <protection locked="0"/>
    </xf>
    <xf numFmtId="0" fontId="2" fillId="0" borderId="1" xfId="0" applyFont="1" applyBorder="1" applyAlignment="1" applyProtection="1">
      <alignment horizontal="center" vertical="center" wrapText="1"/>
      <protection hidden="1"/>
    </xf>
    <xf numFmtId="0" fontId="3" fillId="0" borderId="1" xfId="0" applyFont="1" applyBorder="1" applyProtection="1">
      <protection hidden="1"/>
    </xf>
    <xf numFmtId="0" fontId="0" fillId="0" borderId="1" xfId="0" applyBorder="1" applyProtection="1">
      <protection hidden="1"/>
    </xf>
    <xf numFmtId="0" fontId="16" fillId="6" borderId="1" xfId="0" applyFont="1" applyFill="1" applyBorder="1" applyAlignment="1" applyProtection="1">
      <alignment horizontal="center" vertical="center" wrapText="1"/>
      <protection hidden="1"/>
    </xf>
    <xf numFmtId="0" fontId="17" fillId="7" borderId="1" xfId="0" applyFont="1" applyFill="1" applyBorder="1" applyAlignment="1" applyProtection="1">
      <alignment horizontal="center" vertical="center"/>
      <protection hidden="1"/>
    </xf>
    <xf numFmtId="0" fontId="4" fillId="0" borderId="1" xfId="0" applyFont="1" applyBorder="1" applyAlignment="1" applyProtection="1">
      <alignment horizontal="center" vertical="center" wrapText="1"/>
      <protection hidden="1"/>
    </xf>
    <xf numFmtId="0" fontId="3" fillId="0" borderId="1" xfId="0" applyFont="1" applyBorder="1" applyAlignment="1" applyProtection="1">
      <alignment horizontal="center" vertical="center"/>
      <protection hidden="1"/>
    </xf>
    <xf numFmtId="164" fontId="5" fillId="0" borderId="1" xfId="0" applyNumberFormat="1" applyFont="1" applyBorder="1" applyAlignment="1" applyProtection="1">
      <alignment horizontal="center" vertical="center" wrapText="1"/>
      <protection hidden="1"/>
    </xf>
    <xf numFmtId="0" fontId="23" fillId="0" borderId="0" xfId="0" applyFont="1" applyAlignment="1" applyProtection="1">
      <alignment horizontal="left" vertical="center" wrapText="1"/>
      <protection hidden="1"/>
    </xf>
    <xf numFmtId="0" fontId="24" fillId="0" borderId="0" xfId="0" applyFont="1" applyProtection="1">
      <protection hidden="1"/>
    </xf>
    <xf numFmtId="164" fontId="4" fillId="0" borderId="1" xfId="0" applyNumberFormat="1" applyFont="1" applyBorder="1" applyAlignment="1" applyProtection="1">
      <alignment horizontal="center" vertical="center" wrapText="1"/>
      <protection hidden="1"/>
    </xf>
    <xf numFmtId="0" fontId="19" fillId="0" borderId="1" xfId="0" applyFont="1" applyBorder="1" applyAlignment="1" applyProtection="1">
      <alignment horizontal="center" vertical="center"/>
      <protection hidden="1"/>
    </xf>
    <xf numFmtId="0" fontId="5" fillId="0" borderId="1" xfId="0" applyFont="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4" fillId="2" borderId="4" xfId="0" applyFont="1" applyFill="1" applyBorder="1" applyAlignment="1" applyProtection="1">
      <alignment horizontal="center" vertical="center" wrapText="1"/>
      <protection hidden="1"/>
    </xf>
    <xf numFmtId="0" fontId="3" fillId="0" borderId="1" xfId="0" applyFont="1" applyBorder="1" applyAlignment="1" applyProtection="1">
      <alignment vertical="center"/>
      <protection hidden="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7" Type="http://customschemas.google.com/relationships/workbookmetadata" Target="metadata"/><Relationship Id="rId12" Type="http://schemas.openxmlformats.org/officeDocument/2006/relationships/customXml" Target="../customXml/item1.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2</xdr:col>
      <xdr:colOff>47625</xdr:colOff>
      <xdr:row>5</xdr:row>
      <xdr:rowOff>0</xdr:rowOff>
    </xdr:from>
    <xdr:ext cx="200025" cy="276225"/>
    <xdr:sp macro="" textlink="">
      <xdr:nvSpPr>
        <xdr:cNvPr id="3" name="Shape 3">
          <a:extLst>
            <a:ext uri="{FF2B5EF4-FFF2-40B4-BE49-F238E27FC236}">
              <a16:creationId xmlns:a16="http://schemas.microsoft.com/office/drawing/2014/main" id="{00000000-0008-0000-0000-000003000000}"/>
            </a:ext>
          </a:extLst>
        </xdr:cNvPr>
        <xdr:cNvSpPr txBox="1"/>
      </xdr:nvSpPr>
      <xdr:spPr>
        <a:xfrm>
          <a:off x="5250750" y="364665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134710</xdr:colOff>
      <xdr:row>0</xdr:row>
      <xdr:rowOff>168728</xdr:rowOff>
    </xdr:from>
    <xdr:ext cx="7063469" cy="1069522"/>
    <xdr:pic>
      <xdr:nvPicPr>
        <xdr:cNvPr id="2" name="image1.jpg" descr="BalancSColuna 2012">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34710" y="168728"/>
          <a:ext cx="7063469" cy="1069522"/>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pageSetUpPr fitToPage="1"/>
  </sheetPr>
  <dimension ref="A1:K998"/>
  <sheetViews>
    <sheetView tabSelected="1" topLeftCell="A64" zoomScale="70" zoomScaleNormal="70" workbookViewId="0">
      <selection activeCell="D57" sqref="D57"/>
    </sheetView>
  </sheetViews>
  <sheetFormatPr defaultColWidth="14.42578125" defaultRowHeight="15" customHeight="1" x14ac:dyDescent="0.25"/>
  <cols>
    <col min="1" max="1" width="6.42578125" style="65" customWidth="1"/>
    <col min="2" max="2" width="15.85546875" style="2" customWidth="1"/>
    <col min="3" max="3" width="92.42578125" style="66" customWidth="1"/>
    <col min="4" max="4" width="11.140625" style="67" customWidth="1"/>
    <col min="5" max="5" width="12.85546875" style="67" customWidth="1"/>
    <col min="6" max="8" width="19.42578125" style="67" customWidth="1"/>
    <col min="9" max="9" width="23.5703125" style="67" customWidth="1"/>
    <col min="10" max="10" width="23.5703125" style="67" bestFit="1" customWidth="1"/>
    <col min="11" max="11" width="24.5703125" style="67" customWidth="1"/>
    <col min="12" max="26" width="8.7109375" style="2" customWidth="1"/>
    <col min="27" max="16384" width="14.42578125" style="2"/>
  </cols>
  <sheetData>
    <row r="1" spans="1:11" ht="27" customHeight="1" x14ac:dyDescent="0.25">
      <c r="A1" s="78"/>
      <c r="B1" s="79"/>
      <c r="C1" s="79"/>
      <c r="D1" s="79"/>
      <c r="E1" s="81" t="s">
        <v>187</v>
      </c>
      <c r="F1" s="82"/>
      <c r="G1" s="82"/>
      <c r="H1" s="82"/>
      <c r="I1" s="82"/>
      <c r="J1" s="82"/>
      <c r="K1" s="82"/>
    </row>
    <row r="2" spans="1:11" ht="27" customHeight="1" x14ac:dyDescent="0.25">
      <c r="A2" s="78"/>
      <c r="B2" s="79"/>
      <c r="C2" s="79"/>
      <c r="D2" s="79"/>
      <c r="E2" s="81" t="s">
        <v>188</v>
      </c>
      <c r="F2" s="82"/>
      <c r="G2" s="82"/>
      <c r="H2" s="82"/>
      <c r="I2" s="82"/>
      <c r="J2" s="82"/>
      <c r="K2" s="82"/>
    </row>
    <row r="3" spans="1:11" ht="27" customHeight="1" x14ac:dyDescent="0.25">
      <c r="A3" s="79"/>
      <c r="B3" s="80"/>
      <c r="C3" s="80"/>
      <c r="D3" s="79"/>
      <c r="E3" s="83" t="s">
        <v>0</v>
      </c>
      <c r="F3" s="84"/>
      <c r="G3" s="84"/>
      <c r="H3" s="84"/>
      <c r="I3" s="84"/>
      <c r="J3" s="84"/>
      <c r="K3" s="84"/>
    </row>
    <row r="4" spans="1:11" ht="27" customHeight="1" x14ac:dyDescent="0.25">
      <c r="A4" s="79"/>
      <c r="B4" s="80"/>
      <c r="C4" s="80"/>
      <c r="D4" s="79"/>
      <c r="E4" s="3" t="s">
        <v>1</v>
      </c>
      <c r="F4" s="85" t="s">
        <v>2</v>
      </c>
      <c r="G4" s="84"/>
      <c r="H4" s="84"/>
      <c r="I4" s="84"/>
      <c r="J4" s="84"/>
      <c r="K4" s="84"/>
    </row>
    <row r="5" spans="1:11" ht="27" customHeight="1" x14ac:dyDescent="0.25">
      <c r="A5" s="79"/>
      <c r="B5" s="79"/>
      <c r="C5" s="79"/>
      <c r="D5" s="79"/>
      <c r="E5" s="3" t="s">
        <v>3</v>
      </c>
      <c r="F5" s="85" t="s">
        <v>4</v>
      </c>
      <c r="G5" s="84"/>
      <c r="H5" s="84"/>
      <c r="I5" s="84"/>
      <c r="J5" s="84"/>
      <c r="K5" s="84"/>
    </row>
    <row r="6" spans="1:11" ht="23.25" customHeight="1" x14ac:dyDescent="0.25">
      <c r="A6" s="83" t="s">
        <v>5</v>
      </c>
      <c r="B6" s="90" t="s">
        <v>6</v>
      </c>
      <c r="C6" s="83" t="s">
        <v>7</v>
      </c>
      <c r="D6" s="83" t="s">
        <v>8</v>
      </c>
      <c r="E6" s="83" t="s">
        <v>9</v>
      </c>
      <c r="F6" s="88" t="s">
        <v>10</v>
      </c>
      <c r="G6" s="84"/>
      <c r="H6" s="84"/>
      <c r="I6" s="88" t="s">
        <v>11</v>
      </c>
      <c r="J6" s="84"/>
      <c r="K6" s="88" t="s">
        <v>11</v>
      </c>
    </row>
    <row r="7" spans="1:11" ht="53.25" customHeight="1" x14ac:dyDescent="0.25">
      <c r="A7" s="89"/>
      <c r="B7" s="79"/>
      <c r="C7" s="94"/>
      <c r="D7" s="84"/>
      <c r="E7" s="84"/>
      <c r="F7" s="4" t="s">
        <v>12</v>
      </c>
      <c r="G7" s="4" t="s">
        <v>13</v>
      </c>
      <c r="H7" s="4" t="s">
        <v>14</v>
      </c>
      <c r="I7" s="4" t="s">
        <v>12</v>
      </c>
      <c r="J7" s="4" t="s">
        <v>13</v>
      </c>
      <c r="K7" s="84"/>
    </row>
    <row r="8" spans="1:11" ht="24" customHeight="1" x14ac:dyDescent="0.25">
      <c r="A8" s="5"/>
      <c r="B8" s="6" t="s">
        <v>15</v>
      </c>
      <c r="C8" s="7" t="s">
        <v>16</v>
      </c>
      <c r="D8" s="5"/>
      <c r="E8" s="8"/>
      <c r="F8" s="9"/>
      <c r="G8" s="9"/>
      <c r="H8" s="9"/>
      <c r="I8" s="9"/>
      <c r="J8" s="9"/>
      <c r="K8" s="9"/>
    </row>
    <row r="9" spans="1:11" ht="55.5" customHeight="1" x14ac:dyDescent="0.25">
      <c r="A9" s="10">
        <v>1</v>
      </c>
      <c r="B9" s="11" t="s">
        <v>17</v>
      </c>
      <c r="C9" s="12" t="s">
        <v>18</v>
      </c>
      <c r="D9" s="13"/>
      <c r="E9" s="14"/>
      <c r="F9" s="15"/>
      <c r="G9" s="15"/>
      <c r="H9" s="15"/>
      <c r="I9" s="15"/>
      <c r="J9" s="15"/>
      <c r="K9" s="16"/>
    </row>
    <row r="10" spans="1:11" ht="86.25" customHeight="1" x14ac:dyDescent="0.25">
      <c r="A10" s="17">
        <v>2</v>
      </c>
      <c r="B10" s="3" t="s">
        <v>20</v>
      </c>
      <c r="C10" s="18" t="s">
        <v>21</v>
      </c>
      <c r="D10" s="1" t="s">
        <v>19</v>
      </c>
      <c r="E10" s="19" t="s">
        <v>22</v>
      </c>
      <c r="F10" s="76">
        <v>0</v>
      </c>
      <c r="G10" s="76">
        <v>0</v>
      </c>
      <c r="H10" s="20">
        <f t="shared" ref="H10" si="0">F10+G10</f>
        <v>0</v>
      </c>
      <c r="I10" s="20">
        <f t="shared" ref="I10" si="1">E10*F10</f>
        <v>0</v>
      </c>
      <c r="J10" s="20">
        <f t="shared" ref="J10" si="2">E10*G10</f>
        <v>0</v>
      </c>
      <c r="K10" s="20">
        <f t="shared" ref="K10" si="3">I10+J10</f>
        <v>0</v>
      </c>
    </row>
    <row r="11" spans="1:11" ht="87" customHeight="1" x14ac:dyDescent="0.25">
      <c r="A11" s="17">
        <v>3</v>
      </c>
      <c r="B11" s="3" t="s">
        <v>23</v>
      </c>
      <c r="C11" s="21" t="s">
        <v>24</v>
      </c>
      <c r="D11" s="1" t="s">
        <v>19</v>
      </c>
      <c r="E11" s="19" t="s">
        <v>25</v>
      </c>
      <c r="F11" s="76">
        <v>0</v>
      </c>
      <c r="G11" s="76">
        <v>0</v>
      </c>
      <c r="H11" s="20">
        <f t="shared" ref="H11:H75" si="4">F11+G11</f>
        <v>0</v>
      </c>
      <c r="I11" s="20">
        <f t="shared" ref="I11:I75" si="5">E11*F11</f>
        <v>0</v>
      </c>
      <c r="J11" s="20">
        <f t="shared" ref="J11:J75" si="6">E11*G11</f>
        <v>0</v>
      </c>
      <c r="K11" s="20">
        <f t="shared" ref="K11:K75" si="7">I11+J11</f>
        <v>0</v>
      </c>
    </row>
    <row r="12" spans="1:11" ht="63" customHeight="1" x14ac:dyDescent="0.25">
      <c r="A12" s="22">
        <v>4</v>
      </c>
      <c r="B12" s="3" t="s">
        <v>26</v>
      </c>
      <c r="C12" s="18" t="s">
        <v>27</v>
      </c>
      <c r="D12" s="1" t="s">
        <v>19</v>
      </c>
      <c r="E12" s="19" t="s">
        <v>22</v>
      </c>
      <c r="F12" s="76">
        <v>0</v>
      </c>
      <c r="G12" s="76">
        <v>0</v>
      </c>
      <c r="H12" s="20">
        <f t="shared" si="4"/>
        <v>0</v>
      </c>
      <c r="I12" s="20">
        <f t="shared" si="5"/>
        <v>0</v>
      </c>
      <c r="J12" s="20">
        <f t="shared" si="6"/>
        <v>0</v>
      </c>
      <c r="K12" s="20">
        <f t="shared" si="7"/>
        <v>0</v>
      </c>
    </row>
    <row r="13" spans="1:11" ht="74.25" customHeight="1" x14ac:dyDescent="0.25">
      <c r="A13" s="17">
        <v>5</v>
      </c>
      <c r="B13" s="3" t="s">
        <v>28</v>
      </c>
      <c r="C13" s="18" t="s">
        <v>29</v>
      </c>
      <c r="D13" s="1" t="s">
        <v>19</v>
      </c>
      <c r="E13" s="23" t="s">
        <v>30</v>
      </c>
      <c r="F13" s="76">
        <v>0</v>
      </c>
      <c r="G13" s="76">
        <v>0</v>
      </c>
      <c r="H13" s="20">
        <f t="shared" si="4"/>
        <v>0</v>
      </c>
      <c r="I13" s="20">
        <f t="shared" si="5"/>
        <v>0</v>
      </c>
      <c r="J13" s="20">
        <f t="shared" si="6"/>
        <v>0</v>
      </c>
      <c r="K13" s="20">
        <f t="shared" si="7"/>
        <v>0</v>
      </c>
    </row>
    <row r="14" spans="1:11" ht="56.25" customHeight="1" x14ac:dyDescent="0.25">
      <c r="A14" s="24">
        <v>6</v>
      </c>
      <c r="B14" s="25" t="s">
        <v>31</v>
      </c>
      <c r="C14" s="26" t="s">
        <v>32</v>
      </c>
      <c r="D14" s="13"/>
      <c r="E14" s="14"/>
      <c r="F14" s="15"/>
      <c r="G14" s="15"/>
      <c r="H14" s="15"/>
      <c r="I14" s="15"/>
      <c r="J14" s="15"/>
      <c r="K14" s="16"/>
    </row>
    <row r="15" spans="1:11" ht="82.5" customHeight="1" x14ac:dyDescent="0.25">
      <c r="A15" s="22">
        <v>7</v>
      </c>
      <c r="B15" s="3" t="s">
        <v>34</v>
      </c>
      <c r="C15" s="18" t="s">
        <v>35</v>
      </c>
      <c r="D15" s="1" t="s">
        <v>33</v>
      </c>
      <c r="E15" s="19" t="s">
        <v>36</v>
      </c>
      <c r="F15" s="76">
        <v>0</v>
      </c>
      <c r="G15" s="76">
        <v>0</v>
      </c>
      <c r="H15" s="20">
        <f t="shared" si="4"/>
        <v>0</v>
      </c>
      <c r="I15" s="20">
        <f t="shared" si="5"/>
        <v>0</v>
      </c>
      <c r="J15" s="20">
        <f t="shared" si="6"/>
        <v>0</v>
      </c>
      <c r="K15" s="20">
        <f t="shared" si="7"/>
        <v>0</v>
      </c>
    </row>
    <row r="16" spans="1:11" ht="54" customHeight="1" x14ac:dyDescent="0.25">
      <c r="A16" s="17">
        <v>8</v>
      </c>
      <c r="B16" s="3" t="s">
        <v>37</v>
      </c>
      <c r="C16" s="18" t="s">
        <v>38</v>
      </c>
      <c r="D16" s="1" t="s">
        <v>33</v>
      </c>
      <c r="E16" s="19" t="s">
        <v>39</v>
      </c>
      <c r="F16" s="76">
        <v>0</v>
      </c>
      <c r="G16" s="76">
        <v>0</v>
      </c>
      <c r="H16" s="20">
        <f t="shared" si="4"/>
        <v>0</v>
      </c>
      <c r="I16" s="20">
        <f t="shared" si="5"/>
        <v>0</v>
      </c>
      <c r="J16" s="20">
        <f t="shared" si="6"/>
        <v>0</v>
      </c>
      <c r="K16" s="20">
        <f t="shared" si="7"/>
        <v>0</v>
      </c>
    </row>
    <row r="17" spans="1:11" ht="78" customHeight="1" x14ac:dyDescent="0.25">
      <c r="A17" s="17">
        <v>9</v>
      </c>
      <c r="B17" s="3" t="s">
        <v>40</v>
      </c>
      <c r="C17" s="18" t="s">
        <v>41</v>
      </c>
      <c r="D17" s="1" t="s">
        <v>33</v>
      </c>
      <c r="E17" s="19" t="s">
        <v>42</v>
      </c>
      <c r="F17" s="76">
        <v>0</v>
      </c>
      <c r="G17" s="76">
        <v>0</v>
      </c>
      <c r="H17" s="20">
        <f t="shared" si="4"/>
        <v>0</v>
      </c>
      <c r="I17" s="20">
        <f t="shared" si="5"/>
        <v>0</v>
      </c>
      <c r="J17" s="20">
        <f t="shared" si="6"/>
        <v>0</v>
      </c>
      <c r="K17" s="20">
        <f t="shared" si="7"/>
        <v>0</v>
      </c>
    </row>
    <row r="18" spans="1:11" ht="78" customHeight="1" x14ac:dyDescent="0.25">
      <c r="A18" s="22">
        <v>10</v>
      </c>
      <c r="B18" s="3" t="s">
        <v>43</v>
      </c>
      <c r="C18" s="27" t="s">
        <v>44</v>
      </c>
      <c r="D18" s="1" t="s">
        <v>33</v>
      </c>
      <c r="E18" s="19" t="s">
        <v>45</v>
      </c>
      <c r="F18" s="76">
        <v>0</v>
      </c>
      <c r="G18" s="76">
        <v>0</v>
      </c>
      <c r="H18" s="20">
        <f t="shared" si="4"/>
        <v>0</v>
      </c>
      <c r="I18" s="20">
        <f t="shared" si="5"/>
        <v>0</v>
      </c>
      <c r="J18" s="20">
        <f t="shared" si="6"/>
        <v>0</v>
      </c>
      <c r="K18" s="20">
        <f t="shared" si="7"/>
        <v>0</v>
      </c>
    </row>
    <row r="19" spans="1:11" ht="115.5" customHeight="1" x14ac:dyDescent="0.25">
      <c r="A19" s="17">
        <v>11</v>
      </c>
      <c r="B19" s="3" t="s">
        <v>46</v>
      </c>
      <c r="C19" s="18" t="s">
        <v>47</v>
      </c>
      <c r="D19" s="1" t="s">
        <v>33</v>
      </c>
      <c r="E19" s="19" t="s">
        <v>48</v>
      </c>
      <c r="F19" s="76">
        <v>0</v>
      </c>
      <c r="G19" s="76">
        <v>0</v>
      </c>
      <c r="H19" s="20">
        <f t="shared" si="4"/>
        <v>0</v>
      </c>
      <c r="I19" s="20">
        <f t="shared" si="5"/>
        <v>0</v>
      </c>
      <c r="J19" s="20">
        <f t="shared" si="6"/>
        <v>0</v>
      </c>
      <c r="K19" s="20">
        <f t="shared" si="7"/>
        <v>0</v>
      </c>
    </row>
    <row r="20" spans="1:11" ht="95.25" customHeight="1" x14ac:dyDescent="0.25">
      <c r="A20" s="17">
        <v>12</v>
      </c>
      <c r="B20" s="3" t="s">
        <v>49</v>
      </c>
      <c r="C20" s="18" t="s">
        <v>50</v>
      </c>
      <c r="D20" s="1" t="s">
        <v>33</v>
      </c>
      <c r="E20" s="19" t="s">
        <v>51</v>
      </c>
      <c r="F20" s="76">
        <v>0</v>
      </c>
      <c r="G20" s="76">
        <v>0</v>
      </c>
      <c r="H20" s="20">
        <f t="shared" si="4"/>
        <v>0</v>
      </c>
      <c r="I20" s="20">
        <f t="shared" si="5"/>
        <v>0</v>
      </c>
      <c r="J20" s="20">
        <f t="shared" si="6"/>
        <v>0</v>
      </c>
      <c r="K20" s="20">
        <f t="shared" si="7"/>
        <v>0</v>
      </c>
    </row>
    <row r="21" spans="1:11" ht="73.5" customHeight="1" x14ac:dyDescent="0.25">
      <c r="A21" s="22">
        <v>13</v>
      </c>
      <c r="B21" s="3" t="s">
        <v>52</v>
      </c>
      <c r="C21" s="28" t="s">
        <v>53</v>
      </c>
      <c r="D21" s="1" t="s">
        <v>33</v>
      </c>
      <c r="E21" s="19" t="s">
        <v>54</v>
      </c>
      <c r="F21" s="76">
        <v>0</v>
      </c>
      <c r="G21" s="76">
        <v>0</v>
      </c>
      <c r="H21" s="20">
        <f t="shared" si="4"/>
        <v>0</v>
      </c>
      <c r="I21" s="20">
        <f t="shared" si="5"/>
        <v>0</v>
      </c>
      <c r="J21" s="20">
        <f t="shared" si="6"/>
        <v>0</v>
      </c>
      <c r="K21" s="20">
        <f t="shared" si="7"/>
        <v>0</v>
      </c>
    </row>
    <row r="22" spans="1:11" ht="81.75" customHeight="1" x14ac:dyDescent="0.25">
      <c r="A22" s="17">
        <v>14</v>
      </c>
      <c r="B22" s="3" t="s">
        <v>55</v>
      </c>
      <c r="C22" s="18" t="s">
        <v>56</v>
      </c>
      <c r="D22" s="1" t="s">
        <v>33</v>
      </c>
      <c r="E22" s="19" t="s">
        <v>57</v>
      </c>
      <c r="F22" s="76">
        <v>0</v>
      </c>
      <c r="G22" s="76">
        <v>0</v>
      </c>
      <c r="H22" s="20">
        <f t="shared" si="4"/>
        <v>0</v>
      </c>
      <c r="I22" s="20">
        <f t="shared" si="5"/>
        <v>0</v>
      </c>
      <c r="J22" s="20">
        <f t="shared" si="6"/>
        <v>0</v>
      </c>
      <c r="K22" s="20">
        <f t="shared" si="7"/>
        <v>0</v>
      </c>
    </row>
    <row r="23" spans="1:11" ht="119.25" customHeight="1" x14ac:dyDescent="0.25">
      <c r="A23" s="17">
        <v>15</v>
      </c>
      <c r="B23" s="3" t="s">
        <v>58</v>
      </c>
      <c r="C23" s="18" t="s">
        <v>59</v>
      </c>
      <c r="D23" s="1" t="s">
        <v>33</v>
      </c>
      <c r="E23" s="19" t="s">
        <v>60</v>
      </c>
      <c r="F23" s="76">
        <v>0</v>
      </c>
      <c r="G23" s="76">
        <v>0</v>
      </c>
      <c r="H23" s="20">
        <f t="shared" si="4"/>
        <v>0</v>
      </c>
      <c r="I23" s="20">
        <f t="shared" si="5"/>
        <v>0</v>
      </c>
      <c r="J23" s="20">
        <f t="shared" si="6"/>
        <v>0</v>
      </c>
      <c r="K23" s="20">
        <f t="shared" si="7"/>
        <v>0</v>
      </c>
    </row>
    <row r="24" spans="1:11" ht="33.75" customHeight="1" x14ac:dyDescent="0.25">
      <c r="A24" s="10">
        <v>16</v>
      </c>
      <c r="B24" s="25" t="s">
        <v>61</v>
      </c>
      <c r="C24" s="29" t="s">
        <v>62</v>
      </c>
      <c r="D24" s="13"/>
      <c r="E24" s="14"/>
      <c r="F24" s="15"/>
      <c r="G24" s="15"/>
      <c r="H24" s="15"/>
      <c r="I24" s="15"/>
      <c r="J24" s="15"/>
      <c r="K24" s="16"/>
    </row>
    <row r="25" spans="1:11" ht="78" customHeight="1" x14ac:dyDescent="0.25">
      <c r="A25" s="17">
        <v>17</v>
      </c>
      <c r="B25" s="30" t="s">
        <v>63</v>
      </c>
      <c r="C25" s="31" t="s">
        <v>64</v>
      </c>
      <c r="D25" s="1" t="s">
        <v>33</v>
      </c>
      <c r="E25" s="19" t="s">
        <v>65</v>
      </c>
      <c r="F25" s="76">
        <v>0</v>
      </c>
      <c r="G25" s="76">
        <v>0</v>
      </c>
      <c r="H25" s="20">
        <f t="shared" si="4"/>
        <v>0</v>
      </c>
      <c r="I25" s="20">
        <f t="shared" si="5"/>
        <v>0</v>
      </c>
      <c r="J25" s="20">
        <f t="shared" si="6"/>
        <v>0</v>
      </c>
      <c r="K25" s="20">
        <f t="shared" si="7"/>
        <v>0</v>
      </c>
    </row>
    <row r="26" spans="1:11" ht="34.5" customHeight="1" x14ac:dyDescent="0.25">
      <c r="A26" s="24">
        <v>18</v>
      </c>
      <c r="B26" s="25" t="s">
        <v>66</v>
      </c>
      <c r="C26" s="32" t="s">
        <v>67</v>
      </c>
      <c r="D26" s="13"/>
      <c r="E26" s="14"/>
      <c r="F26" s="15"/>
      <c r="G26" s="15"/>
      <c r="H26" s="15"/>
      <c r="I26" s="15"/>
      <c r="J26" s="15"/>
      <c r="K26" s="16"/>
    </row>
    <row r="27" spans="1:11" ht="270" customHeight="1" x14ac:dyDescent="0.25">
      <c r="A27" s="22">
        <v>19</v>
      </c>
      <c r="B27" s="3" t="s">
        <v>68</v>
      </c>
      <c r="C27" s="18" t="s">
        <v>69</v>
      </c>
      <c r="D27" s="1" t="s">
        <v>19</v>
      </c>
      <c r="E27" s="19" t="s">
        <v>30</v>
      </c>
      <c r="F27" s="76">
        <v>0</v>
      </c>
      <c r="G27" s="76">
        <v>0</v>
      </c>
      <c r="H27" s="20">
        <f t="shared" si="4"/>
        <v>0</v>
      </c>
      <c r="I27" s="20">
        <f t="shared" si="5"/>
        <v>0</v>
      </c>
      <c r="J27" s="20">
        <f t="shared" si="6"/>
        <v>0</v>
      </c>
      <c r="K27" s="20">
        <f t="shared" si="7"/>
        <v>0</v>
      </c>
    </row>
    <row r="28" spans="1:11" ht="91.5" customHeight="1" x14ac:dyDescent="0.25">
      <c r="A28" s="17">
        <v>20</v>
      </c>
      <c r="B28" s="3" t="s">
        <v>70</v>
      </c>
      <c r="C28" s="18" t="s">
        <v>181</v>
      </c>
      <c r="D28" s="1" t="s">
        <v>19</v>
      </c>
      <c r="E28" s="19" t="s">
        <v>22</v>
      </c>
      <c r="F28" s="76">
        <v>0</v>
      </c>
      <c r="G28" s="76">
        <v>0</v>
      </c>
      <c r="H28" s="20">
        <f t="shared" si="4"/>
        <v>0</v>
      </c>
      <c r="I28" s="20">
        <f t="shared" si="5"/>
        <v>0</v>
      </c>
      <c r="J28" s="20">
        <f t="shared" si="6"/>
        <v>0</v>
      </c>
      <c r="K28" s="20">
        <f t="shared" si="7"/>
        <v>0</v>
      </c>
    </row>
    <row r="29" spans="1:11" ht="84.75" customHeight="1" x14ac:dyDescent="0.25">
      <c r="A29" s="17">
        <v>21</v>
      </c>
      <c r="B29" s="3" t="s">
        <v>71</v>
      </c>
      <c r="C29" s="33" t="s">
        <v>182</v>
      </c>
      <c r="D29" s="1" t="s">
        <v>19</v>
      </c>
      <c r="E29" s="19" t="s">
        <v>22</v>
      </c>
      <c r="F29" s="76">
        <v>0</v>
      </c>
      <c r="G29" s="76">
        <v>0</v>
      </c>
      <c r="H29" s="20">
        <f t="shared" si="4"/>
        <v>0</v>
      </c>
      <c r="I29" s="20">
        <f t="shared" si="5"/>
        <v>0</v>
      </c>
      <c r="J29" s="20">
        <f t="shared" si="6"/>
        <v>0</v>
      </c>
      <c r="K29" s="20">
        <f t="shared" si="7"/>
        <v>0</v>
      </c>
    </row>
    <row r="30" spans="1:11" ht="63" customHeight="1" x14ac:dyDescent="0.25">
      <c r="A30" s="22">
        <v>22</v>
      </c>
      <c r="B30" s="3" t="s">
        <v>72</v>
      </c>
      <c r="C30" s="18" t="s">
        <v>73</v>
      </c>
      <c r="D30" s="1" t="s">
        <v>19</v>
      </c>
      <c r="E30" s="19" t="s">
        <v>22</v>
      </c>
      <c r="F30" s="76">
        <v>0</v>
      </c>
      <c r="G30" s="76">
        <v>0</v>
      </c>
      <c r="H30" s="20">
        <f t="shared" si="4"/>
        <v>0</v>
      </c>
      <c r="I30" s="20">
        <f t="shared" si="5"/>
        <v>0</v>
      </c>
      <c r="J30" s="20">
        <f t="shared" si="6"/>
        <v>0</v>
      </c>
      <c r="K30" s="20">
        <f t="shared" si="7"/>
        <v>0</v>
      </c>
    </row>
    <row r="31" spans="1:11" ht="60" customHeight="1" x14ac:dyDescent="0.25">
      <c r="A31" s="17">
        <v>23</v>
      </c>
      <c r="B31" s="3" t="s">
        <v>74</v>
      </c>
      <c r="C31" s="18" t="s">
        <v>75</v>
      </c>
      <c r="D31" s="1" t="s">
        <v>19</v>
      </c>
      <c r="E31" s="19" t="s">
        <v>30</v>
      </c>
      <c r="F31" s="76">
        <v>0</v>
      </c>
      <c r="G31" s="76">
        <v>0</v>
      </c>
      <c r="H31" s="20">
        <f t="shared" si="4"/>
        <v>0</v>
      </c>
      <c r="I31" s="20">
        <f t="shared" si="5"/>
        <v>0</v>
      </c>
      <c r="J31" s="20">
        <f t="shared" si="6"/>
        <v>0</v>
      </c>
      <c r="K31" s="20">
        <f t="shared" si="7"/>
        <v>0</v>
      </c>
    </row>
    <row r="32" spans="1:11" ht="61.5" customHeight="1" x14ac:dyDescent="0.25">
      <c r="A32" s="17">
        <v>24</v>
      </c>
      <c r="B32" s="3" t="s">
        <v>76</v>
      </c>
      <c r="C32" s="18" t="s">
        <v>77</v>
      </c>
      <c r="D32" s="1" t="s">
        <v>19</v>
      </c>
      <c r="E32" s="19" t="s">
        <v>30</v>
      </c>
      <c r="F32" s="76">
        <v>0</v>
      </c>
      <c r="G32" s="76">
        <v>0</v>
      </c>
      <c r="H32" s="20">
        <f t="shared" si="4"/>
        <v>0</v>
      </c>
      <c r="I32" s="20">
        <f t="shared" si="5"/>
        <v>0</v>
      </c>
      <c r="J32" s="20">
        <f t="shared" si="6"/>
        <v>0</v>
      </c>
      <c r="K32" s="20">
        <f t="shared" si="7"/>
        <v>0</v>
      </c>
    </row>
    <row r="33" spans="1:11" ht="52.5" customHeight="1" x14ac:dyDescent="0.25">
      <c r="A33" s="22">
        <v>25</v>
      </c>
      <c r="B33" s="3" t="s">
        <v>78</v>
      </c>
      <c r="C33" s="18" t="s">
        <v>79</v>
      </c>
      <c r="D33" s="1" t="s">
        <v>19</v>
      </c>
      <c r="E33" s="19" t="s">
        <v>30</v>
      </c>
      <c r="F33" s="76">
        <v>0</v>
      </c>
      <c r="G33" s="76">
        <v>0</v>
      </c>
      <c r="H33" s="20">
        <f t="shared" si="4"/>
        <v>0</v>
      </c>
      <c r="I33" s="20">
        <f t="shared" si="5"/>
        <v>0</v>
      </c>
      <c r="J33" s="20">
        <f t="shared" si="6"/>
        <v>0</v>
      </c>
      <c r="K33" s="20">
        <f t="shared" si="7"/>
        <v>0</v>
      </c>
    </row>
    <row r="34" spans="1:11" ht="73.5" customHeight="1" x14ac:dyDescent="0.25">
      <c r="A34" s="17">
        <v>26</v>
      </c>
      <c r="B34" s="3" t="s">
        <v>80</v>
      </c>
      <c r="C34" s="18" t="s">
        <v>81</v>
      </c>
      <c r="D34" s="1" t="s">
        <v>19</v>
      </c>
      <c r="E34" s="19" t="s">
        <v>30</v>
      </c>
      <c r="F34" s="76">
        <v>0</v>
      </c>
      <c r="G34" s="76">
        <v>0</v>
      </c>
      <c r="H34" s="20">
        <f t="shared" si="4"/>
        <v>0</v>
      </c>
      <c r="I34" s="20">
        <f t="shared" si="5"/>
        <v>0</v>
      </c>
      <c r="J34" s="20">
        <f t="shared" si="6"/>
        <v>0</v>
      </c>
      <c r="K34" s="20">
        <f t="shared" si="7"/>
        <v>0</v>
      </c>
    </row>
    <row r="35" spans="1:11" ht="67.5" customHeight="1" x14ac:dyDescent="0.25">
      <c r="A35" s="17">
        <v>27</v>
      </c>
      <c r="B35" s="3" t="s">
        <v>82</v>
      </c>
      <c r="C35" s="27" t="s">
        <v>83</v>
      </c>
      <c r="D35" s="1" t="s">
        <v>19</v>
      </c>
      <c r="E35" s="19" t="s">
        <v>30</v>
      </c>
      <c r="F35" s="76">
        <v>0</v>
      </c>
      <c r="G35" s="76">
        <v>0</v>
      </c>
      <c r="H35" s="20">
        <f t="shared" si="4"/>
        <v>0</v>
      </c>
      <c r="I35" s="20">
        <f t="shared" si="5"/>
        <v>0</v>
      </c>
      <c r="J35" s="20">
        <f t="shared" si="6"/>
        <v>0</v>
      </c>
      <c r="K35" s="20">
        <f t="shared" si="7"/>
        <v>0</v>
      </c>
    </row>
    <row r="36" spans="1:11" ht="78" customHeight="1" x14ac:dyDescent="0.25">
      <c r="A36" s="22">
        <v>28</v>
      </c>
      <c r="B36" s="3" t="s">
        <v>84</v>
      </c>
      <c r="C36" s="27" t="s">
        <v>85</v>
      </c>
      <c r="D36" s="1" t="s">
        <v>19</v>
      </c>
      <c r="E36" s="19" t="s">
        <v>30</v>
      </c>
      <c r="F36" s="76">
        <v>0</v>
      </c>
      <c r="G36" s="76">
        <v>0</v>
      </c>
      <c r="H36" s="20">
        <f t="shared" si="4"/>
        <v>0</v>
      </c>
      <c r="I36" s="20">
        <f t="shared" si="5"/>
        <v>0</v>
      </c>
      <c r="J36" s="20">
        <f t="shared" si="6"/>
        <v>0</v>
      </c>
      <c r="K36" s="20">
        <f t="shared" si="7"/>
        <v>0</v>
      </c>
    </row>
    <row r="37" spans="1:11" ht="69.75" customHeight="1" x14ac:dyDescent="0.25">
      <c r="A37" s="17">
        <v>29</v>
      </c>
      <c r="B37" s="3" t="s">
        <v>86</v>
      </c>
      <c r="C37" s="27" t="s">
        <v>87</v>
      </c>
      <c r="D37" s="1" t="s">
        <v>19</v>
      </c>
      <c r="E37" s="19" t="s">
        <v>22</v>
      </c>
      <c r="F37" s="76">
        <v>0</v>
      </c>
      <c r="G37" s="76">
        <v>0</v>
      </c>
      <c r="H37" s="20">
        <f t="shared" si="4"/>
        <v>0</v>
      </c>
      <c r="I37" s="20">
        <f t="shared" si="5"/>
        <v>0</v>
      </c>
      <c r="J37" s="20">
        <f t="shared" si="6"/>
        <v>0</v>
      </c>
      <c r="K37" s="20">
        <f t="shared" si="7"/>
        <v>0</v>
      </c>
    </row>
    <row r="38" spans="1:11" ht="70.5" customHeight="1" x14ac:dyDescent="0.25">
      <c r="A38" s="17">
        <v>30</v>
      </c>
      <c r="B38" s="3" t="s">
        <v>88</v>
      </c>
      <c r="C38" s="18" t="s">
        <v>89</v>
      </c>
      <c r="D38" s="1" t="s">
        <v>19</v>
      </c>
      <c r="E38" s="19" t="s">
        <v>22</v>
      </c>
      <c r="F38" s="76">
        <v>0</v>
      </c>
      <c r="G38" s="76">
        <v>0</v>
      </c>
      <c r="H38" s="20">
        <f t="shared" si="4"/>
        <v>0</v>
      </c>
      <c r="I38" s="20">
        <f t="shared" si="5"/>
        <v>0</v>
      </c>
      <c r="J38" s="20">
        <f t="shared" si="6"/>
        <v>0</v>
      </c>
      <c r="K38" s="20">
        <f t="shared" si="7"/>
        <v>0</v>
      </c>
    </row>
    <row r="39" spans="1:11" ht="53.25" customHeight="1" x14ac:dyDescent="0.25">
      <c r="A39" s="22">
        <v>31</v>
      </c>
      <c r="B39" s="3" t="s">
        <v>90</v>
      </c>
      <c r="C39" s="27" t="s">
        <v>91</v>
      </c>
      <c r="D39" s="1" t="s">
        <v>19</v>
      </c>
      <c r="E39" s="19" t="s">
        <v>22</v>
      </c>
      <c r="F39" s="76">
        <v>0</v>
      </c>
      <c r="G39" s="76">
        <v>0</v>
      </c>
      <c r="H39" s="20">
        <f t="shared" si="4"/>
        <v>0</v>
      </c>
      <c r="I39" s="20">
        <f t="shared" si="5"/>
        <v>0</v>
      </c>
      <c r="J39" s="20">
        <f t="shared" si="6"/>
        <v>0</v>
      </c>
      <c r="K39" s="20">
        <f t="shared" si="7"/>
        <v>0</v>
      </c>
    </row>
    <row r="40" spans="1:11" ht="103.5" customHeight="1" x14ac:dyDescent="0.25">
      <c r="A40" s="17">
        <v>32</v>
      </c>
      <c r="B40" s="3" t="s">
        <v>92</v>
      </c>
      <c r="C40" s="18" t="s">
        <v>93</v>
      </c>
      <c r="D40" s="1" t="s">
        <v>19</v>
      </c>
      <c r="E40" s="19" t="s">
        <v>30</v>
      </c>
      <c r="F40" s="76">
        <v>0</v>
      </c>
      <c r="G40" s="76">
        <v>0</v>
      </c>
      <c r="H40" s="20">
        <f t="shared" si="4"/>
        <v>0</v>
      </c>
      <c r="I40" s="20">
        <f t="shared" si="5"/>
        <v>0</v>
      </c>
      <c r="J40" s="20">
        <f t="shared" si="6"/>
        <v>0</v>
      </c>
      <c r="K40" s="20">
        <f t="shared" si="7"/>
        <v>0</v>
      </c>
    </row>
    <row r="41" spans="1:11" ht="69.75" customHeight="1" x14ac:dyDescent="0.25">
      <c r="A41" s="17">
        <v>33</v>
      </c>
      <c r="B41" s="3" t="s">
        <v>94</v>
      </c>
      <c r="C41" s="27" t="s">
        <v>95</v>
      </c>
      <c r="D41" s="1" t="s">
        <v>19</v>
      </c>
      <c r="E41" s="19" t="s">
        <v>30</v>
      </c>
      <c r="F41" s="76">
        <v>0</v>
      </c>
      <c r="G41" s="76">
        <v>0</v>
      </c>
      <c r="H41" s="20">
        <f t="shared" si="4"/>
        <v>0</v>
      </c>
      <c r="I41" s="20">
        <f t="shared" si="5"/>
        <v>0</v>
      </c>
      <c r="J41" s="20">
        <f t="shared" si="6"/>
        <v>0</v>
      </c>
      <c r="K41" s="20">
        <f t="shared" si="7"/>
        <v>0</v>
      </c>
    </row>
    <row r="42" spans="1:11" ht="52.5" customHeight="1" x14ac:dyDescent="0.25">
      <c r="A42" s="22">
        <v>34</v>
      </c>
      <c r="B42" s="3" t="s">
        <v>96</v>
      </c>
      <c r="C42" s="27" t="s">
        <v>97</v>
      </c>
      <c r="D42" s="1" t="s">
        <v>19</v>
      </c>
      <c r="E42" s="19" t="s">
        <v>30</v>
      </c>
      <c r="F42" s="76">
        <v>0</v>
      </c>
      <c r="G42" s="76">
        <v>0</v>
      </c>
      <c r="H42" s="20">
        <f t="shared" si="4"/>
        <v>0</v>
      </c>
      <c r="I42" s="20">
        <f t="shared" si="5"/>
        <v>0</v>
      </c>
      <c r="J42" s="20">
        <f t="shared" si="6"/>
        <v>0</v>
      </c>
      <c r="K42" s="20">
        <f t="shared" si="7"/>
        <v>0</v>
      </c>
    </row>
    <row r="43" spans="1:11" ht="174.75" customHeight="1" x14ac:dyDescent="0.25">
      <c r="A43" s="17">
        <v>35</v>
      </c>
      <c r="B43" s="3" t="s">
        <v>98</v>
      </c>
      <c r="C43" s="27" t="s">
        <v>99</v>
      </c>
      <c r="D43" s="1" t="s">
        <v>19</v>
      </c>
      <c r="E43" s="19" t="s">
        <v>30</v>
      </c>
      <c r="F43" s="76">
        <v>0</v>
      </c>
      <c r="G43" s="76">
        <v>0</v>
      </c>
      <c r="H43" s="20">
        <f t="shared" si="4"/>
        <v>0</v>
      </c>
      <c r="I43" s="20">
        <f t="shared" si="5"/>
        <v>0</v>
      </c>
      <c r="J43" s="20">
        <f t="shared" si="6"/>
        <v>0</v>
      </c>
      <c r="K43" s="20">
        <f t="shared" si="7"/>
        <v>0</v>
      </c>
    </row>
    <row r="44" spans="1:11" ht="60" customHeight="1" x14ac:dyDescent="0.25">
      <c r="A44" s="17">
        <v>36</v>
      </c>
      <c r="B44" s="3" t="s">
        <v>100</v>
      </c>
      <c r="C44" s="27" t="s">
        <v>101</v>
      </c>
      <c r="D44" s="1" t="s">
        <v>19</v>
      </c>
      <c r="E44" s="19" t="s">
        <v>30</v>
      </c>
      <c r="F44" s="76">
        <v>0</v>
      </c>
      <c r="G44" s="76">
        <v>0</v>
      </c>
      <c r="H44" s="20">
        <f t="shared" si="4"/>
        <v>0</v>
      </c>
      <c r="I44" s="20">
        <f t="shared" si="5"/>
        <v>0</v>
      </c>
      <c r="J44" s="20">
        <f t="shared" si="6"/>
        <v>0</v>
      </c>
      <c r="K44" s="20">
        <f t="shared" si="7"/>
        <v>0</v>
      </c>
    </row>
    <row r="45" spans="1:11" ht="104.25" customHeight="1" x14ac:dyDescent="0.25">
      <c r="A45" s="22">
        <v>37</v>
      </c>
      <c r="B45" s="3" t="s">
        <v>102</v>
      </c>
      <c r="C45" s="18" t="s">
        <v>103</v>
      </c>
      <c r="D45" s="1" t="s">
        <v>19</v>
      </c>
      <c r="E45" s="19" t="s">
        <v>30</v>
      </c>
      <c r="F45" s="76">
        <v>0</v>
      </c>
      <c r="G45" s="76">
        <v>0</v>
      </c>
      <c r="H45" s="20">
        <f t="shared" si="4"/>
        <v>0</v>
      </c>
      <c r="I45" s="20">
        <f t="shared" si="5"/>
        <v>0</v>
      </c>
      <c r="J45" s="20">
        <f t="shared" si="6"/>
        <v>0</v>
      </c>
      <c r="K45" s="20">
        <f t="shared" si="7"/>
        <v>0</v>
      </c>
    </row>
    <row r="46" spans="1:11" ht="189.75" customHeight="1" x14ac:dyDescent="0.25">
      <c r="A46" s="17">
        <v>38</v>
      </c>
      <c r="B46" s="3" t="s">
        <v>104</v>
      </c>
      <c r="C46" s="18" t="s">
        <v>105</v>
      </c>
      <c r="D46" s="1" t="s">
        <v>19</v>
      </c>
      <c r="E46" s="19" t="s">
        <v>30</v>
      </c>
      <c r="F46" s="76">
        <v>0</v>
      </c>
      <c r="G46" s="76">
        <v>0</v>
      </c>
      <c r="H46" s="20">
        <f t="shared" si="4"/>
        <v>0</v>
      </c>
      <c r="I46" s="20">
        <f t="shared" si="5"/>
        <v>0</v>
      </c>
      <c r="J46" s="20">
        <f t="shared" si="6"/>
        <v>0</v>
      </c>
      <c r="K46" s="20">
        <f t="shared" si="7"/>
        <v>0</v>
      </c>
    </row>
    <row r="47" spans="1:11" ht="58.5" customHeight="1" x14ac:dyDescent="0.25">
      <c r="A47" s="17">
        <v>39</v>
      </c>
      <c r="B47" s="3" t="s">
        <v>106</v>
      </c>
      <c r="C47" s="27" t="s">
        <v>107</v>
      </c>
      <c r="D47" s="1" t="s">
        <v>19</v>
      </c>
      <c r="E47" s="19" t="s">
        <v>30</v>
      </c>
      <c r="F47" s="76">
        <v>0</v>
      </c>
      <c r="G47" s="76">
        <v>0</v>
      </c>
      <c r="H47" s="20">
        <f t="shared" si="4"/>
        <v>0</v>
      </c>
      <c r="I47" s="20">
        <f t="shared" si="5"/>
        <v>0</v>
      </c>
      <c r="J47" s="20">
        <f t="shared" si="6"/>
        <v>0</v>
      </c>
      <c r="K47" s="20">
        <f t="shared" si="7"/>
        <v>0</v>
      </c>
    </row>
    <row r="48" spans="1:11" ht="36" customHeight="1" x14ac:dyDescent="0.25">
      <c r="A48" s="10">
        <v>40</v>
      </c>
      <c r="B48" s="25" t="s">
        <v>108</v>
      </c>
      <c r="C48" s="34" t="s">
        <v>109</v>
      </c>
      <c r="D48" s="13"/>
      <c r="E48" s="14"/>
      <c r="F48" s="15"/>
      <c r="G48" s="15"/>
      <c r="H48" s="15"/>
      <c r="I48" s="15"/>
      <c r="J48" s="15"/>
      <c r="K48" s="16"/>
    </row>
    <row r="49" spans="1:11" ht="40.5" customHeight="1" x14ac:dyDescent="0.25">
      <c r="A49" s="17">
        <v>41</v>
      </c>
      <c r="B49" s="3" t="s">
        <v>110</v>
      </c>
      <c r="C49" s="27" t="s">
        <v>111</v>
      </c>
      <c r="D49" s="1" t="s">
        <v>19</v>
      </c>
      <c r="E49" s="19" t="s">
        <v>112</v>
      </c>
      <c r="F49" s="76">
        <v>0</v>
      </c>
      <c r="G49" s="76">
        <v>0</v>
      </c>
      <c r="H49" s="20">
        <f t="shared" si="4"/>
        <v>0</v>
      </c>
      <c r="I49" s="20">
        <f t="shared" si="5"/>
        <v>0</v>
      </c>
      <c r="J49" s="20">
        <f t="shared" si="6"/>
        <v>0</v>
      </c>
      <c r="K49" s="20">
        <f t="shared" si="7"/>
        <v>0</v>
      </c>
    </row>
    <row r="50" spans="1:11" ht="34.5" customHeight="1" x14ac:dyDescent="0.25">
      <c r="A50" s="17">
        <v>42</v>
      </c>
      <c r="B50" s="3" t="s">
        <v>113</v>
      </c>
      <c r="C50" s="27" t="s">
        <v>114</v>
      </c>
      <c r="D50" s="1" t="s">
        <v>19</v>
      </c>
      <c r="E50" s="19" t="s">
        <v>22</v>
      </c>
      <c r="F50" s="76">
        <v>0</v>
      </c>
      <c r="G50" s="76">
        <v>0</v>
      </c>
      <c r="H50" s="20">
        <f t="shared" si="4"/>
        <v>0</v>
      </c>
      <c r="I50" s="20">
        <f t="shared" si="5"/>
        <v>0</v>
      </c>
      <c r="J50" s="20">
        <f t="shared" si="6"/>
        <v>0</v>
      </c>
      <c r="K50" s="20">
        <f t="shared" si="7"/>
        <v>0</v>
      </c>
    </row>
    <row r="51" spans="1:11" ht="47.25" customHeight="1" x14ac:dyDescent="0.25">
      <c r="A51" s="22">
        <v>43</v>
      </c>
      <c r="B51" s="3" t="s">
        <v>115</v>
      </c>
      <c r="C51" s="27" t="s">
        <v>116</v>
      </c>
      <c r="D51" s="1" t="s">
        <v>19</v>
      </c>
      <c r="E51" s="19" t="s">
        <v>22</v>
      </c>
      <c r="F51" s="76">
        <v>0</v>
      </c>
      <c r="G51" s="76">
        <v>0</v>
      </c>
      <c r="H51" s="20">
        <f t="shared" si="4"/>
        <v>0</v>
      </c>
      <c r="I51" s="20">
        <f t="shared" si="5"/>
        <v>0</v>
      </c>
      <c r="J51" s="20">
        <f t="shared" si="6"/>
        <v>0</v>
      </c>
      <c r="K51" s="20">
        <f t="shared" si="7"/>
        <v>0</v>
      </c>
    </row>
    <row r="52" spans="1:11" ht="64.5" customHeight="1" x14ac:dyDescent="0.25">
      <c r="A52" s="17">
        <v>44</v>
      </c>
      <c r="B52" s="3" t="s">
        <v>117</v>
      </c>
      <c r="C52" s="27" t="s">
        <v>118</v>
      </c>
      <c r="D52" s="1" t="s">
        <v>19</v>
      </c>
      <c r="E52" s="19" t="s">
        <v>30</v>
      </c>
      <c r="F52" s="76">
        <v>0</v>
      </c>
      <c r="G52" s="76">
        <v>0</v>
      </c>
      <c r="H52" s="20">
        <f t="shared" si="4"/>
        <v>0</v>
      </c>
      <c r="I52" s="20">
        <f t="shared" si="5"/>
        <v>0</v>
      </c>
      <c r="J52" s="20">
        <f t="shared" si="6"/>
        <v>0</v>
      </c>
      <c r="K52" s="20">
        <f t="shared" si="7"/>
        <v>0</v>
      </c>
    </row>
    <row r="53" spans="1:11" ht="50.25" customHeight="1" x14ac:dyDescent="0.25">
      <c r="A53" s="17">
        <v>45</v>
      </c>
      <c r="B53" s="3" t="s">
        <v>119</v>
      </c>
      <c r="C53" s="35" t="s">
        <v>120</v>
      </c>
      <c r="D53" s="1" t="s">
        <v>19</v>
      </c>
      <c r="E53" s="19" t="s">
        <v>30</v>
      </c>
      <c r="F53" s="76">
        <v>0</v>
      </c>
      <c r="G53" s="76">
        <v>0</v>
      </c>
      <c r="H53" s="20">
        <f t="shared" si="4"/>
        <v>0</v>
      </c>
      <c r="I53" s="20">
        <f t="shared" si="5"/>
        <v>0</v>
      </c>
      <c r="J53" s="20">
        <f t="shared" si="6"/>
        <v>0</v>
      </c>
      <c r="K53" s="20">
        <f t="shared" si="7"/>
        <v>0</v>
      </c>
    </row>
    <row r="54" spans="1:11" ht="32.25" customHeight="1" x14ac:dyDescent="0.25">
      <c r="A54" s="10">
        <v>46</v>
      </c>
      <c r="B54" s="25" t="s">
        <v>121</v>
      </c>
      <c r="C54" s="36" t="s">
        <v>122</v>
      </c>
      <c r="D54" s="13"/>
      <c r="E54" s="14"/>
      <c r="F54" s="15"/>
      <c r="G54" s="15"/>
      <c r="H54" s="15"/>
      <c r="I54" s="15"/>
      <c r="J54" s="15"/>
      <c r="K54" s="16"/>
    </row>
    <row r="55" spans="1:11" ht="132" customHeight="1" x14ac:dyDescent="0.25">
      <c r="A55" s="17">
        <v>47</v>
      </c>
      <c r="B55" s="3" t="s">
        <v>123</v>
      </c>
      <c r="C55" s="18" t="s">
        <v>124</v>
      </c>
      <c r="D55" s="1" t="s">
        <v>19</v>
      </c>
      <c r="E55" s="19" t="s">
        <v>183</v>
      </c>
      <c r="F55" s="76">
        <v>0</v>
      </c>
      <c r="G55" s="76">
        <v>0</v>
      </c>
      <c r="H55" s="20">
        <f t="shared" si="4"/>
        <v>0</v>
      </c>
      <c r="I55" s="20">
        <f t="shared" si="5"/>
        <v>0</v>
      </c>
      <c r="J55" s="20">
        <f t="shared" si="6"/>
        <v>0</v>
      </c>
      <c r="K55" s="20">
        <f t="shared" si="7"/>
        <v>0</v>
      </c>
    </row>
    <row r="56" spans="1:11" ht="32.25" customHeight="1" x14ac:dyDescent="0.25">
      <c r="A56" s="24">
        <v>48</v>
      </c>
      <c r="B56" s="25" t="s">
        <v>125</v>
      </c>
      <c r="C56" s="37" t="s">
        <v>126</v>
      </c>
      <c r="D56" s="13"/>
      <c r="E56" s="14"/>
      <c r="F56" s="15"/>
      <c r="G56" s="15"/>
      <c r="H56" s="15"/>
      <c r="I56" s="15"/>
      <c r="J56" s="15"/>
      <c r="K56" s="16"/>
    </row>
    <row r="57" spans="1:11" ht="56.25" customHeight="1" x14ac:dyDescent="0.25">
      <c r="A57" s="22">
        <v>49</v>
      </c>
      <c r="B57" s="30" t="s">
        <v>127</v>
      </c>
      <c r="C57" s="38" t="s">
        <v>128</v>
      </c>
      <c r="D57" s="1" t="s">
        <v>19</v>
      </c>
      <c r="E57" s="19" t="s">
        <v>22</v>
      </c>
      <c r="F57" s="76">
        <v>0</v>
      </c>
      <c r="G57" s="76">
        <v>0</v>
      </c>
      <c r="H57" s="20">
        <f t="shared" si="4"/>
        <v>0</v>
      </c>
      <c r="I57" s="20">
        <f t="shared" si="5"/>
        <v>0</v>
      </c>
      <c r="J57" s="20">
        <f t="shared" si="6"/>
        <v>0</v>
      </c>
      <c r="K57" s="20">
        <f t="shared" si="7"/>
        <v>0</v>
      </c>
    </row>
    <row r="58" spans="1:11" ht="252" customHeight="1" x14ac:dyDescent="0.25">
      <c r="A58" s="17">
        <v>50</v>
      </c>
      <c r="B58" s="30" t="s">
        <v>129</v>
      </c>
      <c r="C58" s="27" t="s">
        <v>197</v>
      </c>
      <c r="D58" s="1" t="s">
        <v>178</v>
      </c>
      <c r="E58" s="19" t="s">
        <v>184</v>
      </c>
      <c r="F58" s="76">
        <v>0</v>
      </c>
      <c r="G58" s="76">
        <v>0</v>
      </c>
      <c r="H58" s="20">
        <f t="shared" si="4"/>
        <v>0</v>
      </c>
      <c r="I58" s="20">
        <f t="shared" si="5"/>
        <v>0</v>
      </c>
      <c r="J58" s="20">
        <f t="shared" si="6"/>
        <v>0</v>
      </c>
      <c r="K58" s="20">
        <f t="shared" si="7"/>
        <v>0</v>
      </c>
    </row>
    <row r="59" spans="1:11" ht="54.75" customHeight="1" x14ac:dyDescent="0.25">
      <c r="A59" s="17">
        <v>51</v>
      </c>
      <c r="B59" s="30" t="s">
        <v>130</v>
      </c>
      <c r="C59" s="27" t="s">
        <v>131</v>
      </c>
      <c r="D59" s="1" t="s">
        <v>185</v>
      </c>
      <c r="E59" s="19" t="s">
        <v>25</v>
      </c>
      <c r="F59" s="76">
        <v>0</v>
      </c>
      <c r="G59" s="76">
        <v>0</v>
      </c>
      <c r="H59" s="20">
        <f t="shared" si="4"/>
        <v>0</v>
      </c>
      <c r="I59" s="20">
        <f t="shared" si="5"/>
        <v>0</v>
      </c>
      <c r="J59" s="20">
        <f t="shared" si="6"/>
        <v>0</v>
      </c>
      <c r="K59" s="20">
        <f t="shared" si="7"/>
        <v>0</v>
      </c>
    </row>
    <row r="60" spans="1:11" ht="55.5" customHeight="1" x14ac:dyDescent="0.25">
      <c r="A60" s="22">
        <v>52</v>
      </c>
      <c r="B60" s="30" t="s">
        <v>132</v>
      </c>
      <c r="C60" s="27" t="s">
        <v>133</v>
      </c>
      <c r="D60" s="1" t="s">
        <v>186</v>
      </c>
      <c r="E60" s="19" t="s">
        <v>30</v>
      </c>
      <c r="F60" s="76">
        <v>0</v>
      </c>
      <c r="G60" s="76">
        <v>0</v>
      </c>
      <c r="H60" s="20">
        <f t="shared" si="4"/>
        <v>0</v>
      </c>
      <c r="I60" s="20">
        <f t="shared" si="5"/>
        <v>0</v>
      </c>
      <c r="J60" s="20">
        <f t="shared" si="6"/>
        <v>0</v>
      </c>
      <c r="K60" s="20">
        <f t="shared" si="7"/>
        <v>0</v>
      </c>
    </row>
    <row r="61" spans="1:11" ht="238.5" customHeight="1" x14ac:dyDescent="0.25">
      <c r="A61" s="17">
        <v>53</v>
      </c>
      <c r="B61" s="30" t="s">
        <v>134</v>
      </c>
      <c r="C61" s="39" t="s">
        <v>135</v>
      </c>
      <c r="D61" s="1" t="s">
        <v>186</v>
      </c>
      <c r="E61" s="19" t="s">
        <v>30</v>
      </c>
      <c r="F61" s="76">
        <v>0</v>
      </c>
      <c r="G61" s="76">
        <v>0</v>
      </c>
      <c r="H61" s="20">
        <f t="shared" si="4"/>
        <v>0</v>
      </c>
      <c r="I61" s="20">
        <f t="shared" si="5"/>
        <v>0</v>
      </c>
      <c r="J61" s="20">
        <f t="shared" si="6"/>
        <v>0</v>
      </c>
      <c r="K61" s="20">
        <f t="shared" si="7"/>
        <v>0</v>
      </c>
    </row>
    <row r="62" spans="1:11" ht="87" customHeight="1" x14ac:dyDescent="0.25">
      <c r="A62" s="40"/>
      <c r="B62" s="41" t="s">
        <v>136</v>
      </c>
      <c r="C62" s="42" t="s">
        <v>137</v>
      </c>
      <c r="D62" s="43"/>
      <c r="E62" s="44"/>
      <c r="F62" s="45"/>
      <c r="G62" s="45"/>
      <c r="H62" s="45"/>
      <c r="I62" s="45"/>
      <c r="J62" s="45"/>
      <c r="K62" s="46"/>
    </row>
    <row r="63" spans="1:11" ht="71.25" customHeight="1" x14ac:dyDescent="0.25">
      <c r="A63" s="17">
        <v>54</v>
      </c>
      <c r="B63" s="47" t="s">
        <v>138</v>
      </c>
      <c r="C63" s="38" t="s">
        <v>139</v>
      </c>
      <c r="D63" s="17" t="s">
        <v>140</v>
      </c>
      <c r="E63" s="1">
        <v>260</v>
      </c>
      <c r="F63" s="76">
        <v>0</v>
      </c>
      <c r="G63" s="76">
        <v>0</v>
      </c>
      <c r="H63" s="20">
        <f t="shared" si="4"/>
        <v>0</v>
      </c>
      <c r="I63" s="20">
        <f t="shared" si="5"/>
        <v>0</v>
      </c>
      <c r="J63" s="20">
        <f t="shared" si="6"/>
        <v>0</v>
      </c>
      <c r="K63" s="20">
        <f t="shared" si="7"/>
        <v>0</v>
      </c>
    </row>
    <row r="64" spans="1:11" ht="24.75" customHeight="1" x14ac:dyDescent="0.25">
      <c r="A64" s="17">
        <v>55</v>
      </c>
      <c r="B64" s="47" t="s">
        <v>141</v>
      </c>
      <c r="C64" s="48" t="s">
        <v>142</v>
      </c>
      <c r="D64" s="17" t="s">
        <v>140</v>
      </c>
      <c r="E64" s="19" t="s">
        <v>190</v>
      </c>
      <c r="F64" s="76">
        <v>0</v>
      </c>
      <c r="G64" s="76">
        <v>0</v>
      </c>
      <c r="H64" s="20">
        <f t="shared" si="4"/>
        <v>0</v>
      </c>
      <c r="I64" s="20">
        <f t="shared" si="5"/>
        <v>0</v>
      </c>
      <c r="J64" s="20">
        <f t="shared" si="6"/>
        <v>0</v>
      </c>
      <c r="K64" s="20">
        <f t="shared" si="7"/>
        <v>0</v>
      </c>
    </row>
    <row r="65" spans="1:11" ht="30" customHeight="1" x14ac:dyDescent="0.25">
      <c r="A65" s="17">
        <v>56</v>
      </c>
      <c r="B65" s="47" t="s">
        <v>143</v>
      </c>
      <c r="C65" s="49" t="s">
        <v>144</v>
      </c>
      <c r="D65" s="17" t="s">
        <v>140</v>
      </c>
      <c r="E65" s="19" t="s">
        <v>191</v>
      </c>
      <c r="F65" s="76">
        <v>0</v>
      </c>
      <c r="G65" s="76">
        <v>0</v>
      </c>
      <c r="H65" s="20">
        <f t="shared" si="4"/>
        <v>0</v>
      </c>
      <c r="I65" s="20">
        <f t="shared" si="5"/>
        <v>0</v>
      </c>
      <c r="J65" s="20">
        <f t="shared" si="6"/>
        <v>0</v>
      </c>
      <c r="K65" s="20">
        <f t="shared" si="7"/>
        <v>0</v>
      </c>
    </row>
    <row r="66" spans="1:11" ht="24.75" customHeight="1" x14ac:dyDescent="0.25">
      <c r="A66" s="17">
        <v>57</v>
      </c>
      <c r="B66" s="47" t="s">
        <v>145</v>
      </c>
      <c r="C66" s="49" t="s">
        <v>146</v>
      </c>
      <c r="D66" s="17" t="s">
        <v>140</v>
      </c>
      <c r="E66" s="19" t="s">
        <v>191</v>
      </c>
      <c r="F66" s="76">
        <v>0</v>
      </c>
      <c r="G66" s="76">
        <v>0</v>
      </c>
      <c r="H66" s="20">
        <f t="shared" si="4"/>
        <v>0</v>
      </c>
      <c r="I66" s="20">
        <f t="shared" si="5"/>
        <v>0</v>
      </c>
      <c r="J66" s="20">
        <f t="shared" si="6"/>
        <v>0</v>
      </c>
      <c r="K66" s="20">
        <f t="shared" si="7"/>
        <v>0</v>
      </c>
    </row>
    <row r="67" spans="1:11" ht="48" customHeight="1" x14ac:dyDescent="0.25">
      <c r="A67" s="17">
        <v>58</v>
      </c>
      <c r="B67" s="47" t="s">
        <v>147</v>
      </c>
      <c r="C67" s="38" t="s">
        <v>148</v>
      </c>
      <c r="D67" s="17" t="s">
        <v>149</v>
      </c>
      <c r="E67" s="19" t="s">
        <v>184</v>
      </c>
      <c r="F67" s="76">
        <v>0</v>
      </c>
      <c r="G67" s="76">
        <v>0</v>
      </c>
      <c r="H67" s="20">
        <f t="shared" si="4"/>
        <v>0</v>
      </c>
      <c r="I67" s="20">
        <f t="shared" si="5"/>
        <v>0</v>
      </c>
      <c r="J67" s="20">
        <f t="shared" si="6"/>
        <v>0</v>
      </c>
      <c r="K67" s="20">
        <f t="shared" si="7"/>
        <v>0</v>
      </c>
    </row>
    <row r="68" spans="1:11" ht="183.75" customHeight="1" x14ac:dyDescent="0.25">
      <c r="A68" s="50">
        <v>59</v>
      </c>
      <c r="B68" s="51" t="s">
        <v>150</v>
      </c>
      <c r="C68" s="52" t="s">
        <v>189</v>
      </c>
      <c r="D68" s="50" t="s">
        <v>149</v>
      </c>
      <c r="E68" s="53" t="s">
        <v>30</v>
      </c>
      <c r="F68" s="77">
        <v>0</v>
      </c>
      <c r="G68" s="77">
        <v>0</v>
      </c>
      <c r="H68" s="54">
        <f t="shared" si="4"/>
        <v>0</v>
      </c>
      <c r="I68" s="54">
        <f t="shared" si="5"/>
        <v>0</v>
      </c>
      <c r="J68" s="54">
        <f t="shared" si="6"/>
        <v>0</v>
      </c>
      <c r="K68" s="54">
        <f t="shared" si="7"/>
        <v>0</v>
      </c>
    </row>
    <row r="69" spans="1:11" ht="36" customHeight="1" x14ac:dyDescent="0.25">
      <c r="A69" s="17">
        <v>60</v>
      </c>
      <c r="B69" s="47" t="s">
        <v>151</v>
      </c>
      <c r="C69" s="48" t="s">
        <v>152</v>
      </c>
      <c r="D69" s="17" t="s">
        <v>140</v>
      </c>
      <c r="E69" s="19" t="s">
        <v>164</v>
      </c>
      <c r="F69" s="76">
        <v>0</v>
      </c>
      <c r="G69" s="76">
        <v>0</v>
      </c>
      <c r="H69" s="20">
        <f t="shared" si="4"/>
        <v>0</v>
      </c>
      <c r="I69" s="20">
        <f t="shared" si="5"/>
        <v>0</v>
      </c>
      <c r="J69" s="20">
        <f t="shared" si="6"/>
        <v>0</v>
      </c>
      <c r="K69" s="20">
        <f t="shared" si="7"/>
        <v>0</v>
      </c>
    </row>
    <row r="70" spans="1:11" ht="27.75" customHeight="1" x14ac:dyDescent="0.25">
      <c r="A70" s="17">
        <v>61</v>
      </c>
      <c r="B70" s="47" t="s">
        <v>153</v>
      </c>
      <c r="C70" s="48" t="s">
        <v>154</v>
      </c>
      <c r="D70" s="17" t="s">
        <v>140</v>
      </c>
      <c r="E70" s="19" t="s">
        <v>192</v>
      </c>
      <c r="F70" s="76">
        <v>0</v>
      </c>
      <c r="G70" s="76">
        <v>0</v>
      </c>
      <c r="H70" s="20">
        <f t="shared" si="4"/>
        <v>0</v>
      </c>
      <c r="I70" s="20">
        <f t="shared" si="5"/>
        <v>0</v>
      </c>
      <c r="J70" s="20">
        <f t="shared" si="6"/>
        <v>0</v>
      </c>
      <c r="K70" s="20">
        <f t="shared" si="7"/>
        <v>0</v>
      </c>
    </row>
    <row r="71" spans="1:11" ht="152.25" customHeight="1" x14ac:dyDescent="0.25">
      <c r="A71" s="40"/>
      <c r="B71" s="41" t="s">
        <v>155</v>
      </c>
      <c r="C71" s="55" t="s">
        <v>156</v>
      </c>
      <c r="D71" s="43"/>
      <c r="E71" s="44"/>
      <c r="F71" s="45"/>
      <c r="G71" s="45"/>
      <c r="H71" s="45"/>
      <c r="I71" s="45"/>
      <c r="J71" s="45"/>
      <c r="K71" s="46"/>
    </row>
    <row r="72" spans="1:11" ht="29.25" customHeight="1" x14ac:dyDescent="0.25">
      <c r="A72" s="17">
        <v>62</v>
      </c>
      <c r="B72" s="47" t="s">
        <v>194</v>
      </c>
      <c r="C72" s="38" t="s">
        <v>195</v>
      </c>
      <c r="D72" s="56"/>
      <c r="E72" s="57"/>
      <c r="F72" s="58"/>
      <c r="G72" s="58"/>
      <c r="H72" s="58"/>
      <c r="I72" s="58"/>
      <c r="J72" s="58"/>
      <c r="K72" s="59"/>
    </row>
    <row r="73" spans="1:11" ht="29.25" customHeight="1" x14ac:dyDescent="0.25">
      <c r="A73" s="17">
        <v>63</v>
      </c>
      <c r="B73" s="47" t="s">
        <v>157</v>
      </c>
      <c r="C73" s="38" t="s">
        <v>158</v>
      </c>
      <c r="D73" s="17" t="s">
        <v>149</v>
      </c>
      <c r="E73" s="60" t="s">
        <v>159</v>
      </c>
      <c r="F73" s="76">
        <v>0</v>
      </c>
      <c r="G73" s="76">
        <v>0</v>
      </c>
      <c r="H73" s="20">
        <f t="shared" ref="H73" si="8">F73+G73</f>
        <v>0</v>
      </c>
      <c r="I73" s="20">
        <f t="shared" ref="I73" si="9">E73*F73</f>
        <v>0</v>
      </c>
      <c r="J73" s="20">
        <f t="shared" ref="J73" si="10">E73*G73</f>
        <v>0</v>
      </c>
      <c r="K73" s="20">
        <f t="shared" ref="K73" si="11">I73+J73</f>
        <v>0</v>
      </c>
    </row>
    <row r="74" spans="1:11" ht="29.25" customHeight="1" x14ac:dyDescent="0.25">
      <c r="A74" s="17">
        <v>64</v>
      </c>
      <c r="B74" s="47" t="s">
        <v>160</v>
      </c>
      <c r="C74" s="38" t="s">
        <v>161</v>
      </c>
      <c r="D74" s="17" t="s">
        <v>149</v>
      </c>
      <c r="E74" s="60" t="s">
        <v>25</v>
      </c>
      <c r="F74" s="76">
        <v>0</v>
      </c>
      <c r="G74" s="76">
        <v>0</v>
      </c>
      <c r="H74" s="20">
        <f t="shared" si="4"/>
        <v>0</v>
      </c>
      <c r="I74" s="20">
        <f t="shared" si="5"/>
        <v>0</v>
      </c>
      <c r="J74" s="20">
        <f t="shared" si="6"/>
        <v>0</v>
      </c>
      <c r="K74" s="20">
        <f t="shared" si="7"/>
        <v>0</v>
      </c>
    </row>
    <row r="75" spans="1:11" ht="29.25" customHeight="1" x14ac:dyDescent="0.25">
      <c r="A75" s="17">
        <v>65</v>
      </c>
      <c r="B75" s="47" t="s">
        <v>162</v>
      </c>
      <c r="C75" s="48" t="s">
        <v>163</v>
      </c>
      <c r="D75" s="17" t="s">
        <v>149</v>
      </c>
      <c r="E75" s="60" t="s">
        <v>164</v>
      </c>
      <c r="F75" s="76">
        <v>0</v>
      </c>
      <c r="G75" s="76">
        <v>0</v>
      </c>
      <c r="H75" s="20">
        <f t="shared" si="4"/>
        <v>0</v>
      </c>
      <c r="I75" s="20">
        <f t="shared" si="5"/>
        <v>0</v>
      </c>
      <c r="J75" s="20">
        <f t="shared" si="6"/>
        <v>0</v>
      </c>
      <c r="K75" s="20">
        <f t="shared" si="7"/>
        <v>0</v>
      </c>
    </row>
    <row r="76" spans="1:11" ht="29.25" customHeight="1" x14ac:dyDescent="0.25">
      <c r="A76" s="17">
        <v>66</v>
      </c>
      <c r="B76" s="47" t="s">
        <v>165</v>
      </c>
      <c r="C76" s="38" t="s">
        <v>166</v>
      </c>
      <c r="D76" s="17" t="s">
        <v>149</v>
      </c>
      <c r="E76" s="60" t="s">
        <v>167</v>
      </c>
      <c r="F76" s="76">
        <v>0</v>
      </c>
      <c r="G76" s="76">
        <v>0</v>
      </c>
      <c r="H76" s="20">
        <f t="shared" ref="H76:H81" si="12">F76+G76</f>
        <v>0</v>
      </c>
      <c r="I76" s="20">
        <f t="shared" ref="I76:I81" si="13">E76*F76</f>
        <v>0</v>
      </c>
      <c r="J76" s="20">
        <f t="shared" ref="J76:J81" si="14">E76*G76</f>
        <v>0</v>
      </c>
      <c r="K76" s="20">
        <f t="shared" ref="K76:K81" si="15">I76+J76</f>
        <v>0</v>
      </c>
    </row>
    <row r="77" spans="1:11" ht="51.75" customHeight="1" x14ac:dyDescent="0.25">
      <c r="A77" s="17">
        <v>67</v>
      </c>
      <c r="B77" s="61" t="s">
        <v>168</v>
      </c>
      <c r="C77" s="27" t="s">
        <v>169</v>
      </c>
      <c r="D77" s="56"/>
      <c r="E77" s="57"/>
      <c r="F77" s="58"/>
      <c r="G77" s="58"/>
      <c r="H77" s="58"/>
      <c r="I77" s="58"/>
      <c r="J77" s="58"/>
      <c r="K77" s="59"/>
    </row>
    <row r="78" spans="1:11" ht="24" customHeight="1" x14ac:dyDescent="0.25">
      <c r="A78" s="17">
        <v>68</v>
      </c>
      <c r="B78" s="61" t="s">
        <v>170</v>
      </c>
      <c r="C78" s="62" t="s">
        <v>171</v>
      </c>
      <c r="D78" s="1" t="s">
        <v>149</v>
      </c>
      <c r="E78" s="19" t="s">
        <v>167</v>
      </c>
      <c r="F78" s="76">
        <v>0</v>
      </c>
      <c r="G78" s="76">
        <v>0</v>
      </c>
      <c r="H78" s="20">
        <f t="shared" si="12"/>
        <v>0</v>
      </c>
      <c r="I78" s="20">
        <f t="shared" si="13"/>
        <v>0</v>
      </c>
      <c r="J78" s="20">
        <f t="shared" si="14"/>
        <v>0</v>
      </c>
      <c r="K78" s="20">
        <f t="shared" si="15"/>
        <v>0</v>
      </c>
    </row>
    <row r="79" spans="1:11" ht="24" customHeight="1" x14ac:dyDescent="0.25">
      <c r="A79" s="17">
        <v>69</v>
      </c>
      <c r="B79" s="61" t="s">
        <v>172</v>
      </c>
      <c r="C79" s="62" t="s">
        <v>173</v>
      </c>
      <c r="D79" s="1" t="s">
        <v>149</v>
      </c>
      <c r="E79" s="19" t="s">
        <v>167</v>
      </c>
      <c r="F79" s="76">
        <v>0</v>
      </c>
      <c r="G79" s="76">
        <v>0</v>
      </c>
      <c r="H79" s="20">
        <f t="shared" si="12"/>
        <v>0</v>
      </c>
      <c r="I79" s="20">
        <f t="shared" si="13"/>
        <v>0</v>
      </c>
      <c r="J79" s="20">
        <f t="shared" si="14"/>
        <v>0</v>
      </c>
      <c r="K79" s="20">
        <f t="shared" si="15"/>
        <v>0</v>
      </c>
    </row>
    <row r="80" spans="1:11" ht="58.5" customHeight="1" x14ac:dyDescent="0.25">
      <c r="A80" s="17">
        <v>70</v>
      </c>
      <c r="B80" s="61" t="s">
        <v>174</v>
      </c>
      <c r="C80" s="27" t="s">
        <v>175</v>
      </c>
      <c r="D80" s="56"/>
      <c r="E80" s="57"/>
      <c r="F80" s="58"/>
      <c r="G80" s="58"/>
      <c r="H80" s="58"/>
      <c r="I80" s="58"/>
      <c r="J80" s="58"/>
      <c r="K80" s="59"/>
    </row>
    <row r="81" spans="1:11" ht="44.25" customHeight="1" x14ac:dyDescent="0.25">
      <c r="A81" s="17">
        <v>71</v>
      </c>
      <c r="B81" s="61" t="s">
        <v>176</v>
      </c>
      <c r="C81" s="27" t="s">
        <v>177</v>
      </c>
      <c r="D81" s="1" t="s">
        <v>149</v>
      </c>
      <c r="E81" s="19" t="s">
        <v>25</v>
      </c>
      <c r="F81" s="76">
        <v>0</v>
      </c>
      <c r="G81" s="76">
        <v>0</v>
      </c>
      <c r="H81" s="20">
        <f t="shared" si="12"/>
        <v>0</v>
      </c>
      <c r="I81" s="20">
        <f t="shared" si="13"/>
        <v>0</v>
      </c>
      <c r="J81" s="20">
        <f t="shared" si="14"/>
        <v>0</v>
      </c>
      <c r="K81" s="20">
        <f t="shared" si="15"/>
        <v>0</v>
      </c>
    </row>
    <row r="82" spans="1:11" ht="39.75" customHeight="1" x14ac:dyDescent="0.25">
      <c r="A82" s="91" t="s">
        <v>193</v>
      </c>
      <c r="B82" s="92"/>
      <c r="C82" s="92"/>
      <c r="D82" s="92"/>
      <c r="E82" s="92"/>
      <c r="F82" s="92"/>
      <c r="G82" s="92"/>
      <c r="H82" s="93"/>
      <c r="I82" s="63">
        <f>SUM(I10:I81)</f>
        <v>0</v>
      </c>
      <c r="J82" s="63">
        <f t="shared" ref="J82:K82" si="16">SUM(J10:J81)</f>
        <v>0</v>
      </c>
      <c r="K82" s="64">
        <f t="shared" si="16"/>
        <v>0</v>
      </c>
    </row>
    <row r="83" spans="1:11" ht="14.25" customHeight="1" x14ac:dyDescent="0.25"/>
    <row r="84" spans="1:11" ht="27" customHeight="1" x14ac:dyDescent="0.25">
      <c r="B84" s="68"/>
      <c r="C84" s="69" t="s">
        <v>179</v>
      </c>
      <c r="D84" s="70"/>
      <c r="E84" s="70"/>
      <c r="F84" s="70"/>
      <c r="G84" s="70"/>
    </row>
    <row r="85" spans="1:11" ht="27" customHeight="1" x14ac:dyDescent="0.3">
      <c r="B85" s="71"/>
      <c r="C85" s="72"/>
      <c r="D85" s="70"/>
      <c r="E85" s="70"/>
      <c r="F85" s="70"/>
      <c r="G85" s="70"/>
    </row>
    <row r="86" spans="1:11" ht="27" customHeight="1" x14ac:dyDescent="0.3">
      <c r="B86" s="71"/>
      <c r="C86" s="86" t="s">
        <v>180</v>
      </c>
      <c r="D86" s="87"/>
      <c r="E86" s="87"/>
      <c r="F86" s="87"/>
      <c r="G86" s="87"/>
    </row>
    <row r="87" spans="1:11" ht="27" customHeight="1" x14ac:dyDescent="0.3">
      <c r="B87" s="71"/>
      <c r="C87" s="72"/>
      <c r="D87" s="70"/>
      <c r="E87" s="70"/>
      <c r="F87" s="70"/>
      <c r="G87" s="70"/>
    </row>
    <row r="88" spans="1:11" ht="27" customHeight="1" x14ac:dyDescent="0.3">
      <c r="B88" s="71"/>
      <c r="C88" s="69" t="s">
        <v>198</v>
      </c>
      <c r="D88" s="70"/>
      <c r="E88" s="70"/>
      <c r="F88" s="70"/>
      <c r="G88" s="70"/>
    </row>
    <row r="89" spans="1:11" ht="27" customHeight="1" x14ac:dyDescent="0.25">
      <c r="B89" s="73"/>
      <c r="C89" s="73"/>
      <c r="D89" s="70"/>
      <c r="E89" s="70"/>
      <c r="F89" s="70"/>
      <c r="G89" s="70"/>
    </row>
    <row r="90" spans="1:11" ht="26.25" customHeight="1" x14ac:dyDescent="0.25">
      <c r="B90" s="74" t="s">
        <v>196</v>
      </c>
      <c r="C90" s="75">
        <f ca="1">TODAY()</f>
        <v>46282</v>
      </c>
    </row>
    <row r="91" spans="1:11" ht="14.25" customHeight="1" x14ac:dyDescent="0.25"/>
    <row r="92" spans="1:11" ht="14.25" customHeight="1" x14ac:dyDescent="0.25"/>
    <row r="93" spans="1:11" ht="14.25" customHeight="1" x14ac:dyDescent="0.25"/>
    <row r="94" spans="1:11" ht="14.25" customHeight="1" x14ac:dyDescent="0.25"/>
    <row r="95" spans="1:11" ht="14.25" customHeight="1" x14ac:dyDescent="0.25"/>
    <row r="96" spans="1:11"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sheetData>
  <sheetProtection algorithmName="SHA-512" hashValue="TeV0X3Vl0xTJ/v8yMrnySiGA0sS1+/w/z8V3WW+z/gDCC9BSe+8J/wHyjoSuVWqn3Od15Tcljg+AYvUtNOW1eg==" saltValue="KVxgPfOTfbfFvNHiTXVTaw==" spinCount="100000" sheet="1" objects="1" scenarios="1"/>
  <mergeCells count="16">
    <mergeCell ref="A6:A7"/>
    <mergeCell ref="B6:B7"/>
    <mergeCell ref="A82:H82"/>
    <mergeCell ref="C6:C7"/>
    <mergeCell ref="D6:D7"/>
    <mergeCell ref="C86:G86"/>
    <mergeCell ref="E6:E7"/>
    <mergeCell ref="F6:H6"/>
    <mergeCell ref="I6:J6"/>
    <mergeCell ref="K6:K7"/>
    <mergeCell ref="A1:D5"/>
    <mergeCell ref="E1:K1"/>
    <mergeCell ref="E3:K3"/>
    <mergeCell ref="F4:K4"/>
    <mergeCell ref="F5:K5"/>
    <mergeCell ref="E2:K2"/>
  </mergeCells>
  <pageMargins left="0.511811024" right="0.511811024" top="0.78740157499999996" bottom="0.78740157499999996" header="0" footer="0"/>
  <pageSetup paperSize="9" scale="50" fitToHeight="0" orientation="landscape" r:id="rId1"/>
  <rowBreaks count="3" manualBreakCount="3">
    <brk id="53" max="16383" man="1"/>
    <brk id="61" max="16383" man="1"/>
    <brk id="79" max="1638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9c7d6a6-938a-4f42-9611-846fc991d8d6" xsi:nil="true"/>
    <lcf76f155ced4ddcb4097134ff3c332f xmlns="e0a217ab-ea7c-449f-b17e-4f892bd8ad8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4F858B0663D1B4DB95DDC7573DB3A58" ma:contentTypeVersion="16" ma:contentTypeDescription="Crie um novo documento." ma:contentTypeScope="" ma:versionID="5f0d1c4fff3ec7a873e822945abe582a">
  <xsd:schema xmlns:xsd="http://www.w3.org/2001/XMLSchema" xmlns:xs="http://www.w3.org/2001/XMLSchema" xmlns:p="http://schemas.microsoft.com/office/2006/metadata/properties" xmlns:ns2="e0a217ab-ea7c-449f-b17e-4f892bd8ad81" xmlns:ns3="99c7d6a6-938a-4f42-9611-846fc991d8d6" targetNamespace="http://schemas.microsoft.com/office/2006/metadata/properties" ma:root="true" ma:fieldsID="2c83d69bbaada0fe49b8a8d94e80db0d" ns2:_="" ns3:_="">
    <xsd:import namespace="e0a217ab-ea7c-449f-b17e-4f892bd8ad81"/>
    <xsd:import namespace="99c7d6a6-938a-4f42-9611-846fc991d8d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3:SharedWithUsers" minOccurs="0"/>
                <xsd:element ref="ns3:SharedWithDetails" minOccurs="0"/>
                <xsd:element ref="ns2:MediaServiceObjectDetectorVersion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a217ab-ea7c-449f-b17e-4f892bd8ad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Marcações de imagem" ma:readOnly="false" ma:fieldId="{5cf76f15-5ced-4ddc-b409-7134ff3c332f}" ma:taxonomyMulti="true" ma:sspId="5a3e1715-c84c-4513-8882-6ca9fbd4fec8"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descriptio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9c7d6a6-938a-4f42-9611-846fc991d8d6"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33b3bb3e-300e-4b6e-bfcd-023e2169346c}" ma:internalName="TaxCatchAll" ma:showField="CatchAllData" ma:web="99c7d6a6-938a-4f42-9611-846fc991d8d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8FCBD7F-7CE8-413E-BE1E-244A10331872}">
  <ds:schemaRefs>
    <ds:schemaRef ds:uri="http://schemas.microsoft.com/sharepoint/v3/contenttype/forms"/>
  </ds:schemaRefs>
</ds:datastoreItem>
</file>

<file path=customXml/itemProps2.xml><?xml version="1.0" encoding="utf-8"?>
<ds:datastoreItem xmlns:ds="http://schemas.openxmlformats.org/officeDocument/2006/customXml" ds:itemID="{190004B7-148C-43CB-9146-0316E0233311}">
  <ds:schemaRefs>
    <ds:schemaRef ds:uri="http://schemas.microsoft.com/office/2006/metadata/properties"/>
    <ds:schemaRef ds:uri="http://schemas.microsoft.com/office/infopath/2007/PartnerControls"/>
    <ds:schemaRef ds:uri="99c7d6a6-938a-4f42-9611-846fc991d8d6"/>
    <ds:schemaRef ds:uri="e0a217ab-ea7c-449f-b17e-4f892bd8ad81"/>
  </ds:schemaRefs>
</ds:datastoreItem>
</file>

<file path=customXml/itemProps3.xml><?xml version="1.0" encoding="utf-8"?>
<ds:datastoreItem xmlns:ds="http://schemas.openxmlformats.org/officeDocument/2006/customXml" ds:itemID="{140F26F2-ED85-4E1F-AD5B-831B703893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a217ab-ea7c-449f-b17e-4f892bd8ad81"/>
    <ds:schemaRef ds:uri="99c7d6a6-938a-4f42-9611-846fc991d8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Anexo III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chrishelena</dc:creator>
  <cp:keywords/>
  <dc:description/>
  <cp:lastModifiedBy>Marcus Monteiro</cp:lastModifiedBy>
  <cp:revision/>
  <cp:lastPrinted>2026-09-14T15:23:09Z</cp:lastPrinted>
  <dcterms:created xsi:type="dcterms:W3CDTF">2016-02-16T12:04:21Z</dcterms:created>
  <dcterms:modified xsi:type="dcterms:W3CDTF">2026-09-17T15:50:14Z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0x01010024F858B0663D1B4DB95DDC7573DB3A58</vt:lpwstr>
  </property>
  <property fmtid="{D5CDD505-2E9C-101B-9397-08002B2CF9AE}" pid="3" name="MediaServiceImageTags">
    <vt:lpwstr/>
  </property>
</Properties>
</file>