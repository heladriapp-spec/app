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ções e Resumo" sheetId="1" state="visible" r:id="rId3"/>
    <sheet name="Precificação" sheetId="2" state="visible" r:id="rId4"/>
    <sheet name="Cotação de Materiais" sheetId="3" state="visible" r:id="rId5"/>
    <sheet name="Mão de Obra e Serviços" sheetId="4" state="visible" r:id="rId6"/>
    <sheet name="Rateio Anexo" sheetId="5" state="visible" r:id="rId7"/>
    <sheet name="Anexo III" sheetId="6" state="visible" r:id="rId8"/>
    <sheet name="Resumo por Disciplina" sheetId="7" state="visible" r:id="rId9"/>
    <sheet name="Dashboard Executivo" sheetId="8" state="visible" r:id="rId10"/>
    <sheet name="Cronograma Operacional" sheetId="9" state="visible" r:id="rId11"/>
  </sheet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<sst xmlns="http://schemas.openxmlformats.org/spreadsheetml/2006/main" count="1844" uniqueCount="764">
  <si>
    <t xml:space="preserve">SESC PAULISTA — PROJETO COSMOCHÃO (v12.0)</t>
  </si>
  <si>
    <t xml:space="preserve">PLANILHA DE COTAÇÃO DE MATERIAIS, INSUMOS E SERVIÇOS</t>
  </si>
  <si>
    <t xml:space="preserve">ORIENTAÇÕES PARA PREENCHIMENTO E COTAÇÃO:</t>
  </si>
  <si>
    <t xml:space="preserve">1. Esta planilha contém o levantamento quantitativo detalhado dos materiais, insumos e serviços da exposição CosmoChão.</t>
  </si>
  <si>
    <t xml:space="preserve">2. NOTA DA v12.0: Adicionado fornecimento de vale-alimentação para a fase de galpão (+20,0 pessoa-dias / R$ 600,00).</t>
  </si>
  <si>
    <t xml:space="preserve">3. Os fornecedores devem preencher EXCLUSIVAMENTE a coluna 'Custo Unitário (R$)' [células destacadas em AZUL CLARO].</t>
  </si>
  <si>
    <t xml:space="preserve">4. Os valores totais por item, sub-totais por disciplina e o valor total geral são calculados AUTOMATICAMENTE.</t>
  </si>
  <si>
    <t xml:space="preserve">5. No campo 'Observações do Fornecedor', informe a marca oferecida, prazos de entrega ou eventuais ressalvas técnicas.</t>
  </si>
  <si>
    <t xml:space="preserve">6. O campo Status indica a origem do dado no projeto: EXPLÍCITO, DERIVADO, PENDENTE, DIVERGENTE, FECHADO ou REFORMADO.</t>
  </si>
  <si>
    <t xml:space="preserve">RESUMO CONSOLIDADO DA COTAÇÃO</t>
  </si>
  <si>
    <t xml:space="preserve">Indicador</t>
  </si>
  <si>
    <t xml:space="preserve">Valor / Status</t>
  </si>
  <si>
    <t xml:space="preserve">TOTAL GERAL COTADO (R$)</t>
  </si>
  <si>
    <t xml:space="preserve">Total de Itens Mapeados</t>
  </si>
  <si>
    <t xml:space="preserve">Disciplinas Atendidas</t>
  </si>
  <si>
    <t xml:space="preserve">Legenda de Preenchimento</t>
  </si>
  <si>
    <t xml:space="preserve">Azul Claro = Campo Editável pelo Fornecedor | Verde = Cálculo Automático</t>
  </si>
  <si>
    <t xml:space="preserve">LEGENDA DOS STATUS DO LEVANTAMENTO</t>
  </si>
  <si>
    <t xml:space="preserve">Status</t>
  </si>
  <si>
    <t xml:space="preserve">Descrição / Conceito</t>
  </si>
  <si>
    <t xml:space="preserve">EXPLÍCITO</t>
  </si>
  <si>
    <t xml:space="preserve">Dado quantitativo ou especificação presente diretamente no memorial / desenho.</t>
  </si>
  <si>
    <t xml:space="preserve">DERIVADO</t>
  </si>
  <si>
    <t xml:space="preserve">Dado calculado matematicamente a partir de parâmetros das fontes (ex: consumo de tinta/ignífugo).</t>
  </si>
  <si>
    <t xml:space="preserve">PENDENTE</t>
  </si>
  <si>
    <t xml:space="preserve">Informação que depende de definição executiva, medição in loco ou cotação detalhada.</t>
  </si>
  <si>
    <t xml:space="preserve">DIVERGENTE</t>
  </si>
  <si>
    <t xml:space="preserve">Conflito identificado entre diferentes memoriais do projeto (ex: massas de lastro).</t>
  </si>
  <si>
    <t xml:space="preserve">FECHADO</t>
  </si>
  <si>
    <t xml:space="preserve">Item com cotação de mercado confirmada e fechada.</t>
  </si>
  <si>
    <t xml:space="preserve">REFORMADO</t>
  </si>
  <si>
    <t xml:space="preserve">Elemento existente no acervo do SESC que passará por tratamento, pintura ou restauração.</t>
  </si>
  <si>
    <t xml:space="preserve">COMO GERAR O PREÇO E O ANEXO III (v15)</t>
  </si>
  <si>
    <t xml:space="preserve">1. Preencha os custos nas abas Cotação de Materiais e Mão de Obra e Serviços (azul claro), como sempre.</t>
  </si>
  <si>
    <t xml:space="preserve">2. Na aba Rateio Anexo, diga para qual item do Anexo vai cada linha de custo (Item Anexo + Base). Frete, ART, supervisão = INDIRETO.</t>
  </si>
  <si>
    <t xml:space="preserve">3. Confira: coluna "Rateio no Anexo (%)" das abas de custo tem que dar 100% (vermelho = falta ratear).</t>
  </si>
  <si>
    <t xml:space="preserve">4. Na aba Precificação, digite o PREÇO FINAL DESEJADO e o % da sobra que vai pro material (padrão 50%). A MO compensa sozinha.</t>
  </si>
  <si>
    <t xml:space="preserve">5. A aba Anexo III sai pronta, com unitários em centavos e total fechando no preço. Itens "SEM CUSTO" em vermelho = falta linha de custo.</t>
  </si>
  <si>
    <t xml:space="preserve">6. Preencher a oficial do Sesc: na aba Anexo III, coluna M mostra cada bloco (ex.: F10:G13). Copie o bloco e cole na mesma faixa da oficial com COLAR ESPECIAL &gt; VALORES. Nunca colar normal (cria vínculo externo).</t>
  </si>
  <si>
    <t xml:space="preserve">PRECIFICAÇÃO — CUSTO → PREÇO DE VENDA → ANEXO III</t>
  </si>
  <si>
    <t xml:space="preserve">Azul = você digita  |  Verde = calcula sozinho  |  Amarelo = resultado principal</t>
  </si>
  <si>
    <t xml:space="preserve">Parâmetro</t>
  </si>
  <si>
    <t xml:space="preserve">Valor</t>
  </si>
  <si>
    <t xml:space="preserve">Como funciona</t>
  </si>
  <si>
    <t xml:space="preserve">Custo de material (R$)</t>
  </si>
  <si>
    <t xml:space="preserve">Soma da aba Cotação de Materiais.</t>
  </si>
  <si>
    <t xml:space="preserve">Custo de MO + serviços + logística (R$)</t>
  </si>
  <si>
    <t xml:space="preserve">Soma da aba Mão de Obra e Serviços (inclui frete, alimentação, ART).</t>
  </si>
  <si>
    <t xml:space="preserve">CUSTO TOTAL (R$)</t>
  </si>
  <si>
    <t xml:space="preserve">Motor de partida: tudo sai daqui.</t>
  </si>
  <si>
    <t xml:space="preserve">PREÇO FINAL DESEJADO (R$)</t>
  </si>
  <si>
    <t xml:space="preserve">Digite o preço que você quer fechar. O Anexo III fecha exatamente nesse valor.</t>
  </si>
  <si>
    <t xml:space="preserve">Sobra sobre o custo (R$)</t>
  </si>
  <si>
    <t xml:space="preserve">Preço desejado − custo total. É isso que vai ser dividido entre material e MO.</t>
  </si>
  <si>
    <t xml:space="preserve">Markup total sobre o custo</t>
  </si>
  <si>
    <t xml:space="preserve">Quanto o preço está acima do custo, no geral.</t>
  </si>
  <si>
    <t xml:space="preserve">% DA SOBRA QUE VAI PRO MATERIAL</t>
  </si>
  <si>
    <t xml:space="preserve">Começa em 50%. Achou o material caro? Baixe aqui — a MO compensa sozinha e o total não muda.</t>
  </si>
  <si>
    <t xml:space="preserve">% da sobra que vai pra MO</t>
  </si>
  <si>
    <t xml:space="preserve">Automático: 100% − o que foi pro material.</t>
  </si>
  <si>
    <t xml:space="preserve">Acréscimo no material (R$)</t>
  </si>
  <si>
    <t xml:space="preserve">Acréscimo na MO (R$)</t>
  </si>
  <si>
    <t xml:space="preserve">Acréscimo % sobre o custo de material</t>
  </si>
  <si>
    <t xml:space="preserve">Esse % é aplicado no custo de material de TODOS os itens.</t>
  </si>
  <si>
    <t xml:space="preserve">Acréscimo % sobre o custo de MO</t>
  </si>
  <si>
    <t xml:space="preserve">Esse % é aplicado no custo de MO de TODOS os itens.</t>
  </si>
  <si>
    <t xml:space="preserve">Fator material</t>
  </si>
  <si>
    <t xml:space="preserve">Custo de material × fator = venda de material.</t>
  </si>
  <si>
    <t xml:space="preserve">Fator MO</t>
  </si>
  <si>
    <t xml:space="preserve">Custo de MO × fator = venda de MO.</t>
  </si>
  <si>
    <t xml:space="preserve">Venda de material (R$)</t>
  </si>
  <si>
    <t xml:space="preserve">Venda de MO (R$)</t>
  </si>
  <si>
    <t xml:space="preserve">VENDA TOTAL (R$)</t>
  </si>
  <si>
    <t xml:space="preserve">Tem que ser igual ao preço desejado.</t>
  </si>
  <si>
    <t xml:space="preserve">Item que absorve os centavos (qtd = 1)</t>
  </si>
  <si>
    <t xml:space="preserve">A.7.5</t>
  </si>
  <si>
    <t xml:space="preserve">Arredondar unitário pra centavo gera sobra de centavos. Ela vai pra MO deste item. Use um item com quantidade 1.</t>
  </si>
  <si>
    <t xml:space="preserve">Centavos de arredondamento (R$)</t>
  </si>
  <si>
    <t xml:space="preserve">Normalmente centavos. Vermelho (mais de R$ 5) = confira o rateio.</t>
  </si>
  <si>
    <t xml:space="preserve">Total do Anexo III (R$)</t>
  </si>
  <si>
    <t xml:space="preserve">Anexo III fecha no preço desejado?</t>
  </si>
  <si>
    <t xml:space="preserve">SIM só se o total bate E todo o custo chegou nos itens do Anexo.</t>
  </si>
  <si>
    <t xml:space="preserve">Custo que NÃO chegou nos itens do Anexo (R$)</t>
  </si>
  <si>
    <t xml:space="preserve">Tem que ser zero. Se não for: linha de custo sem destino ou com item errado na aba Rateio Anexo (coluna M e colunas "Rateio no Anexo" em vermelho).</t>
  </si>
  <si>
    <t xml:space="preserve">Itens do Anexo SEM CUSTO</t>
  </si>
  <si>
    <t xml:space="preserve">Itens do Sesc sem nenhuma linha de custo: vão sair com preço zero. Crie a linha de custo e rateie.</t>
  </si>
  <si>
    <t xml:space="preserve">Qtd do item de centavos</t>
  </si>
  <si>
    <t xml:space="preserve">Tem que ser 1.</t>
  </si>
  <si>
    <t xml:space="preserve">POR DISCIPLINA (mesmo % em todas; o total fecha no preço desejado)</t>
  </si>
  <si>
    <t xml:space="preserve">Disciplina</t>
  </si>
  <si>
    <t xml:space="preserve">Custo material</t>
  </si>
  <si>
    <t xml:space="preserve">Custo MO</t>
  </si>
  <si>
    <t xml:space="preserve">Custo total</t>
  </si>
  <si>
    <t xml:space="preserve">% acrésc. material</t>
  </si>
  <si>
    <t xml:space="preserve">Venda material</t>
  </si>
  <si>
    <t xml:space="preserve">% acrésc. MO</t>
  </si>
  <si>
    <t xml:space="preserve">Venda MO</t>
  </si>
  <si>
    <t xml:space="preserve">Venda total</t>
  </si>
  <si>
    <t xml:space="preserve">% da venda</t>
  </si>
  <si>
    <t xml:space="preserve">Marcenaria e Cenotecnia</t>
  </si>
  <si>
    <t xml:space="preserve">Serralheria e Estruturas Metálicas</t>
  </si>
  <si>
    <t xml:space="preserve">Elétrica e Iluminação</t>
  </si>
  <si>
    <t xml:space="preserve">Pintura e Acabamentos</t>
  </si>
  <si>
    <t xml:space="preserve">Vidros e Acrílicos</t>
  </si>
  <si>
    <t xml:space="preserve">Comunicação Visual</t>
  </si>
  <si>
    <t xml:space="preserve">Segurança Contra Incêndio</t>
  </si>
  <si>
    <t xml:space="preserve">Ferragens e Ancoragens</t>
  </si>
  <si>
    <t xml:space="preserve">Elementos Reformados</t>
  </si>
  <si>
    <t xml:space="preserve">Serviços Gerais e Manutenção</t>
  </si>
  <si>
    <t xml:space="preserve">Logística e Indiretos</t>
  </si>
  <si>
    <t xml:space="preserve">TOTAL</t>
  </si>
  <si>
    <t xml:space="preserve">Custo sem disciplina (tem que ser zero)</t>
  </si>
  <si>
    <t xml:space="preserve">COTAÇÃO DE MATERIAIS E INSUMOS — SESC PAULISTA (COSMOCHÃO v12.0)</t>
  </si>
  <si>
    <t xml:space="preserve">Item</t>
  </si>
  <si>
    <t xml:space="preserve">Material / Elemento</t>
  </si>
  <si>
    <t xml:space="preserve">Especificação Técnica</t>
  </si>
  <si>
    <t xml:space="preserve">Quantidade</t>
  </si>
  <si>
    <t xml:space="preserve">Unidade</t>
  </si>
  <si>
    <t xml:space="preserve">Custo Unitário (R$)</t>
  </si>
  <si>
    <t xml:space="preserve">Custo Total (R$)</t>
  </si>
  <si>
    <t xml:space="preserve">Aplicação / Local</t>
  </si>
  <si>
    <t xml:space="preserve">Observações do Fornecedor / Marca</t>
  </si>
  <si>
    <t xml:space="preserve">Rateio no Anexo (%)</t>
  </si>
  <si>
    <t xml:space="preserve">MAT-01</t>
  </si>
  <si>
    <t xml:space="preserve">Chapas de MDF Comum 18mm</t>
  </si>
  <si>
    <t xml:space="preserve">Chapa de MDF Comum / Cru 18mm (2,75 x 1,85 m) — Ignifugação posterior c/ CKC-2020</t>
  </si>
  <si>
    <t xml:space="preserve">m²</t>
  </si>
  <si>
    <t xml:space="preserve">Painéis P01-P07, PR01 (48,5m²), PR02 (48,5m²) e bases M06-M18, M22, M26, M27</t>
  </si>
  <si>
    <t xml:space="preserve">Leo Madeiras R$ 262,90/chapa = R$ 51,68/m² (60 chapas)</t>
  </si>
  <si>
    <t xml:space="preserve">MAT-02</t>
  </si>
  <si>
    <t xml:space="preserve">Chapas de MDF Comum 10mm</t>
  </si>
  <si>
    <t xml:space="preserve">Chapa de MDF Comum / Cru 10mm — Ignifugação posterior c/ CKC-2020</t>
  </si>
  <si>
    <t xml:space="preserve">Estações M19-M21, M24, Carrinho M23 e Caixa M25</t>
  </si>
  <si>
    <t xml:space="preserve">MDF Comum 10mm — R$ 170,00/chapa = R$ 33,42/m² (~9 chapas)</t>
  </si>
  <si>
    <t xml:space="preserve">MAT-03</t>
  </si>
  <si>
    <t xml:space="preserve">Chapas de MDF Comum 6mm e 15mm</t>
  </si>
  <si>
    <t xml:space="preserve">Chapas de MDF Comum / Cru 6mm (R$ 118,90) e 15mm (R$ 218,90) — Média ponderada R$ 33,20/m²</t>
  </si>
  <si>
    <t xml:space="preserve">Tampo da Mesa M01 e bases escultóricas M02-M05</t>
  </si>
  <si>
    <t xml:space="preserve">15m² de 6mm (~3 chapas) + 15m² de 15mm (~3 chapas)</t>
  </si>
  <si>
    <t xml:space="preserve">MAT-04</t>
  </si>
  <si>
    <t xml:space="preserve">Pontaletes de Madeira</t>
  </si>
  <si>
    <t xml:space="preserve">Seção de 5 x 5 cm em madeira para estrutura interna</t>
  </si>
  <si>
    <t xml:space="preserve">m</t>
  </si>
  <si>
    <t xml:space="preserve">Estrutura interna de P01-P06, PR01, PR02, M02-M05, M13</t>
  </si>
  <si>
    <t xml:space="preserve">Sarrafo de pinus/cedrinho 5x5cm (R$ 18,00/m)</t>
  </si>
  <si>
    <t xml:space="preserve">MET-01</t>
  </si>
  <si>
    <t xml:space="preserve">Perfis Tubulares S03</t>
  </si>
  <si>
    <t xml:space="preserve">Tubo de aço 50 x 50 x 5,0 mm (7,07 kg/m)</t>
  </si>
  <si>
    <t xml:space="preserve">Estrutura metálica interna da Base M27 (Obra Solange Pessoa)</t>
  </si>
  <si>
    <t xml:space="preserve">47m de tubo = 332,29 kg de aço</t>
  </si>
  <si>
    <t xml:space="preserve">MET-02</t>
  </si>
  <si>
    <t xml:space="preserve">Tubos de Aço Estrutural</t>
  </si>
  <si>
    <t xml:space="preserve">Tubo de aço 50 x 50 x 3,0 mm (4,43 kg/m)</t>
  </si>
  <si>
    <t xml:space="preserve">4 Barracudas S01 (P05) e 4 Barracudas Piso-Teto (Obra Davi)</t>
  </si>
  <si>
    <t xml:space="preserve">25m de tubo = 110,75 kg de aço (Barra 6m R$ 275,08)</t>
  </si>
  <si>
    <t xml:space="preserve">MET-03</t>
  </si>
  <si>
    <t xml:space="preserve">Molduras Metálicas S01</t>
  </si>
  <si>
    <t xml:space="preserve">Metalon 50 x 50 mm (37 x 93 cm) c/ sapata e contrapesos</t>
  </si>
  <si>
    <t xml:space="preserve">un</t>
  </si>
  <si>
    <t xml:space="preserve">Caixas de marcenaria S01 / Reforço P05 (Obra Davi)</t>
  </si>
  <si>
    <t xml:space="preserve">Conjunto de 2 molduras S01</t>
  </si>
  <si>
    <t xml:space="preserve">MET-04</t>
  </si>
  <si>
    <t xml:space="preserve">Mão-Francesa Metálica S02</t>
  </si>
  <si>
    <t xml:space="preserve">Tubo 50 x 50 mm e chapa maciça 3 mm (40 x 40 cm)</t>
  </si>
  <si>
    <t xml:space="preserve">Sustentação do barco no Painel P05</t>
  </si>
  <si>
    <t xml:space="preserve">Conjunto de 2 mãos-francesas S02</t>
  </si>
  <si>
    <t xml:space="preserve">MET-05</t>
  </si>
  <si>
    <t xml:space="preserve">Placas de Apoio de Aço</t>
  </si>
  <si>
    <t xml:space="preserve">Chapa de aço 100 x 100 x 5 mm c/ barra roscada e contraporca</t>
  </si>
  <si>
    <t xml:space="preserve">Extremidades das 4 barracudas piso-teto (Obra Davi)</t>
  </si>
  <si>
    <t xml:space="preserve">Placas de fixação superior e inferior</t>
  </si>
  <si>
    <t xml:space="preserve">MET-06</t>
  </si>
  <si>
    <t xml:space="preserve">Perfis de Alumínio de Canto</t>
  </si>
  <si>
    <t xml:space="preserve">Perfil de sobrepor 16 x 16 mm (L = 180 cm) para LED c/ difusor</t>
  </si>
  <si>
    <t xml:space="preserve">Nichos superior e inferior da Vitrine M22 (Francisco Brennand)</t>
  </si>
  <si>
    <t xml:space="preserve">Perfil de alumínio 16x16mm + difusor PMMA</t>
  </si>
  <si>
    <t xml:space="preserve">ELE-01</t>
  </si>
  <si>
    <t xml:space="preserve">Quadro QDLF-Temporário</t>
  </si>
  <si>
    <t xml:space="preserve">Caixa de sobrepor 3F+N+T (220/127V), barramento 80A</t>
  </si>
  <si>
    <t xml:space="preserve">Quadro provisório de distribuição no 5º andar</t>
  </si>
  <si>
    <t xml:space="preserve">Quadro provisório completo com barramento 80A</t>
  </si>
  <si>
    <t xml:space="preserve">ELE-02</t>
  </si>
  <si>
    <t xml:space="preserve">Cabo Alimentador Geral</t>
  </si>
  <si>
    <t xml:space="preserve">Cabo flexível Afumex 0,6/1kV 90°C (3#10 + N10 + PE10 mm²)</t>
  </si>
  <si>
    <t xml:space="preserve">Interligação do QG-N-05 PV ao QDLF-Temporário</t>
  </si>
  <si>
    <t xml:space="preserve">Cabo Prysmian Afumex 10 mm² (R$ 14,67/m)</t>
  </si>
  <si>
    <t xml:space="preserve">ELE-03</t>
  </si>
  <si>
    <t xml:space="preserve">Disjuntores DIN e DDR</t>
  </si>
  <si>
    <t xml:space="preserve">Minidisjuntores DIN (1P, 2P, 3P) Curva C 5kA e Disjuntor DR</t>
  </si>
  <si>
    <t xml:space="preserve">Proteção dos circuitos T1–T4, I1, I2, RD no QDLF</t>
  </si>
  <si>
    <t xml:space="preserve">Conjunto de disjuntores DIN e DR</t>
  </si>
  <si>
    <t xml:space="preserve">ELE-04</t>
  </si>
  <si>
    <t xml:space="preserve">Cabos PP Antichama</t>
  </si>
  <si>
    <t xml:space="preserve">Fiação flexível Afumex 0,6/1kV 90°C 2,5 mm²</t>
  </si>
  <si>
    <t xml:space="preserve">Circuitos de tomada e iluminação geral</t>
  </si>
  <si>
    <t xml:space="preserve">Cabo PP Afumex 3x2,5 mm² (R$ 15,95/m)</t>
  </si>
  <si>
    <t xml:space="preserve">ELE-05</t>
  </si>
  <si>
    <t xml:space="preserve">Fita LED Backlight M01</t>
  </si>
  <si>
    <t xml:space="preserve">Fita LED 180°, 12V, 18W/m, 3000K/6500K c/ dimmer</t>
  </si>
  <si>
    <t xml:space="preserve">Nicho interno abaixo do acrílico da Mesa M01</t>
  </si>
  <si>
    <t xml:space="preserve">Fita LED Gaya 18W/m 12V 3000K (R$ 34,60/m)</t>
  </si>
  <si>
    <t xml:space="preserve">ELE-06</t>
  </si>
  <si>
    <t xml:space="preserve">Fita LED Vitrine M22</t>
  </si>
  <si>
    <t xml:space="preserve">Fita LED 3000K, 10W/m, IRC &gt; 90, 12V/24V c/ driver e dimmer</t>
  </si>
  <si>
    <t xml:space="preserve">Perfis de alumínio da Vitrine M22 (Brennand)</t>
  </si>
  <si>
    <t xml:space="preserve">Fita LED COB 10W/m IRC&gt;90 3000K (R$ 28,97/m)</t>
  </si>
  <si>
    <t xml:space="preserve">ELE-07</t>
  </si>
  <si>
    <t xml:space="preserve">Fita Eletrificada de Piso</t>
  </si>
  <si>
    <t xml:space="preserve">Fita eletrificada de piso para passagem de energia</t>
  </si>
  <si>
    <t xml:space="preserve">cj</t>
  </si>
  <si>
    <t xml:space="preserve">Alimentação elétrica da iluminação da Mesa M01</t>
  </si>
  <si>
    <t xml:space="preserve">Eletrofita 3 pistas / 20A (R$ 45,10/m)</t>
  </si>
  <si>
    <t xml:space="preserve">ELE-08</t>
  </si>
  <si>
    <t xml:space="preserve">Eletrodutos e Calhas</t>
  </si>
  <si>
    <t xml:space="preserve">Eletroduto aço galv. leve Ø 3/4" e calha de piso alumínio 10x30mm</t>
  </si>
  <si>
    <t xml:space="preserve">Infraestrutura aparente de distribuição elétrica</t>
  </si>
  <si>
    <t xml:space="preserve">Eletroduto galv. a fogo 3/4" R$ 14,77/m + Calha R$ 35,00/m</t>
  </si>
  <si>
    <t xml:space="preserve">TIN-01</t>
  </si>
  <si>
    <t xml:space="preserve">Tinta Acrílica "Terra Roxa"</t>
  </si>
  <si>
    <t xml:space="preserve">Tinta acrílica fosca Suvinil ref. coml. (Latas de 18L)</t>
  </si>
  <si>
    <t xml:space="preserve">Painéis P01–P05 e móveis reformados (115,8 m² a 3 demãos)</t>
  </si>
  <si>
    <t xml:space="preserve">Suvinil Fosca Terra Roxa 18L — R$ 609,10/lata</t>
  </si>
  <si>
    <t xml:space="preserve">TIN-02</t>
  </si>
  <si>
    <t xml:space="preserve">Tinta Acrílica "Papel de Seda"</t>
  </si>
  <si>
    <t xml:space="preserve">Painéis P06, PR01, PR02 e bases novas (185,3 m² a 3 demãos)</t>
  </si>
  <si>
    <t xml:space="preserve">Suvinil Fosca Papel de Seda 18L — R$ 609,10/lata</t>
  </si>
  <si>
    <t xml:space="preserve">TIN-03</t>
  </si>
  <si>
    <t xml:space="preserve">Tinta Acrílica Branca</t>
  </si>
  <si>
    <t xml:space="preserve">Tinta acrílica imobiliária fosca branca (Latas de 18L)</t>
  </si>
  <si>
    <t xml:space="preserve">Painel P07, nicho M01 e repintura de painéis existentes (258,12 m²)</t>
  </si>
  <si>
    <t xml:space="preserve">Suvinil Fosca Branca 18L — R$ 615,92/lata</t>
  </si>
  <si>
    <t xml:space="preserve">VID-01</t>
  </si>
  <si>
    <t xml:space="preserve">Vidro Laminado M01</t>
  </si>
  <si>
    <t xml:space="preserve">Vidro extra clear laminado temperado 10+10mm (21,52mm) UV 99%</t>
  </si>
  <si>
    <t xml:space="preserve">peça</t>
  </si>
  <si>
    <t xml:space="preserve">Tampo da Mesa Expositiva M01</t>
  </si>
  <si>
    <t xml:space="preserve">Custo fechado de R$ 1.376,71 por peça. Demais vidros/acrílicos do projeto são acervo SESC — fora do escopo de fornecimento.</t>
  </si>
  <si>
    <t xml:space="preserve">CV-01</t>
  </si>
  <si>
    <t xml:space="preserve">Aplicação de Película Refl. Prata-Bronze 05</t>
  </si>
  <si>
    <t xml:space="preserve">Fornecimento e aplicação de película refletiva Prata-Bronze 05 (cód. fornecedor 13605)</t>
  </si>
  <si>
    <t xml:space="preserve">Painel de vidro — 6º andar</t>
  </si>
  <si>
    <t xml:space="preserve">Proposta RE9 nº 202609.23.02074.6502 de 23/09/2026 (contato Eduardo) — 72,96 m² de caixilharia. Item 13605 — R$ 112,52/m².</t>
  </si>
  <si>
    <t xml:space="preserve">CV-02</t>
  </si>
  <si>
    <t xml:space="preserve">Remoção de Película Anterior</t>
  </si>
  <si>
    <t xml:space="preserve">Remoção de película/adesivo existente na caixilharia (cód. fornecedor 70011)</t>
  </si>
  <si>
    <t xml:space="preserve">Painel de vidro — 6º andar (pré-aplicação)</t>
  </si>
  <si>
    <t xml:space="preserve">Proposta RE9 nº 202609.23.02074.6502 de 23/09/2026 (contato Eduardo) — 72,96 m² de caixilharia. Item 70011 — R$ 47,00/m².</t>
  </si>
  <si>
    <t xml:space="preserve">CV-03</t>
  </si>
  <si>
    <t xml:space="preserve">Remoção de Película ao Final da Exposição</t>
  </si>
  <si>
    <t xml:space="preserve">Remoção da película aplicada ao término da exposição (cód. fornecedor 70011)</t>
  </si>
  <si>
    <t xml:space="preserve">Painel de vidro — 6º andar (desmontagem)</t>
  </si>
  <si>
    <t xml:space="preserve">Proposta RE9 nº 202609.23.02074.6502 de 23/09/2026 (contato Eduardo) — 72,96 m² de caixilharia. Item 70011 — R$ 28,00/m².</t>
  </si>
  <si>
    <t xml:space="preserve">SEG-01</t>
  </si>
  <si>
    <t xml:space="preserve">Retardante de Chamas CKC-2020</t>
  </si>
  <si>
    <t xml:space="preserve">Solução ignífuga atóxica NBR 9442 Classe A (Bombonas de 20L) p/ aplicação no MDF Comum</t>
  </si>
  <si>
    <t xml:space="preserve">Aplicação em 2 faces (frente e verso) do MDF cru (754 m² superfície)</t>
  </si>
  <si>
    <t xml:space="preserve">11 bombonas de 20L x R$ 2.190,00 = R$ 24.090,00</t>
  </si>
  <si>
    <t xml:space="preserve">SEG-02</t>
  </si>
  <si>
    <t xml:space="preserve">Extintores Pó ABC 4kg</t>
  </si>
  <si>
    <t xml:space="preserve">Extintor PQS ABC 4 kg (2A:20BC) c/ suporte de solo tripé</t>
  </si>
  <si>
    <t xml:space="preserve">Pontos indicados no projeto do Corpo de Bombeiros</t>
  </si>
  <si>
    <t xml:space="preserve">Kit extintor + suporte tripé R$ 196,73</t>
  </si>
  <si>
    <t xml:space="preserve">SEG-03</t>
  </si>
  <si>
    <t xml:space="preserve">Blocos Iluminação Emergência</t>
  </si>
  <si>
    <t xml:space="preserve">Bloco autônomo 4W 60 LEDs (300 lm) baterias de lítio</t>
  </si>
  <si>
    <t xml:space="preserve">Aclaramento e balizamento de rotas de fuga</t>
  </si>
  <si>
    <t xml:space="preserve">Blocos autônomos 4W R$ 45,00/un</t>
  </si>
  <si>
    <t xml:space="preserve">SEG-04</t>
  </si>
  <si>
    <t xml:space="preserve">Sinalização Fotoluminescente</t>
  </si>
  <si>
    <t xml:space="preserve">Placas rígidas fotoluminescentes normas ABNT</t>
  </si>
  <si>
    <t xml:space="preserve">Indicação de saídas de emergência e extintores</t>
  </si>
  <si>
    <t xml:space="preserve">Conjunto de placas rígidas ABNT</t>
  </si>
  <si>
    <t xml:space="preserve">SEG-05</t>
  </si>
  <si>
    <t xml:space="preserve">Lona Impermeável</t>
  </si>
  <si>
    <t xml:space="preserve">Lona de proteção impermeável para piso</t>
  </si>
  <si>
    <t xml:space="preserve">Proteção de superfícies na aplicação de ignífugo</t>
  </si>
  <si>
    <t xml:space="preserve">Lona reforçada de proteção</t>
  </si>
  <si>
    <t xml:space="preserve">FER-01</t>
  </si>
  <si>
    <t xml:space="preserve">Cabos de Aço e Acessórios</t>
  </si>
  <si>
    <t xml:space="preserve">Cabo de aço ø 1/8" (3,2mm), sapatilhas, grampos U, esticadores</t>
  </si>
  <si>
    <t xml:space="preserve">Travamento dos painéis altos PR01 / PR02 (3 cabos/painel)</t>
  </si>
  <si>
    <t xml:space="preserve">Kits completos de travamento R$ 234,00/cj</t>
  </si>
  <si>
    <t xml:space="preserve">FER-02</t>
  </si>
  <si>
    <t xml:space="preserve">Rodízios Schioppa c/ Trava</t>
  </si>
  <si>
    <t xml:space="preserve">Rodízios com trava mecânica incorporada</t>
  </si>
  <si>
    <t xml:space="preserve">Base móvel do Carrinho Educativo M23</t>
  </si>
  <si>
    <t xml:space="preserve">Schioppa PU c/ trava (Ref. GL312 PE G, 3", 170kg)</t>
  </si>
  <si>
    <t xml:space="preserve">FER-03</t>
  </si>
  <si>
    <t xml:space="preserve">Manta de Borracha / Feltros</t>
  </si>
  <si>
    <t xml:space="preserve">Manta antiderrapante e feltros técnicos de proteção</t>
  </si>
  <si>
    <t xml:space="preserve">Sob a Vitrine M22 e no travamento do barco</t>
  </si>
  <si>
    <t xml:space="preserve">Conjunto de mantas e feltros</t>
  </si>
  <si>
    <t xml:space="preserve">FER-04</t>
  </si>
  <si>
    <t xml:space="preserve">Lastros de Estabilização</t>
  </si>
  <si>
    <t xml:space="preserve">Anilhas/blocos de aço/ferro confinados (kg)</t>
  </si>
  <si>
    <t xml:space="preserve">kg</t>
  </si>
  <si>
    <t xml:space="preserve">Vitrine M01/M22 (150 kg) e Obra Davi (250 kg)</t>
  </si>
  <si>
    <t xml:space="preserve">400kg de anilhas/blocos x R$ 12,00/kg</t>
  </si>
  <si>
    <t xml:space="preserve">MES-01</t>
  </si>
  <si>
    <t xml:space="preserve">Estrutura de Mesas</t>
  </si>
  <si>
    <t xml:space="preserve">Estrutura metálica existente (180 x 70 cm) c/ pintura eletrostática</t>
  </si>
  <si>
    <t xml:space="preserve">Espaço Educativo</t>
  </si>
  <si>
    <t xml:space="preserve">Repintura eletrostática Terra Roxa</t>
  </si>
  <si>
    <t xml:space="preserve">SUP-01</t>
  </si>
  <si>
    <t xml:space="preserve">Suporte Metálico</t>
  </si>
  <si>
    <t xml:space="preserve">Suporte metálico existente (100 x 85 x 50 cm) c/ pintura eletrostática</t>
  </si>
  <si>
    <t xml:space="preserve">MOB-01</t>
  </si>
  <si>
    <t xml:space="preserve">Banquinhos</t>
  </si>
  <si>
    <t xml:space="preserve">Repintura acrílica na cor Terra Roxa (50 x 45 x 45 cm)</t>
  </si>
  <si>
    <t xml:space="preserve">Repintura acrílica Terra Roxa</t>
  </si>
  <si>
    <t xml:space="preserve">MOB-02</t>
  </si>
  <si>
    <t xml:space="preserve">Porta-Folders</t>
  </si>
  <si>
    <t xml:space="preserve">Repintura acrílica na cor Terra Roxa (75 x 25 x 50 cm)</t>
  </si>
  <si>
    <t xml:space="preserve">MOB-03</t>
  </si>
  <si>
    <t xml:space="preserve">Mesa Tátil</t>
  </si>
  <si>
    <t xml:space="preserve">Repintura acrílica na cor Terra Roxa c/ vinil de recorte</t>
  </si>
  <si>
    <t xml:space="preserve">Repintura e vinil de recorte</t>
  </si>
  <si>
    <t xml:space="preserve">TOTAL GERAL</t>
  </si>
  <si>
    <t xml:space="preserve">TOTAL:</t>
  </si>
  <si>
    <t xml:space="preserve">COTAÇÃO E REGISTRO DE MÃO DE OBRA, SERVIÇOS E LOGÍSTICA — SESC PAULISTA (COSMOCHÃO v12.0)</t>
  </si>
  <si>
    <t xml:space="preserve">Categoria / Função</t>
  </si>
  <si>
    <t xml:space="preserve">Especificação / Escopo</t>
  </si>
  <si>
    <t xml:space="preserve">Quantidade Est.</t>
  </si>
  <si>
    <t xml:space="preserve">Valor Unitário (R$)</t>
  </si>
  <si>
    <t xml:space="preserve">MO-01</t>
  </si>
  <si>
    <t xml:space="preserve">Pintura por empreita — mão de obra</t>
  </si>
  <si>
    <t xml:space="preserve">Pintura acrílica de painéis novos (P01–P07, PR01, PR02), existentes e móveis (Preço Fechado / Empreita c/ supervisor embutido)</t>
  </si>
  <si>
    <t xml:space="preserve">MO-02A</t>
  </si>
  <si>
    <t xml:space="preserve">Marceneiro / Cenotécnico (Galpão)</t>
  </si>
  <si>
    <t xml:space="preserve">Equipe de 4 marceneiros alocada por 5 dias de pré-fabricação no galpão (4 p x 5 dias)</t>
  </si>
  <si>
    <t xml:space="preserve">pessoa-dia</t>
  </si>
  <si>
    <t xml:space="preserve">MO-02B</t>
  </si>
  <si>
    <t xml:space="preserve">Marceneiro / Cenotécnico (SESC)</t>
  </si>
  <si>
    <t xml:space="preserve">Equipe de 8 marceneiros alocada nos 20 dias de montagem no SESC (8 p x 20 dias)</t>
  </si>
  <si>
    <t xml:space="preserve">MO-03</t>
  </si>
  <si>
    <t xml:space="preserve">Ajudante, carga e descarga</t>
  </si>
  <si>
    <t xml:space="preserve">4 ajudantes nos 2 primeiros dias de montagem no SESC (8 p-d) e no dia da desmontagem (4 p-d)</t>
  </si>
  <si>
    <t xml:space="preserve">MO-04</t>
  </si>
  <si>
    <t xml:space="preserve">Equipe de Limpeza</t>
  </si>
  <si>
    <t xml:space="preserve">3 pessoas alocadas nos últimos 3 dias de montagem no SESC para limpeza fina pré-abertura</t>
  </si>
  <si>
    <t xml:space="preserve">MO-05</t>
  </si>
  <si>
    <t xml:space="preserve">Serralheiro — EMPREITA</t>
  </si>
  <si>
    <t xml:space="preserve">Montagem e ajustes de estruturas metálicas S01, S02, S03 e barracudas (Preço Fechado / Empreita)</t>
  </si>
  <si>
    <t xml:space="preserve">MO-06</t>
  </si>
  <si>
    <t xml:space="preserve">Supervisor de Montagem</t>
  </si>
  <si>
    <t xml:space="preserve">1 supervisor dedicado durante toda a montagem no SESC (20 dias); supervisão de pintura e elétrica embutida nas empreitas</t>
  </si>
  <si>
    <t xml:space="preserve">dia</t>
  </si>
  <si>
    <t xml:space="preserve">MO-07</t>
  </si>
  <si>
    <t xml:space="preserve">Tapeceiro</t>
  </si>
  <si>
    <t xml:space="preserve">Serviços de tapeçaria, estofamento e revestimentos têxteis</t>
  </si>
  <si>
    <t xml:space="preserve">MO-08</t>
  </si>
  <si>
    <t xml:space="preserve">Adesivador</t>
  </si>
  <si>
    <t xml:space="preserve">2 pessoas alocadas por 3 dias para aplicação de insulfilm e vinil de recorte</t>
  </si>
  <si>
    <t xml:space="preserve">MO-09</t>
  </si>
  <si>
    <t xml:space="preserve">Eletricista — EMPREITA</t>
  </si>
  <si>
    <t xml:space="preserve">Instalação do QDLF-Temporário, fiação, iluminação LED M01/M22 (Preço Fechado / Empreita c/ supervisor embutido)</t>
  </si>
  <si>
    <t xml:space="preserve">MO-10</t>
  </si>
  <si>
    <t xml:space="preserve">Equipe de Manutenção Expositiva</t>
  </si>
  <si>
    <t xml:space="preserve">Visitas quinzenais durante os 8 meses de exposição com equipe dedicada de 2 pessoas (18 visitas x 2 p)</t>
  </si>
  <si>
    <t xml:space="preserve">LOG-01A</t>
  </si>
  <si>
    <t xml:space="preserve">Alimentação (Campo SESC)</t>
  </si>
  <si>
    <t xml:space="preserve">Vale-alimentação para equipe operacional durante atuação em campo no SESC (212 pessoa-dias de campo)</t>
  </si>
  <si>
    <t xml:space="preserve">LOG-01B</t>
  </si>
  <si>
    <t xml:space="preserve">Alimentação (Galpão de Marcenaria)</t>
  </si>
  <si>
    <t xml:space="preserve">Vale-alimentação para equipe de 4 marceneiros durante 5 dias de pré-fabricação no galpão (20 pessoa-dias)</t>
  </si>
  <si>
    <t xml:space="preserve">LOG-02</t>
  </si>
  <si>
    <t xml:space="preserve">Deslocamento (Campo SESC)</t>
  </si>
  <si>
    <t xml:space="preserve">Vale-transporte / deslocamento diário da equipe durante atuação no SESC (212 pessoa-dias de campo)</t>
  </si>
  <si>
    <t xml:space="preserve">LOG-03</t>
  </si>
  <si>
    <t xml:space="preserve">Combustível do carro de produção</t>
  </si>
  <si>
    <t xml:space="preserve">Combustível para veículo de apoio da produção/coordenação (20 dias)</t>
  </si>
  <si>
    <t xml:space="preserve">LOG-04</t>
  </si>
  <si>
    <t xml:space="preserve">Frete</t>
  </si>
  <si>
    <t xml:space="preserve">Frete de entrega e devolução/retirada de materiais (2 viagens)</t>
  </si>
  <si>
    <t xml:space="preserve">viagem</t>
  </si>
  <si>
    <t xml:space="preserve">ENG-01</t>
  </si>
  <si>
    <t xml:space="preserve">ART — referência interna</t>
  </si>
  <si>
    <t xml:space="preserve">Anotação de Responsabilidade Técnica de engenharia civil/mecânica</t>
  </si>
  <si>
    <t xml:space="preserve">registro</t>
  </si>
  <si>
    <t xml:space="preserve">TOTAL DE MÃO DE OBRA, SERVIÇOS E LOGÍSTICA</t>
  </si>
  <si>
    <t xml:space="preserve">RATEIO — DE ONDE VEM O CUSTO DE CADA ITEM DO ANEXO</t>
  </si>
  <si>
    <t xml:space="preserve">Cada linha de custo (MAT-xx / MO-xx) é dividida entre itens do Anexo pelo PESO (base × fator). Item "INDIRETO" = frete, ART, supervisão etc.: é espalhado nos itens proporcional ao custo direto.</t>
  </si>
  <si>
    <t xml:space="preserve">Total rateado (R$)</t>
  </si>
  <si>
    <t xml:space="preserve">Indireto material (R$)</t>
  </si>
  <si>
    <t xml:space="preserve">Indireto MO (R$)</t>
  </si>
  <si>
    <t xml:space="preserve">Código custo</t>
  </si>
  <si>
    <t xml:space="preserve">Tipo</t>
  </si>
  <si>
    <t xml:space="preserve">Descrição do custo</t>
  </si>
  <si>
    <t xml:space="preserve">Item Anexo</t>
  </si>
  <si>
    <t xml:space="preserve">Base</t>
  </si>
  <si>
    <t xml:space="preserve">Fator</t>
  </si>
  <si>
    <t xml:space="preserve">Peso</t>
  </si>
  <si>
    <t xml:space="preserve">% do custo</t>
  </si>
  <si>
    <t xml:space="preserve">Custo da linha</t>
  </si>
  <si>
    <t xml:space="preserve">Custo rateado</t>
  </si>
  <si>
    <t xml:space="preserve">Base do peso (de onde saiu)</t>
  </si>
  <si>
    <t xml:space="preserve">Conferência</t>
  </si>
  <si>
    <t xml:space="preserve">A.2.1</t>
  </si>
  <si>
    <t xml:space="preserve">m² (painel = Anexo; base = envoltória)</t>
  </si>
  <si>
    <t xml:space="preserve">A.2.2</t>
  </si>
  <si>
    <t xml:space="preserve">A.2.3</t>
  </si>
  <si>
    <t xml:space="preserve">A.2.4</t>
  </si>
  <si>
    <t xml:space="preserve">A.2.5</t>
  </si>
  <si>
    <t xml:space="preserve">A.2.6</t>
  </si>
  <si>
    <t xml:space="preserve">A.2.7</t>
  </si>
  <si>
    <t xml:space="preserve">A.2.8</t>
  </si>
  <si>
    <t xml:space="preserve">A.2.9</t>
  </si>
  <si>
    <t xml:space="preserve">A.4.4</t>
  </si>
  <si>
    <t xml:space="preserve">A.4.5</t>
  </si>
  <si>
    <t xml:space="preserve">A.4.6</t>
  </si>
  <si>
    <t xml:space="preserve">A.4.7</t>
  </si>
  <si>
    <t xml:space="preserve">A.4.8</t>
  </si>
  <si>
    <t xml:space="preserve">A.4.9</t>
  </si>
  <si>
    <t xml:space="preserve">A.4.10</t>
  </si>
  <si>
    <t xml:space="preserve">A.4.11</t>
  </si>
  <si>
    <t xml:space="preserve">A.4.12</t>
  </si>
  <si>
    <t xml:space="preserve">A.4.18</t>
  </si>
  <si>
    <t xml:space="preserve">A.4.19</t>
  </si>
  <si>
    <t xml:space="preserve">A.4.20</t>
  </si>
  <si>
    <t xml:space="preserve">A.4.13</t>
  </si>
  <si>
    <t xml:space="preserve">m² envoltória (dims do Anexo); carrinho ×1,5 (2 peças c/ nichos)</t>
  </si>
  <si>
    <t xml:space="preserve">A.4.14</t>
  </si>
  <si>
    <t xml:space="preserve">A.4.15</t>
  </si>
  <si>
    <t xml:space="preserve">A.4.16</t>
  </si>
  <si>
    <t xml:space="preserve">A.4.17</t>
  </si>
  <si>
    <t xml:space="preserve">A.4.21</t>
  </si>
  <si>
    <t xml:space="preserve">A.4.1</t>
  </si>
  <si>
    <t xml:space="preserve">m² (tampo M01 = área do círculo; bases = envoltória)</t>
  </si>
  <si>
    <t xml:space="preserve">A.4.2</t>
  </si>
  <si>
    <t xml:space="preserve">A.4.3</t>
  </si>
  <si>
    <t xml:space="preserve">m² (conforme aplicação da cotação)</t>
  </si>
  <si>
    <t xml:space="preserve">A.1.4</t>
  </si>
  <si>
    <t xml:space="preserve">100% (base metálica Solange)</t>
  </si>
  <si>
    <t xml:space="preserve">A.1.2</t>
  </si>
  <si>
    <t xml:space="preserve">100% (barracudas)</t>
  </si>
  <si>
    <t xml:space="preserve">A.1.1</t>
  </si>
  <si>
    <t xml:space="preserve">100% (molduras S01)</t>
  </si>
  <si>
    <t xml:space="preserve">A.1.3</t>
  </si>
  <si>
    <t xml:space="preserve">100% (mão-francesa)</t>
  </si>
  <si>
    <t xml:space="preserve">100% (placas das barracudas)</t>
  </si>
  <si>
    <t xml:space="preserve">100% (perfis LED da vitrine M22)</t>
  </si>
  <si>
    <t xml:space="preserve">B.6</t>
  </si>
  <si>
    <t xml:space="preserve">100% (quadro)</t>
  </si>
  <si>
    <t xml:space="preserve">B.2</t>
  </si>
  <si>
    <t xml:space="preserve">metros do Anexo</t>
  </si>
  <si>
    <t xml:space="preserve">B.3</t>
  </si>
  <si>
    <t xml:space="preserve">B.4</t>
  </si>
  <si>
    <t xml:space="preserve">100% (disjuntores do quadro)</t>
  </si>
  <si>
    <t xml:space="preserve">B.1</t>
  </si>
  <si>
    <t xml:space="preserve">100% (cabo PP)</t>
  </si>
  <si>
    <t xml:space="preserve">100% (LED da mesa M01)</t>
  </si>
  <si>
    <t xml:space="preserve">100% (LED da vitrine M22)</t>
  </si>
  <si>
    <t xml:space="preserve">100% (alimentação da mesa M01)</t>
  </si>
  <si>
    <t xml:space="preserve">B.8</t>
  </si>
  <si>
    <t xml:space="preserve">R$ da cotação: eletroduto 30×14,77 | calha de piso 30×35,00</t>
  </si>
  <si>
    <t xml:space="preserve">B.7</t>
  </si>
  <si>
    <t xml:space="preserve">m² (cor Terra Roxa no Anexo; reformados = envoltória)</t>
  </si>
  <si>
    <t xml:space="preserve">A.5.1</t>
  </si>
  <si>
    <t xml:space="preserve">A.5.3</t>
  </si>
  <si>
    <t xml:space="preserve">A.5.4</t>
  </si>
  <si>
    <t xml:space="preserve">m² (cor Papel de Seda no Anexo)</t>
  </si>
  <si>
    <t xml:space="preserve">A.3.1</t>
  </si>
  <si>
    <t xml:space="preserve">m² (branca: existentes, P07, nicho M01 ~1 m², caixa tablet)</t>
  </si>
  <si>
    <t xml:space="preserve">100% (vidro da mesa M01)</t>
  </si>
  <si>
    <t xml:space="preserve">A.6.1</t>
  </si>
  <si>
    <t xml:space="preserve">100% (insulfilm)</t>
  </si>
  <si>
    <t xml:space="preserve">m² de MDF (mesmo peso do MDF 6/10/15/18)</t>
  </si>
  <si>
    <t xml:space="preserve">C.2.1</t>
  </si>
  <si>
    <t xml:space="preserve">ESTIMADO: kit cotado junto; 65% extintor / 35% suporte</t>
  </si>
  <si>
    <t xml:space="preserve">C.2.2</t>
  </si>
  <si>
    <t xml:space="preserve">C.3.1</t>
  </si>
  <si>
    <t xml:space="preserve">100% (blocos de emergência)</t>
  </si>
  <si>
    <t xml:space="preserve">C.1.1</t>
  </si>
  <si>
    <t xml:space="preserve">qtd de placas do Anexo</t>
  </si>
  <si>
    <t xml:space="preserve">C.1.2</t>
  </si>
  <si>
    <t xml:space="preserve">C.1.3</t>
  </si>
  <si>
    <t xml:space="preserve">C.1.4</t>
  </si>
  <si>
    <t xml:space="preserve">INDIRETO</t>
  </si>
  <si>
    <t xml:space="preserve">lona de proteção → indireto</t>
  </si>
  <si>
    <t xml:space="preserve">100% (travamento PR01/PR02)</t>
  </si>
  <si>
    <t xml:space="preserve">100% (rodízios do carrinho M23)</t>
  </si>
  <si>
    <t xml:space="preserve">metade vitrine M22 / metade travamento do barco</t>
  </si>
  <si>
    <t xml:space="preserve">kg da cotação (Obra Davi 250 / M01 e M22 150)</t>
  </si>
  <si>
    <t xml:space="preserve">A.5.2</t>
  </si>
  <si>
    <t xml:space="preserve">100%</t>
  </si>
  <si>
    <t xml:space="preserve">A.5.5</t>
  </si>
  <si>
    <t xml:space="preserve">m² pintado (mesmo peso das tintas)</t>
  </si>
  <si>
    <t xml:space="preserve">m² × fator de complexidade (ESTIMADO: painel 1; P05 1,5; P07 0,5; base e vitrine M22 1,5; mobiliário técnico pequeno 2,5)</t>
  </si>
  <si>
    <t xml:space="preserve">pessoa-dia: 8 na montagem (indireto) / 4 na desmontagem</t>
  </si>
  <si>
    <t xml:space="preserve">A.7.4</t>
  </si>
  <si>
    <t xml:space="preserve">100% (limpeza)</t>
  </si>
  <si>
    <t xml:space="preserve">R$ de material de serralheria de cada peça</t>
  </si>
  <si>
    <t xml:space="preserve">supervisão → indireto</t>
  </si>
  <si>
    <t xml:space="preserve">tapeceiro (pendente) → indireto</t>
  </si>
  <si>
    <t xml:space="preserve">pessoa-dia ESTIMADO: insulfilm 5 / vinil carrinho 0,5 / vinil mesa tátil 0,5</t>
  </si>
  <si>
    <t xml:space="preserve">R$ de material elétrico (prolongador: ref. web 18×29,67 — ESTIMADO)</t>
  </si>
  <si>
    <t xml:space="preserve">B.5</t>
  </si>
  <si>
    <t xml:space="preserve">A.7.2</t>
  </si>
  <si>
    <t xml:space="preserve">100% (manutenção)</t>
  </si>
  <si>
    <t xml:space="preserve">logística/ART → indireto</t>
  </si>
  <si>
    <t xml:space="preserve">ANEXO III — PREÇOS GERADOS PARA A PLANILHA DO SESC</t>
  </si>
  <si>
    <t xml:space="preserve">CÓPIA INTERLIGADA DA PLANILHA DO SESC: mesma linha e mesmas colunas F (material) e G (MO) da oficial. Para preencher a oficial: copie o bloco indicado na coluna M e cole na MESMA faixa da oficial com COLAR ESPECIAL &gt; VALORES (Ctrl+Alt+V &gt; Valores). Nunca colar normal: leva fórmula e cria vínculo externo.</t>
  </si>
  <si>
    <t xml:space="preserve">TOTAL DO ANEXO →</t>
  </si>
  <si>
    <t xml:space="preserve">Centavos:</t>
  </si>
  <si>
    <t xml:space="preserve">Nova licitação: cole Item / Item memorial / Descrição / Un / Qtd nas colunas A–E nas MESMAS linhas em que estão na planilha oficial.</t>
  </si>
  <si>
    <t xml:space="preserve">Indireto material a ratear:</t>
  </si>
  <si>
    <t xml:space="preserve">Indireto MO a ratear:</t>
  </si>
  <si>
    <t xml:space="preserve">CÁLCULO (não copiar) →</t>
  </si>
  <si>
    <t xml:space="preserve">ITEM</t>
  </si>
  <si>
    <t xml:space="preserve">ITEM MEMORIAL</t>
  </si>
  <si>
    <t xml:space="preserve">DESCRIÇÃO</t>
  </si>
  <si>
    <t xml:space="preserve">UN.</t>
  </si>
  <si>
    <t xml:space="preserve">QDE.</t>
  </si>
  <si>
    <t xml:space="preserve">UNIT. MATERIAL</t>
  </si>
  <si>
    <t xml:space="preserve">UNIT. MÃO-DE-OBRA</t>
  </si>
  <si>
    <t xml:space="preserve">UNIT. TOTAL</t>
  </si>
  <si>
    <t xml:space="preserve">TOTAL MATERIAL</t>
  </si>
  <si>
    <t xml:space="preserve">TOTAL MÃO-DE-OBRA</t>
  </si>
  <si>
    <t xml:space="preserve">STATUS</t>
  </si>
  <si>
    <t xml:space="preserve">COLAR NA OFICIAL (valores)</t>
  </si>
  <si>
    <t xml:space="preserve">Custo mat. direto</t>
  </si>
  <si>
    <t xml:space="preserve">Custo MO direto</t>
  </si>
  <si>
    <t xml:space="preserve">Custo mat. indireto</t>
  </si>
  <si>
    <t xml:space="preserve">Custo MO indireto</t>
  </si>
  <si>
    <t xml:space="preserve">Grade (R$)</t>
  </si>
  <si>
    <t xml:space="preserve">Unit. mat. arred.</t>
  </si>
  <si>
    <t xml:space="preserve">Unit. MO arred.</t>
  </si>
  <si>
    <t xml:space="preserve">fim bloco</t>
  </si>
  <si>
    <t xml:space="preserve">A</t>
  </si>
  <si>
    <t xml:space="preserve">PROJETO EXPOGRAFICO</t>
  </si>
  <si>
    <t xml:space="preserve">A.1</t>
  </si>
  <si>
    <t xml:space="preserve">Estrutura metálica para reforço da instalação de obra no painel (P05) Detalhes técnicos na prancha 2 do Projeto expografico</t>
  </si>
  <si>
    <t xml:space="preserve">Molduras metálicas de 37x93cm, feitas com barra de metalon de 50x50mm, formando uma moldura chumbada em uma caixa de marcenaria com estrutura metálica interna, reforços e contrapesos. A peça deve ser feita exatamente na largura do barco, para que ele possa entrar nesse espaço da moldura e ficar fixo apenas pela pressão exercida para travá-lo. Ainda é preciso avaliar se será permitida alguma furação ou ponto de fixação no barco/obra de arte.</t>
  </si>
  <si>
    <t xml:space="preserve">unid</t>
  </si>
  <si>
    <t xml:space="preserve">4 Barracudas metálicas de 50x50mm com parede de 3mm de espessura com 208cm de comprimento, prensada na laje do espaço e na moldura. Ter uma sapata regulável com chapa metálica na duas pontas da barracuda, seguindo detalhes do projeto de estrutura.</t>
  </si>
  <si>
    <t xml:space="preserve">Mão-francesa metálica de 40x40cm feita com tubo metálico de 50x50mm instalado embaixo do barco para dar maior sustentação — seguir detalhes indicados no desenho, sendo essa peça composta totalmente de ferro e chapa maciça metálica de 3mm.</t>
  </si>
  <si>
    <t xml:space="preserve">Base metálica de 9x450x120cm para distribuição de peso das esculturas da artista Solange Pessoa. Peça com perfil de 50x50mm e 5mm de espessura na parede interna, apoiada diretamente no piso, sobre a qual serão fixadas duas chapas de MDF de 18mm.</t>
  </si>
  <si>
    <t xml:space="preserve">A.2</t>
  </si>
  <si>
    <t xml:space="preserve">Painéis a serem construidos: construção e pintura de painéis em MDF 18mm, conforme indicações técnicas da folha 01 do projeto expográfico. Metros lineares totais de painéis: 72m. Área total dos painéis: 240m². Prever ignifugação do MDF em todos os painéis.</t>
  </si>
  <si>
    <t xml:space="preserve">(P01) Painel de MDF de 18mm, com estrutura interna de pontalete 5x5cm e acabamento em pintura acrílica fosca Terra Roxa, da Suvinil. Dimensões gerais: 4,5m lineares, altura do painel de 2,9m, área total de 14m².</t>
  </si>
  <si>
    <t xml:space="preserve">m2</t>
  </si>
  <si>
    <t xml:space="preserve">(P02) Painel de MDF de 18mm, com estrutura interna de pontalete 5x5cm e acabamento em pintura acrílica fosca Terra Roxa, da Suvinil. Dimensões gerais: 4,1m lineares, altura do painel de 2,9m, área total de 11,8m².</t>
  </si>
  <si>
    <t xml:space="preserve">(P03) Painel de MDF de 18mm, com estrutura interna de pontalete 5x5cm e acabamento em pintura acrílica fosca Terra Roxa, da Suvinil. Dimensões gerais: 11m lineares, altura do painel de 2,9m, área total de 32m².</t>
  </si>
  <si>
    <t xml:space="preserve">(P04) Painel de MDF de 18mm, com estrutura interna de pontalete 5x5cm e acabamento em pintura acrílica fosca Terra Roxa, da Suvinil. Dimensões gerais: 8,5 m lineares, altura do painel de 2,9m, área total de25m².</t>
  </si>
  <si>
    <t xml:space="preserve">(P05) Painel de MDF de 18mm, com estrutura interna de pontalete 5x5cm e acabamento em pintura acrílica fosca Terra Roxa, da Suvinil. Este painel vai precisar ser recortado para que o barco exposto na exposição adentre 50cm para dentro do painel. Após inserido o barco, um molde na medida do vão e do perfil do barco terá que ser feito para fabricação da peça de fechamento deste furo. Dimensões gerais: 5,67m lineares, altura do painel de 2,9m, área total de 16,5m².</t>
  </si>
  <si>
    <t xml:space="preserve">(P06) Painel de MDF de 18mm, com estrutura interna de pontalete 5x5cm e acabamento em pintura acrílica fosca Papel de Seda, da Suvinil. Acoplada a este painel, deverá ser contemplada uma base de 50x30cm em MDF de 18mm. Dimensões gerais: 1,2m lineares, altura do painel de 2,9m, área total de 3,8m²</t>
  </si>
  <si>
    <t xml:space="preserve">(P07) Painel de MDF de 18mm, de 320x160cm parafusado direto no painel existente, acabamento em pintura acrílica acrílica branca.</t>
  </si>
  <si>
    <t xml:space="preserve">(PR01) Painel de MDF de 18mm, com estrutura interna reforçada, treliçada ou em grade, com pontaletes de 5x5cm, e acabamento em pintura acrílica fosca Papel de Seda, da Suvinil. Este painel terá uma abertura em arco na entrada, medindo 150x245cm, e dois recortes laterais — um simulando a geometria de uma lua, e o outro, de uma estrela.</t>
  </si>
  <si>
    <t xml:space="preserve">(PR01 e PR02) Dois painéis de 450x490cm e 30cm de profundidade, com suas 4 faces revestidas com chapa de MDF de 18mm, com estrutura interna reforçada, treliçada ou em grade, com pontaletes de 5x5cm, e acabamento em pintura acrílica fosca Papel de Seda, da Suvinil. Estes dois painéis terão travamento por cabo de aço em 3 pontos cada, conforme indica o projeto de estrutura. Dimensões gerais: 9,6m lineares, altura do painel de 4,9m, área total de 48,5m² 2 unidades</t>
  </si>
  <si>
    <t xml:space="preserve">A.3</t>
  </si>
  <si>
    <t xml:space="preserve">Pintura dos painéis</t>
  </si>
  <si>
    <t xml:space="preserve">Prever a pintura geral, na cor branca, dos painéis que se encontram hoje no espaço expositivo. Esses painéis estão atualmente na cor preta, então é preciso considerar algumas demãos a mais de pintura para que o acabamento fique perfeito. Área total dos painéis: 250m².</t>
  </si>
  <si>
    <t xml:space="preserve">A.4</t>
  </si>
  <si>
    <t xml:space="preserve">Construção de mobiliário para espaço expositivo: desenhos localizado na folha 02 do projeto expografico</t>
  </si>
  <si>
    <t xml:space="preserve">(M01) Mesa construída em MDF de 6, 10 e 18mm, seguindo os detalhes dos desenhos técnicos na prancha 02. Acabamento em pintura acrílica fosca Papel de Seda, da Suvinil. A mesa prevê a instalação de 4 peças de vidro museológico, que devem ser instaladas após a finalização da estrutura da mesa e a realização de molde para que as 4 peças encaixem perfeitamente. O vidro deve seguir o padrão museológico antirreflexo indicado: vidro extra clear laminado temperado 10+10mm (espessura final de 21,52mm), interlayer UV 99%, bordas lapidadas e polidas, junta seca entre peças, em 4 seções. Além destas 4 peças de vidro, há uma peça de acrílico reforçado de 66cm de diâmetro e 18mm de espessura, que servirá de apoio para uma das esculturas. Por dentro dessa peça de acrílico, abaixo dela, serão instaladas luminárias, conforme indicações abaixo: Aplicar fita LED backlight 180°, 12V, 18W/m, 3000K ou 6500K (a confirmar), com dimmer único para todos os trechos, sendo 2 trechos de 30cm, 2 de 50cm e 2 de 60cm, totalizando 220cm de fita. O interior do nicho abaixo do acrílico leitoso deverá ser inteiramente pintado de branco. A alimentação elétrica com cabo PP deve ser feita pelo piso do espaço expositivo, e uma canaleta de piso deve ser instalada para passagem do cabo, nas seguintes especificações: Canaleta de Piso 52x14x2000mm Cinza Enerbras 371/2-ECZ. Dimensões gerais da mesa: 220cm diametro 86cm altura</t>
  </si>
  <si>
    <t xml:space="preserve">(M02 e M04) Base para escultura construída em MDF de 6mm e 15mm, com estrutura reforçada com pontalete de 5x5cm e pintura acrílica fosca Papel de Seda, da Suvinil. Dimensões : 75cm diametro e 50cm altura</t>
  </si>
  <si>
    <t xml:space="preserve">(M03 e M05 ) Base para escultura construída em mdf de 6mm e 15mm com dimensões e geometrias variadas, com estrutura de madeira reforçada de pontalete 5x5cm, e acabamento em pintura acrílica fosca Papel de Seda, da Suvinil. Dimensões aproximadas : 75x 200x 225cm</t>
  </si>
  <si>
    <t xml:space="preserve">(M06,M07,M08 e M09) Base para escultura construída em MDF de18mm, com dimensões e geometria variada e acabamento em pintura acrílica fosca Terra Roxa, da Suvinil. Dimensões aproximadas : 75x220x271cm</t>
  </si>
  <si>
    <t xml:space="preserve">(M10 ) Base para escultura em MDF de 18mm, com dimensões e geometria variadas, e acabamento em pintura acrílica fosca Terra Roxa, da Suvinil. Dimensões aproximadas : 75x190x182cm</t>
  </si>
  <si>
    <t xml:space="preserve">(M11) Base para escultura em MDF de 18mm, com bordas chanfradas, e acabamento em pintura acrílica fosca Terra Roxa, da Suvinil Dimensões aproximadas : 8x95x95cm</t>
  </si>
  <si>
    <t xml:space="preserve">(M12) Base para escultura em MDF de 18mm, com dimensões e geometria variadas, e acabamento em pintura acrílica fosca Papel de Seda, da Suvinil. Dimensões aproximadas : 110x230x144cm</t>
  </si>
  <si>
    <t xml:space="preserve">(M13) Base para escultura em MDF de 18mm, com dimensões e geometria variadas, e acabamento em pintura acrílica fosca Papel de Seda, da Suvinil. Considerar reforço estrutural interno de madeira com pontalete 5x5cm. Dimensões aproximadas : 50x270x65cm</t>
  </si>
  <si>
    <t xml:space="preserve">(M14) Base para escultura em MDF de 18mm, com dimensões e geometria variadas, e acabamento em pintura acrílica fosca Papel de Seda, da Suvinil.Dimensões aproximadas : 50x155x95cm</t>
  </si>
  <si>
    <t xml:space="preserve">(M15) Base para escultura em MDF de 18mm, com dimensões e geometria variadas, e acabamento em pintura acrílica fosca Papel de Seda, da Suvinil. Dimensões aproximadas : 30x108x80cm</t>
  </si>
  <si>
    <t xml:space="preserve">(M16 e M17) Base para escultura em MDF de 18mm, com dimensões e geometria variadas, e acabamento em pintura acrílica fosca Papel de Seda, da Suvinil.Dimensões aproximadas : 70x45x59cm</t>
  </si>
  <si>
    <t xml:space="preserve">(M18) Base para escultura em MDF de 18mm, com dimensões e geometria variadas, e acabamento em pintura acrílica fosca Papel de Seda, da Suvinil. Dimensões aproximadas : 70x40x40cm</t>
  </si>
  <si>
    <t xml:space="preserve">(M19) Estação de acessibilidade com mdf de 10mm com nicho para objetos e tablet embutidos na marcenaria, e laterais removíveis para futura manutenção. Dimensões : 116 x 70 x 35cm</t>
  </si>
  <si>
    <t xml:space="preserve">(M20) Estação de acessibilidade modelo fixada em painel vertical de MDF 18mm de 70x261cm, com sistema de fixação na parte superior da peça, e o restante apenas apoiado na parede — que não pode ser perfurada — e apoiado no piso também. A estação com mdf de 10mm contém nicho para objetos e tablet embutidos na marcenaria, e laterais removíveis para futura manutenção.Dimensões : 116 x 70 x 35cm</t>
  </si>
  <si>
    <t xml:space="preserve">(M21) Estação de acessibilidade modelo fixada em volta do pilar com “amarração” no entorno do pilar com mdf 18mm, A estação em mdf de 10mm, como as outras contém nicho para objetos e tablet embutidos na marcenaria, e laterais removíveis para futura manutenção. Dimensões: 116 x 70 x 35cm</t>
  </si>
  <si>
    <t xml:space="preserve">(M24) Estação de acessibilidade com mdf de 10mm com nicho para objetos e tablet embutidos na marcenaria, e laterais removíveis para futura manutenção. Dimensões : 60x165x10 cm</t>
  </si>
  <si>
    <t xml:space="preserve">(M23) Carrinho Educativo: estrutura em MDF de 10mm, composta por 2 peças unidas por dobradiças, ambas com nichos internos, montada sobre 6 rodízios com travas, da marca Schioppa (modelo exato a ser especificado).As duas peças devem abrir e fechar com facilidade a partir da instalação das dobradiças. Será contemplado também um sistema de trava das duas peças, além de uma peça de manuseio externo do carrinho, para possibilitar sua movimentação pelo espaço. Os nichos internos devem contemplar ainda gavetas de acrílico, ganchos e suportes para materiais diversos. Na parte externa do carrinho, deve ser considerada a aplicação de vinil de recorte preto com arte da exposição, nas dimensões aproximadas de 100x80cm em cada um dos lados, totalizando uma área de aplicação de 200x160cm. Dimensões gerais do carrinho: 110x59x135cm</t>
  </si>
  <si>
    <t xml:space="preserve">(M26) Base para escultura em MDF de 18mm, com dimensões e geometria variadas, e acabamento em pintura acrílica fosca Papel de Seda, da Suvinil. Dimensões aproximadas : 20x450x170cm</t>
  </si>
  <si>
    <t xml:space="preserve">Base reforçada para escultura da artista Solange Pessoa. A estrutura dessa base será em serralheria (S03), conforme especificado, com fechamentos laterais em MDF de 18mm e fechamento do topo com duas chapas de 18mm, totalizando 36mm, e acabamento em pintura acrílica fosca Papel de Seda, da Suvinil. Dimensões aproximadas : 9x450x120cm</t>
  </si>
  <si>
    <t xml:space="preserve">(M22) Mobiliário/base com diferentes nichos e alturas em MDF de 18mm e com nicho/vitrine iluminado nas medidas 46x180cm com as especificações abaixo:. Iluminação embutida: 2 Perfis de alumínio de canto (um parte superior e o outro na inferior do nicho), 16x16mm, com comprimento de 180cm e recuo de 5cm em cada lateral, e difusor em PMMA abaulado, com fita LED 3000K, 10W/m, IRC &gt; 90, 12V ou 24V, com driver e dimmer adequados para cada trecho. Vidro da vitrine (46x180cm):Vidro extra clear laminado temperado 10+10mm (espessura final 21,52mm), com tratamento antirreflexo por deposição de camada de baixa reflexão (coating AR) em ambas as faces, interlayer UV 99%, bordas lapidadas e polidas. Acabamento em pintura acrílica fosca Terra Roxa, da Suvinil. Dimensões aproximadas : 493x253x50 cm</t>
  </si>
  <si>
    <t xml:space="preserve">Caixa para tablet nas medidas 25x35x5cm em MDF 10mm e pintura branca. A posição exata dessa peça será definida pelo projeto gráfico da exposição.</t>
  </si>
  <si>
    <t xml:space="preserve">A.5</t>
  </si>
  <si>
    <t xml:space="preserve">Pintura e restauro de mobiliário existente do educativo</t>
  </si>
  <si>
    <t xml:space="preserve">Pintura de banquinhos existentes com tinta acrílica fosca Terra Roxa, da Suvinil. Dimensões aproximadas : 50x45x45cm</t>
  </si>
  <si>
    <t xml:space="preserve">Pintura eletroestática de estrutura de mesas com tinta acrílica fosca Terra Roxa, da Suvinil. Dimensões aproximadas: 180x70cm</t>
  </si>
  <si>
    <t xml:space="preserve">Pintura de porta folders existentes com tinta acrílica fosca Terra Roxa, da Suvinil, com medida aprox.75x25x50cm</t>
  </si>
  <si>
    <t xml:space="preserve">Pintura de mesa tátil com tinta acrílica fosca Terra Roxa, da Suvinil e aplicação de vinil de recorte na mesa. Dimensões aproximadas: 100x85x120cm</t>
  </si>
  <si>
    <t xml:space="preserve">Pintura electroestática de suporte metálico com tinta acrílica fosca Terra Roxa, da Suvinil Dimensões aproximadas: 100x85x50cm.</t>
  </si>
  <si>
    <t xml:space="preserve">A.6</t>
  </si>
  <si>
    <t xml:space="preserve">Substituição do insulfilme dos 12 painéis de vidro do 6º andar Medida aproximada de cada painel de vidro: 320x190cm. Essas medidas precisam ser conferidas in loco, pois, por conta da altura, não foi possível a checagem precisa da medida por parte da equipe de arquitetura. Considerar a remoção da película atual e aplicação de novo filme na tonalidade chocolate ou âmbar, a serem definidos e testados in loco. Incluir no serviço a remoção destes ao final da exposição.</t>
  </si>
  <si>
    <t xml:space="preserve">A.7</t>
  </si>
  <si>
    <t xml:space="preserve">Manutenção e serviços gerais</t>
  </si>
  <si>
    <t xml:space="preserve">A.7.1</t>
  </si>
  <si>
    <t xml:space="preserve">Considerar no escopo de montagem ao menos um cenotécnico e um pintor disponível até a abertura da exposição, para realização de retoques e ajustes gerais.</t>
  </si>
  <si>
    <t xml:space="preserve">MANUTENÇÃO. Fornecimento de material e mão de obra para realização de serviços de manutenção preventiva e corretiva para os 8 meses de duração da exposição. Deverá considerar no mínimo 1 (uma) visita quinzenal, às segundas-feiras. O atendimento aos chamados do Sesc deverá ser realizado por equipe técnica habilitada, contemplando no mínimo 2 (dois) profissionais tecnicamente capacitados de acordo com a natureza do reparo a ser executado. A manutenção da exposição deverá ser realizada de maneira periódica, mantendo as características do projeto do início até o fim. A manutenção consiste em: repintura das áreas com desgaste, revisão e troca de lâmpadas, revisão e manutenção semanal das estruturas, substituição de pisos e revestimentos quando danificados e manutenção de material gráfico quando necessária. Os materiais empregados e a mão-de-obra são de responsabilidade da CONTRATADA. No caso de eventuais ocorrências, a CONTRATADA receberá um chamado da equipe do Sesc e deverá recorrer à imediata limpeza e/ou conserto. A CONTRATADA deverá atender aos chamados do Sesc em até 24 horas (corridas) para serviços de manutenção corretiva durante todo o período da exposição.</t>
  </si>
  <si>
    <t xml:space="preserve">visita</t>
  </si>
  <si>
    <t xml:space="preserve">A.7.3</t>
  </si>
  <si>
    <t xml:space="preserve">MONTAGEM NOTURNA. A contratada deve prever diárias de equipe para montagem noturna, a depender do cronograma de montagem que será confirmado com equipe do Sesc e Produção.</t>
  </si>
  <si>
    <t xml:space="preserve">diária</t>
  </si>
  <si>
    <t xml:space="preserve">LIMPEZA DO ESPAÇO EXPOSITIVO. Fornecimento de material e mão de obra para serviço de limpeza do espaço. Esta equipe deverá acompanhar a montagem cenotécnica a fim de manter o espaço expositivo limpo durante a montagem. TOTAL de diárias : 4</t>
  </si>
  <si>
    <t xml:space="preserve">verba</t>
  </si>
  <si>
    <t xml:space="preserve">DESMONTAGEM FINAL. Fornecimento de material e mão de obra para serviços de desmontagem, transporte e descarte dos materiais instalados (conforme determinação do Sesc). Incluso neste item o transporte e descarte em local adequado, conforme legislação vigente e limpeza final do ambiente. A desmontagem das instalações cenográficas e provisórias deve seguir os mesmos cuidados da montagem. Recomenda-se realizar uma reunião técnica envolvendo as equipes que executaram o projeto de maneira a sincronizar as atividades de desmobilização. As atividades de desmontagem devem ainda atender a todas as recomendações de segurança para a execução dos serviços e restrições de horários e de interferências à estrutura e programação da Unidade. A limpeza abrange todos os tipos de pisos, divisórias, paredes, carpetes, forros, tetos, estruturas metálicas aparentes ou sobre o forro, lajes de cobertura, calhas, esquadrias metálicas, esquadrias de madeiras, vidros, cobertura, tubulações aparentes, mobiliários, equipamentos diversos, louças, metais, e outros que possam ser afetados pela construção cenográfica.</t>
  </si>
  <si>
    <t xml:space="preserve">B</t>
  </si>
  <si>
    <t xml:space="preserve">PROJETO DE ELÉTRICA (conforme projeto e memoriais), incluindo todos os materiais, equipamentos, instrumentos e mão-de-obra, detalhados ou não nos projetos, memoriais e neste planilha, mas necessários à perfeita execução, funcionamento e operação do sistema, dentro das Normas Técnicas vigentes e da segurança, que deverão ter seus custos incluídos nos itens apontados nesta planilha)</t>
  </si>
  <si>
    <t xml:space="preserve">Cabo PP Afumex 3x2,5mm - Cabo Afumex 0,6/1kV, CONDUTOR Metal: fios de cobre nu, têmpera mole. Encordoamento: extraflexível (classe 5). ISOLAÇÃO Composto termofixo em dupla camada de borracha HEPR (EPR/B - Alto módulo). instalado, de acordo com a NBR 5410/2004 e NBR 13570/1996</t>
  </si>
  <si>
    <t xml:space="preserve">Cabos flexíveis afumex unipolares tipo HEPR 90°C - 0,6/1KV #1x16mm, cor PRETO</t>
  </si>
  <si>
    <t xml:space="preserve">Cabos flexíveis afumex unipolares tipo HEPR 90°C - 0,6/1KV #1x16,0mm, cor AZUL</t>
  </si>
  <si>
    <t xml:space="preserve">Cabos flexíveis afumex unipolares tipo HEPR 90°C - 0,6/1KV #1x16,0mm, cor VERDE</t>
  </si>
  <si>
    <t xml:space="preserve">Prolongador saída axial, 2P+T, com prensa cabos, para cabos até 8mm de diâmetro externo, em termoplástico preto, 20A - 250V (plug femea)(REF. PIAL LEGRAND)</t>
  </si>
  <si>
    <t xml:space="preserve">pç</t>
  </si>
  <si>
    <t xml:space="preserve">Fornecimento e instalação de painel elétrico metalico de sobrepor, composto por: 01 minidisjuntor tripolar 50A, 01 IDR-dispositivo diferencial residual - tetrapolar de 63A - 30ma, 13 disjuntores 250V - 20A BIPOLAR, 4 disjuntores 250V - 25A UNIPOLAR,01 disjuntor 250V - 50A TRIPOLAR, 01 dispositivo de proteção contra surtos 175V, 20kA, barramentos de neutro e terra 16 FUROS, barramento tipo pente trifasico 80A-40 posições, caixa metálica 600x600x200mm em chapa com tratamento de Fosfato de Zinco e pintura a pó, placa de montagem pintado na cor laranja RAL 2008, porta e corpo pintado na cor bege RAL 7032, Fecho Lingueta Yale Regulável Com Uma Chave Tasco, pino metálico nas dobradiças, porta com borracha de vedação. Com todos acessorios para montagem(canaletas, cabos, barramentos para fase, neutro e terra, trilho din) do quadro conforme projeto de elétrica e memorial descritivo.Verificar projeto eletrico. Item será usado pelo setor de Infraestrutura após o término da exposição.</t>
  </si>
  <si>
    <t xml:space="preserve">Protetor Passa Cabos Fios De Piso 1 VIA</t>
  </si>
  <si>
    <t xml:space="preserve">Eletroduto galvanizado a fogo bitola de 3/4"</t>
  </si>
  <si>
    <t xml:space="preserve">C</t>
  </si>
  <si>
    <t xml:space="preserve">PROJETO DE SEGURANÇA.(conforme projeto e memoriais), incluindo fornecimento, instalação, mão-de-obra de todos os materiais, equipamentos, instrumentos, preparo da superfice onde será instalados os equipamentos, detalhados ou não nos projetos, memoriais e nesta planilha, mas necessários à perfeita execução, funcionamento e operação do sistema, dentro das Normas Técnicas vigentes e da segurança, que deverão ter seus custos incluídos nos itens apontados nesta planilha) - Placas retangulares fotoluminescentes sinalização de emergência saidas. Todas as placas de sinalização deverão ser do fabricante TOTAL LUX (MODELO PADRÃO SESC) Todos os equipamentos deverão ser fornecidos e instalados.</t>
  </si>
  <si>
    <t xml:space="preserve">C.1</t>
  </si>
  <si>
    <t xml:space="preserve">Sinalização de emergência</t>
  </si>
  <si>
    <t xml:space="preserve">Placa retangular fotoluminescente rota saida a direita 15x30cm - cod. S1</t>
  </si>
  <si>
    <t xml:space="preserve">Placa retangular fotoluminescente rota saida a direita 15x30cm - cod. S2</t>
  </si>
  <si>
    <t xml:space="preserve">Placa retangular fotoluminescente rota saida a direita 15x30cm - cod. S3</t>
  </si>
  <si>
    <t xml:space="preserve">Placa de indicação de equipamentos - Indicação de localização de extintor de incêndio - cod. E5</t>
  </si>
  <si>
    <t xml:space="preserve">C.2</t>
  </si>
  <si>
    <t xml:space="preserve">Extintores de Incêndio fabricado em aço carbono, com pintura vermelha aplicada, interna e externamente, por processo eletrostático e rotulação por processo de serigrafia obedescendo as normas do Inmetro.</t>
  </si>
  <si>
    <t xml:space="preserve">Extintor de pó ABC 4kg - Capacidade Extintora 2-A : 20-B : C</t>
  </si>
  <si>
    <t xml:space="preserve">Suporte de Extintor Tripé Bicromatizado Com Haste de Sinalização - 4 a 6 Kg PQS - CS185</t>
  </si>
  <si>
    <t xml:space="preserve">C.3</t>
  </si>
  <si>
    <t xml:space="preserve">Bloco autonomo de sobrepor para aclaramento e balizamento, com lâmpada fluorescente compacta, comutação automática, bateria selada e todos acessórios necessários para instalação.</t>
  </si>
  <si>
    <t xml:space="preserve">Bloco autônomo aclaramento - LUMINÁRIA DE EMERGÊNCIA Led 60L LED 3W 127V/220V BRANCA</t>
  </si>
  <si>
    <t xml:space="preserve">RESUMO DE CUSTOS POR DISCIPLINA — SESC PAULISTA (v12.0)</t>
  </si>
  <si>
    <t xml:space="preserve">Qtd. Itens Mapeados</t>
  </si>
  <si>
    <t xml:space="preserve">Valor Total Cotado (R$)</t>
  </si>
  <si>
    <t xml:space="preserve">% do Total Geral</t>
  </si>
  <si>
    <t xml:space="preserve">01</t>
  </si>
  <si>
    <t xml:space="preserve">02</t>
  </si>
  <si>
    <t xml:space="preserve">03</t>
  </si>
  <si>
    <t xml:space="preserve">04</t>
  </si>
  <si>
    <t xml:space="preserve">05</t>
  </si>
  <si>
    <t xml:space="preserve">06</t>
  </si>
  <si>
    <t xml:space="preserve">07</t>
  </si>
  <si>
    <t xml:space="preserve">08</t>
  </si>
  <si>
    <t xml:space="preserve">09</t>
  </si>
  <si>
    <t xml:space="preserve">TODAS AS DISCIPLINAS</t>
  </si>
  <si>
    <t xml:space="preserve">PAINEL EXECUTIVO — SESC PAULISTA | COSMOCHÃO</t>
  </si>
  <si>
    <t xml:space="preserve">Componente</t>
  </si>
  <si>
    <t xml:space="preserve">Base v12.0  |  Fabricação em galpão: 5 dias úteis  |  Montagem SESC: 28/10 a 16/11  |  Reserva técnica: 17/11  |  Abertura: 18/11/2026</t>
  </si>
  <si>
    <t xml:space="preserve">Materiais e Insumos</t>
  </si>
  <si>
    <t xml:space="preserve">M.O. + Serviços + Logística</t>
  </si>
  <si>
    <t xml:space="preserve">CUSTO TOTAL GERAL</t>
  </si>
  <si>
    <t xml:space="preserve">MATERIAIS E INSUMOS</t>
  </si>
  <si>
    <t xml:space="preserve">M.O. + SERVIÇOS + LOGÍSTICA</t>
  </si>
  <si>
    <t xml:space="preserve">ITENS PENDENTES DE DEFINIÇÃO</t>
  </si>
  <si>
    <t xml:space="preserve">GALPÃO — EQUIPE</t>
  </si>
  <si>
    <t xml:space="preserve">GALPÃO — DURAÇÃO</t>
  </si>
  <si>
    <t xml:space="preserve">SESC — EQUIPE PRINCIPAL</t>
  </si>
  <si>
    <t xml:space="preserve">MARGEM DE SEGURANÇA</t>
  </si>
  <si>
    <t xml:space="preserve">CUSTOS POR DISCIPLINA</t>
  </si>
  <si>
    <t xml:space="preserve">COMPOSIÇÃO DO CUSTO</t>
  </si>
  <si>
    <t xml:space="preserve">CRONOGRAMA EXECUTIVO — VISÃO GERAL</t>
  </si>
  <si>
    <t xml:space="preserve">Fase</t>
  </si>
  <si>
    <t xml:space="preserve">Período</t>
  </si>
  <si>
    <t xml:space="preserve">Equipe</t>
  </si>
  <si>
    <t xml:space="preserve">Objetivo</t>
  </si>
  <si>
    <t xml:space="preserve">Pré-fabricação no galpão</t>
  </si>
  <si>
    <t xml:space="preserve">21–27/10</t>
  </si>
  <si>
    <t xml:space="preserve">4 marceneiros</t>
  </si>
  <si>
    <t xml:space="preserve">5 dias úteis de fabricação; preparação e ignifugação antes da entrada no SESC.</t>
  </si>
  <si>
    <t xml:space="preserve">Entrada + implantação pesada</t>
  </si>
  <si>
    <t xml:space="preserve">28–30/10</t>
  </si>
  <si>
    <t xml:space="preserve">8 marc. + 4 ajud. (28–29)</t>
  </si>
  <si>
    <t xml:space="preserve">Descarga, distribuição, locação e início das estruturas/painéis.</t>
  </si>
  <si>
    <t xml:space="preserve">Montagem pesada</t>
  </si>
  <si>
    <t xml:space="preserve">31/10–05/11</t>
  </si>
  <si>
    <t xml:space="preserve">8 marc. + serralheria</t>
  </si>
  <si>
    <t xml:space="preserve">Painéis, estruturas principais, P05, PR01/PR02 e fechamentos.</t>
  </si>
  <si>
    <t xml:space="preserve">Montagem técnica / especiais</t>
  </si>
  <si>
    <t xml:space="preserve">06–10/11</t>
  </si>
  <si>
    <t xml:space="preserve">8 marc. + elétrica/serralheria</t>
  </si>
  <si>
    <t xml:space="preserve">M22, M27, bases especiais, ancoragens e fechamentos técnicos.</t>
  </si>
  <si>
    <t xml:space="preserve">Mobiliário + elétrica + CV</t>
  </si>
  <si>
    <t xml:space="preserve">11–13/11</t>
  </si>
  <si>
    <t xml:space="preserve">8 marc. + eletricista + 2 adesiv.</t>
  </si>
  <si>
    <t xml:space="preserve">Mobiliário, acessibilidade, LED, eletrofita, insulfilm e vinil.</t>
  </si>
  <si>
    <t xml:space="preserve">Acabamentos e correções</t>
  </si>
  <si>
    <t xml:space="preserve">14–16/11</t>
  </si>
  <si>
    <t xml:space="preserve">8 marc. + pintura + limpeza</t>
  </si>
  <si>
    <t xml:space="preserve">Retoques, testes, alinhamentos e limpeza progressiva.</t>
  </si>
  <si>
    <t xml:space="preserve">Reserva / entrega técnica</t>
  </si>
  <si>
    <t xml:space="preserve">17/11</t>
  </si>
  <si>
    <t xml:space="preserve">Equipe mínima + limpeza</t>
  </si>
  <si>
    <t xml:space="preserve">Punch list, correções finais e liberação.</t>
  </si>
  <si>
    <t xml:space="preserve">Abertura da exposição</t>
  </si>
  <si>
    <t xml:space="preserve">18/11</t>
  </si>
  <si>
    <t xml:space="preserve">—</t>
  </si>
  <si>
    <t xml:space="preserve">Abertura ao público.</t>
  </si>
  <si>
    <t xml:space="preserve">MATERIAIS DE MAIOR IMPACTO — BASE ATUAL</t>
  </si>
  <si>
    <t xml:space="preserve">STATUS DA COTAÇÃO / PENDÊNCIAS</t>
  </si>
  <si>
    <t xml:space="preserve">Material</t>
  </si>
  <si>
    <t xml:space="preserve">Custo Total</t>
  </si>
  <si>
    <t xml:space="preserve">Itens pendentes atuais: MDF 10mm, MDF 6/15mm, tubo S03, perfil LED, QDLF temporário e tapeceiro. Revisar antes do fechamento final.</t>
  </si>
  <si>
    <t xml:space="preserve">Detalhamento: custos item a item na aba “Cotação de Materiais”; mão de obra, serviços e logística na aba “Mão de Obra e Serviços”; cronograma diário na aba “Cronograma Operacional”.</t>
  </si>
  <si>
    <t xml:space="preserve">CRONOGRAMA OPERACIONAL — COSMOCHÃO | FABRICAÇÃO + MONTAGEM SESC</t>
  </si>
  <si>
    <t xml:space="preserve">Planejamento-base: 4 marceneiros no galpão por 5 dias úteis; 8 marceneiros na montagem principal do SESC; 17/11 reservado para entrega técnica.</t>
  </si>
  <si>
    <t xml:space="preserve">Código</t>
  </si>
  <si>
    <t xml:space="preserve">Início</t>
  </si>
  <si>
    <t xml:space="preserve">Fim</t>
  </si>
  <si>
    <t xml:space="preserve">Duração</t>
  </si>
  <si>
    <t xml:space="preserve">Equipe principal</t>
  </si>
  <si>
    <t xml:space="preserve">Objetivo / observação</t>
  </si>
  <si>
    <t xml:space="preserve">QUA</t>
  </si>
  <si>
    <t xml:space="preserve">QUI</t>
  </si>
  <si>
    <t xml:space="preserve">SEX</t>
  </si>
  <si>
    <t xml:space="preserve">SÁB</t>
  </si>
  <si>
    <t xml:space="preserve">DOM</t>
  </si>
  <si>
    <t xml:space="preserve">SEG</t>
  </si>
  <si>
    <t xml:space="preserve">TER</t>
  </si>
  <si>
    <t xml:space="preserve">GAL-01</t>
  </si>
  <si>
    <t xml:space="preserve">Pré-fabricação em Galpão</t>
  </si>
  <si>
    <t xml:space="preserve">5 dias úteis</t>
  </si>
  <si>
    <t xml:space="preserve">Pré-fabricação, preparação dos módulos e ignifugação antes da entrada no SESC.</t>
  </si>
  <si>
    <t xml:space="preserve">■</t>
  </si>
  <si>
    <t xml:space="preserve">SESC-01</t>
  </si>
  <si>
    <t xml:space="preserve">Entrada + Implantação Pesada</t>
  </si>
  <si>
    <t xml:space="preserve">3 dias</t>
  </si>
  <si>
    <t xml:space="preserve">8 marc. + 4 ajud. (28–29) + supervisor</t>
  </si>
  <si>
    <t xml:space="preserve">SESC-02</t>
  </si>
  <si>
    <t xml:space="preserve">Montagem Pesada</t>
  </si>
  <si>
    <t xml:space="preserve">6 dias</t>
  </si>
  <si>
    <t xml:space="preserve">8 marc. + serralheria + supervisor</t>
  </si>
  <si>
    <t xml:space="preserve">SESC-03</t>
  </si>
  <si>
    <t xml:space="preserve">Montagem Técnica / Especiais</t>
  </si>
  <si>
    <t xml:space="preserve">5 dias</t>
  </si>
  <si>
    <t xml:space="preserve">8 marc. + elétrica/serralheria + supervisor</t>
  </si>
  <si>
    <t xml:space="preserve">SESC-04</t>
  </si>
  <si>
    <t xml:space="preserve">Mobiliário + Elétrica + Comunicação</t>
  </si>
  <si>
    <t xml:space="preserve">8 marc. + eletricista + 2 adesivadores + supervisor</t>
  </si>
  <si>
    <t xml:space="preserve">SESC-05</t>
  </si>
  <si>
    <t xml:space="preserve">Acabamentos + Correções</t>
  </si>
  <si>
    <t xml:space="preserve">8 marc. + pintura + limpeza + supervisor</t>
  </si>
  <si>
    <t xml:space="preserve">Retoques, alinhamentos, testes e limpeza progressiva.</t>
  </si>
  <si>
    <t xml:space="preserve">SESC-06</t>
  </si>
  <si>
    <t xml:space="preserve">Reserva / Entrega Técnica</t>
  </si>
  <si>
    <t xml:space="preserve">1 dia</t>
  </si>
  <si>
    <t xml:space="preserve">Equipe mínima + 3 limpeza</t>
  </si>
  <si>
    <t xml:space="preserve">Punch list, correções finais, limpeza fina e liberação.</t>
  </si>
  <si>
    <t xml:space="preserve">MARCO</t>
  </si>
  <si>
    <t xml:space="preserve">Abertura ao Público</t>
  </si>
  <si>
    <t xml:space="preserve">Marco</t>
  </si>
  <si>
    <t xml:space="preserve">Abertura oficial da exposição.</t>
  </si>
  <si>
    <t xml:space="preserve">MAPA DE EQUIPES E CUSTOS DIRETAMENTE RELACIONADOS À MONTAGEM</t>
  </si>
  <si>
    <t xml:space="preserve">Equipe / Função</t>
  </si>
  <si>
    <t xml:space="preserve">Valor Unitário</t>
  </si>
  <si>
    <t xml:space="preserve">Observação</t>
  </si>
  <si>
    <t xml:space="preserve">Marceneiros — Galpão</t>
  </si>
  <si>
    <t xml:space="preserve">5 dias × 4 pessoas</t>
  </si>
  <si>
    <t xml:space="preserve">Marceneiros — SESC</t>
  </si>
  <si>
    <t xml:space="preserve">20 dias × 8 pessoas</t>
  </si>
  <si>
    <t xml:space="preserve">Ajudantes / carga e descarga</t>
  </si>
  <si>
    <t xml:space="preserve">8 p-d na montagem + 4 p-d na desmontagem</t>
  </si>
  <si>
    <t xml:space="preserve">Limpeza fina</t>
  </si>
  <si>
    <t xml:space="preserve">3 pessoas × 3 dias</t>
  </si>
  <si>
    <t xml:space="preserve">Serralheria — empreita</t>
  </si>
  <si>
    <t xml:space="preserve">Preço fechado</t>
  </si>
  <si>
    <t xml:space="preserve">Supervisor de montagem</t>
  </si>
  <si>
    <t xml:space="preserve">20 dias</t>
  </si>
  <si>
    <t xml:space="preserve">Quantidade ainda pendente</t>
  </si>
  <si>
    <t xml:space="preserve">Adesivadores</t>
  </si>
  <si>
    <t xml:space="preserve">2 pessoas × 3 dias</t>
  </si>
  <si>
    <t xml:space="preserve">Eletricista — empreita</t>
  </si>
  <si>
    <t xml:space="preserve">Premissas do planejamento: o período de 28/10 a 16/11 utiliza os 20 dias corridos previstos para a equipe principal de 8 marceneiros. O dia 17/11 fica preservado como contingência/entrega técnica. A pré-fabricação de 21 a 27/10 considera 5 dias úteis (21, 22, 23, 26 e 27/10). Horários noturnos/restrições operacionais continuam sujeitos ao alinhamento com o SESC.</t>
  </si>
  <si>
    <t xml:space="preserve">Fonte operacional: cronograma do projeto + parâmetros de equipe da planilha v12.0. Custos permanecem vinculados às abas-base para atualização automática.</t>
  </si>
</sst>
</file>

<file path=xl/styles.xml><?xml version="1.0" encoding="utf-8"?>
<styleSheet xmlns="http://schemas.openxmlformats.org/spreadsheetml/2006/main">
  <numFmts count="16">
    <numFmt numFmtId="164" formatCode="General"/>
    <numFmt numFmtId="165" formatCode="&quot;R$ &quot;#,##0.00"/>
    <numFmt numFmtId="166" formatCode="General"/>
    <numFmt numFmtId="167" formatCode="0.0%"/>
    <numFmt numFmtId="168" formatCode="0.0000"/>
    <numFmt numFmtId="169" formatCode="0"/>
    <numFmt numFmtId="170" formatCode="#,##0.00"/>
    <numFmt numFmtId="171" formatCode="0%"/>
    <numFmt numFmtId="172" formatCode="0.00"/>
    <numFmt numFmtId="173" formatCode="0.00%"/>
    <numFmt numFmtId="174" formatCode="@"/>
    <numFmt numFmtId="175" formatCode="0&quot; marceneiros&quot;"/>
    <numFmt numFmtId="176" formatCode="0&quot; dias úteis&quot;"/>
    <numFmt numFmtId="177" formatCode="0&quot; dia&quot;"/>
    <numFmt numFmtId="178" formatCode="dd/mm"/>
    <numFmt numFmtId="179" formatCode="m/d/yyyy"/>
  </numFmts>
  <fonts count="29">
    <font>
      <sz val="11"/>
      <color theme="1"/>
      <name val="Calibri"/>
      <family val="0"/>
      <charset val="1"/>
    </font>
    <font>
      <sz val="10"/>
      <name val="Arial"/>
      <family val="0"/>
    </font>
    <font>
      <sz val="10"/>
      <name val="Arial"/>
      <family val="0"/>
    </font>
    <font>
      <sz val="10"/>
      <name val="Arial"/>
      <family val="0"/>
    </font>
    <font>
      <b val="true"/>
      <sz val="14"/>
      <color rgb="FF1F497D"/>
      <name val="Calibri"/>
      <family val="0"/>
      <charset val="1"/>
    </font>
    <font>
      <b val="true"/>
      <sz val="11"/>
      <color rgb="FF1F497D"/>
      <name val="Calibri"/>
      <family val="0"/>
      <charset val="1"/>
    </font>
    <font>
      <b val="true"/>
      <sz val="11"/>
      <name val="Calibri"/>
      <family val="0"/>
      <charset val="1"/>
    </font>
    <font>
      <sz val="11"/>
      <name val="Calibri"/>
      <family val="0"/>
      <charset val="1"/>
    </font>
    <font>
      <b val="true"/>
      <sz val="11"/>
      <color rgb="FFFFFFFF"/>
      <name val="Calibri"/>
      <family val="0"/>
      <charset val="1"/>
    </font>
    <font>
      <i val="true"/>
      <sz val="10"/>
      <color rgb="FF595959"/>
      <name val="Calibri"/>
      <family val="0"/>
      <charset val="1"/>
    </font>
    <font>
      <b val="true"/>
      <sz val="12"/>
      <name val="Calibri"/>
      <family val="0"/>
      <charset val="1"/>
    </font>
    <font>
      <b val="true"/>
      <sz val="10"/>
      <color rgb="FFC00000"/>
      <name val="Calibri"/>
      <family val="0"/>
      <charset val="1"/>
    </font>
    <font>
      <b val="true"/>
      <sz val="11"/>
      <color rgb="FFC00000"/>
      <name val="Calibri"/>
      <family val="0"/>
      <charset val="1"/>
    </font>
    <font>
      <b val="true"/>
      <sz val="18"/>
      <color rgb="FFFFFFFF"/>
      <name val="Calibri"/>
      <family val="0"/>
      <charset val="1"/>
    </font>
    <font>
      <b val="true"/>
      <sz val="10"/>
      <color rgb="FF17365D"/>
      <name val="Calibri"/>
      <family val="0"/>
      <charset val="1"/>
    </font>
    <font>
      <b val="true"/>
      <sz val="10"/>
      <color rgb="FFFFFFFF"/>
      <name val="Calibri"/>
      <family val="0"/>
      <charset val="1"/>
    </font>
    <font>
      <b val="true"/>
      <sz val="16"/>
      <color rgb="FF1F2937"/>
      <name val="Calibri"/>
      <family val="0"/>
      <charset val="1"/>
    </font>
    <font>
      <sz val="9"/>
      <color rgb="FF1F2937"/>
      <name val="Calibri"/>
      <family val="0"/>
      <charset val="1"/>
    </font>
    <font>
      <b val="true"/>
      <sz val="11"/>
      <color rgb="FF1F2937"/>
      <name val="Calibri"/>
      <family val="0"/>
      <charset val="1"/>
    </font>
    <font>
      <sz val="11"/>
      <color rgb="FF1F2937"/>
      <name val="Calibri"/>
      <family val="0"/>
      <charset val="1"/>
    </font>
    <font>
      <b val="true"/>
      <sz val="9"/>
      <color rgb="FF1F2937"/>
      <name val="Calibri"/>
      <family val="0"/>
      <charset val="1"/>
    </font>
    <font>
      <sz val="9"/>
      <color rgb="FF6B7280"/>
      <name val="Calibri"/>
      <family val="0"/>
      <charset val="1"/>
    </font>
    <font>
      <b val="true"/>
      <sz val="18"/>
      <color rgb="FF000000"/>
      <name val="Calibri"/>
      <family val="2"/>
    </font>
    <font>
      <sz val="10"/>
      <color rgb="FF000000"/>
      <name val="Calibri"/>
      <family val="2"/>
    </font>
    <font>
      <b val="true"/>
      <sz val="16"/>
      <color rgb="FFFFFFFF"/>
      <name val="Calibri"/>
      <family val="0"/>
      <charset val="1"/>
    </font>
    <font>
      <b val="true"/>
      <sz val="8"/>
      <color rgb="FFFFFFFF"/>
      <name val="Calibri"/>
      <family val="0"/>
      <charset val="1"/>
    </font>
    <font>
      <b val="true"/>
      <sz val="8"/>
      <color rgb="FF666666"/>
      <name val="Calibri"/>
      <family val="0"/>
      <charset val="1"/>
    </font>
    <font>
      <b val="true"/>
      <sz val="8"/>
      <color rgb="FF6B7280"/>
      <name val="Calibri"/>
      <family val="0"/>
      <charset val="1"/>
    </font>
    <font>
      <b val="true"/>
      <sz val="9"/>
      <color rgb="FFFFFFFF"/>
      <name val="Calibri"/>
      <family val="0"/>
      <charset val="1"/>
    </font>
  </fonts>
  <fills count="20">
    <fill>
      <patternFill patternType="none"/>
    </fill>
    <fill>
      <patternFill patternType="gray125"/>
    </fill>
    <fill>
      <patternFill patternType="solid">
        <fgColor rgb="FF1F497D"/>
        <bgColor rgb="FF1F4E78"/>
      </patternFill>
    </fill>
    <fill>
      <patternFill patternType="solid">
        <fgColor rgb="FFE2EFDA"/>
        <bgColor rgb="FFE2F0D9"/>
      </patternFill>
    </fill>
    <fill>
      <patternFill patternType="solid">
        <fgColor rgb="FFDCE6F1"/>
        <bgColor rgb="FFE2EFDA"/>
      </patternFill>
    </fill>
    <fill>
      <patternFill patternType="solid">
        <fgColor rgb="FFFFF2CC"/>
        <bgColor rgb="FFFCE4D6"/>
      </patternFill>
    </fill>
    <fill>
      <patternFill patternType="solid">
        <fgColor rgb="FF2F5496"/>
        <bgColor rgb="FF1F4E78"/>
      </patternFill>
    </fill>
    <fill>
      <patternFill patternType="solid">
        <fgColor rgb="FF17365D"/>
        <bgColor rgb="FF1F2937"/>
      </patternFill>
    </fill>
    <fill>
      <patternFill patternType="solid">
        <fgColor rgb="FFEEF5FB"/>
        <bgColor rgb="FFF2F2F2"/>
      </patternFill>
    </fill>
    <fill>
      <patternFill patternType="solid">
        <fgColor rgb="FF1F4E78"/>
        <bgColor rgb="FF1F497D"/>
      </patternFill>
    </fill>
    <fill>
      <patternFill patternType="solid">
        <fgColor rgb="FFED7D31"/>
        <bgColor rgb="FFFF8080"/>
      </patternFill>
    </fill>
    <fill>
      <patternFill patternType="solid">
        <fgColor rgb="FFE2F0D9"/>
        <bgColor rgb="FFE2EFDA"/>
      </patternFill>
    </fill>
    <fill>
      <patternFill patternType="solid">
        <fgColor rgb="FFFCE4D6"/>
        <bgColor rgb="FFFFF2CC"/>
      </patternFill>
    </fill>
    <fill>
      <patternFill patternType="solid">
        <fgColor rgb="FF2F75B5"/>
        <bgColor rgb="FF4472C4"/>
      </patternFill>
    </fill>
    <fill>
      <patternFill patternType="solid">
        <fgColor rgb="FF70AD47"/>
        <bgColor rgb="FF878787"/>
      </patternFill>
    </fill>
    <fill>
      <patternFill patternType="solid">
        <fgColor rgb="FFF7F7F7"/>
        <bgColor rgb="FFF2F2F2"/>
      </patternFill>
    </fill>
    <fill>
      <patternFill patternType="solid">
        <fgColor rgb="FFF2F2F2"/>
        <bgColor rgb="FFEEF5FB"/>
      </patternFill>
    </fill>
    <fill>
      <patternFill patternType="solid">
        <fgColor rgb="FFD9D9D9"/>
        <bgColor rgb="FFDCE6F1"/>
      </patternFill>
    </fill>
    <fill>
      <patternFill patternType="solid">
        <fgColor rgb="FF4472C4"/>
        <bgColor rgb="FF2F75B5"/>
      </patternFill>
    </fill>
    <fill>
      <patternFill patternType="solid">
        <fgColor rgb="FFA5A5A5"/>
        <bgColor rgb="FFBFBFBF"/>
      </patternFill>
    </fill>
  </fills>
  <borders count="5">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style="double"/>
      <diagonal/>
    </border>
    <border diagonalUp="false" diagonalDown="false">
      <left/>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5" fontId="7" fillId="3" borderId="2" xfId="0" applyFont="true" applyBorder="true" applyAlignment="true" applyProtection="false">
      <alignment horizontal="right"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5" fontId="10" fillId="4" borderId="2" xfId="0" applyFont="true" applyBorder="true" applyAlignment="true" applyProtection="false">
      <alignment horizontal="right" vertical="center" textRotation="0" wrapText="false" indent="0" shrinkToFit="false"/>
      <protection locked="true" hidden="false"/>
    </xf>
    <xf numFmtId="167" fontId="7" fillId="3" borderId="2" xfId="0" applyFont="true" applyBorder="true" applyAlignment="true" applyProtection="false">
      <alignment horizontal="right" vertical="center" textRotation="0" wrapText="false" indent="0" shrinkToFit="false"/>
      <protection locked="true" hidden="false"/>
    </xf>
    <xf numFmtId="167" fontId="10" fillId="4" borderId="2" xfId="0" applyFont="true" applyBorder="true" applyAlignment="true" applyProtection="false">
      <alignment horizontal="right" vertical="center" textRotation="0" wrapText="false" indent="0" shrinkToFit="false"/>
      <protection locked="true" hidden="false"/>
    </xf>
    <xf numFmtId="167" fontId="10" fillId="5" borderId="2" xfId="0" applyFont="true" applyBorder="true" applyAlignment="true" applyProtection="false">
      <alignment horizontal="right" vertical="center" textRotation="0" wrapText="false" indent="0" shrinkToFit="false"/>
      <protection locked="true" hidden="false"/>
    </xf>
    <xf numFmtId="168" fontId="7" fillId="3" borderId="2" xfId="0" applyFont="true" applyBorder="true" applyAlignment="true" applyProtection="false">
      <alignment horizontal="right" vertical="center" textRotation="0" wrapText="false" indent="0" shrinkToFit="false"/>
      <protection locked="true" hidden="false"/>
    </xf>
    <xf numFmtId="165" fontId="10" fillId="5"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center" vertical="bottom" textRotation="0" wrapText="false" indent="0" shrinkToFit="false"/>
      <protection locked="true" hidden="false"/>
    </xf>
    <xf numFmtId="164" fontId="7" fillId="3" borderId="2" xfId="0" applyFont="true" applyBorder="true" applyAlignment="true" applyProtection="false">
      <alignment horizontal="right" vertical="center" textRotation="0" wrapText="false" indent="0" shrinkToFit="false"/>
      <protection locked="true" hidden="false"/>
    </xf>
    <xf numFmtId="169" fontId="7" fillId="3" borderId="2" xfId="0" applyFont="true" applyBorder="true" applyAlignment="true" applyProtection="false">
      <alignment horizontal="right" vertical="center" textRotation="0" wrapText="false" indent="0" shrinkToFit="false"/>
      <protection locked="true" hidden="false"/>
    </xf>
    <xf numFmtId="166" fontId="7" fillId="3" borderId="2"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5" fontId="7" fillId="3" borderId="2" xfId="0" applyFont="true" applyBorder="true" applyAlignment="true" applyProtection="false">
      <alignment horizontal="general" vertical="center" textRotation="0" wrapText="false" indent="0" shrinkToFit="false"/>
      <protection locked="true" hidden="false"/>
    </xf>
    <xf numFmtId="167" fontId="7" fillId="3" borderId="2" xfId="0" applyFont="true" applyBorder="true" applyAlignment="true" applyProtection="false">
      <alignment horizontal="general" vertical="center" textRotation="0" wrapText="false" indent="0" shrinkToFit="false"/>
      <protection locked="true" hidden="false"/>
    </xf>
    <xf numFmtId="164" fontId="8" fillId="6" borderId="2" xfId="0" applyFont="true" applyBorder="true" applyAlignment="true" applyProtection="false">
      <alignment horizontal="general" vertical="center" textRotation="0" wrapText="false" indent="0" shrinkToFit="false"/>
      <protection locked="true" hidden="false"/>
    </xf>
    <xf numFmtId="165" fontId="8" fillId="6" borderId="2" xfId="0" applyFont="true" applyBorder="true" applyAlignment="true" applyProtection="false">
      <alignment horizontal="general" vertical="center" textRotation="0" wrapText="false" indent="0" shrinkToFit="false"/>
      <protection locked="true" hidden="false"/>
    </xf>
    <xf numFmtId="167" fontId="8" fillId="6" borderId="2"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71" fontId="7" fillId="3" borderId="2"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3" borderId="3" xfId="0" applyFont="true" applyBorder="true" applyAlignment="tru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general" vertical="center" textRotation="0" wrapText="false" indent="0" shrinkToFit="false"/>
      <protection locked="true" hidden="false"/>
    </xf>
    <xf numFmtId="164" fontId="7" fillId="0" borderId="4"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general" vertical="bottom" textRotation="0" wrapText="false" indent="0" shrinkToFit="false"/>
      <protection locked="true" hidden="false"/>
    </xf>
    <xf numFmtId="170" fontId="7" fillId="0" borderId="4" xfId="0" applyFont="true" applyBorder="true" applyAlignment="true" applyProtection="false">
      <alignment horizontal="right" vertical="bottom" textRotation="0" wrapText="false" indent="0" shrinkToFit="false"/>
      <protection locked="true" hidden="false"/>
    </xf>
    <xf numFmtId="165" fontId="7" fillId="0" borderId="4" xfId="0" applyFont="true" applyBorder="true" applyAlignment="true" applyProtection="false">
      <alignment horizontal="right" vertical="bottom"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xf numFmtId="165" fontId="8" fillId="6" borderId="3" xfId="0" applyFont="true" applyBorder="true" applyAlignment="true" applyProtection="false">
      <alignment horizontal="right" vertical="bottom" textRotation="0" wrapText="false" indent="0" shrinkToFit="false"/>
      <protection locked="true" hidden="false"/>
    </xf>
    <xf numFmtId="165" fontId="6" fillId="3" borderId="2"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general" vertical="center" textRotation="0" wrapText="false" indent="0" shrinkToFit="false"/>
      <protection locked="true" hidden="false"/>
    </xf>
    <xf numFmtId="170" fontId="7" fillId="4" borderId="2" xfId="0" applyFont="true" applyBorder="true" applyAlignment="true" applyProtection="false">
      <alignment horizontal="general" vertical="center" textRotation="0" wrapText="false" indent="0" shrinkToFit="false"/>
      <protection locked="true" hidden="false"/>
    </xf>
    <xf numFmtId="172" fontId="7" fillId="4" borderId="2" xfId="0" applyFont="true" applyBorder="true" applyAlignment="true" applyProtection="false">
      <alignment horizontal="general" vertical="center" textRotation="0" wrapText="false" indent="0" shrinkToFit="false"/>
      <protection locked="true" hidden="false"/>
    </xf>
    <xf numFmtId="170" fontId="7" fillId="3" borderId="2"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5" fontId="6" fillId="5" borderId="2" xfId="0" applyFont="true" applyBorder="true" applyAlignment="true" applyProtection="false">
      <alignment horizontal="general"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5" fontId="7" fillId="5" borderId="2"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72" fontId="7" fillId="3" borderId="2" xfId="0" applyFont="true" applyBorder="true" applyAlignment="true" applyProtection="false">
      <alignment horizontal="general" vertical="center" textRotation="0" wrapText="false" indent="0" shrinkToFit="false"/>
      <protection locked="true" hidden="false"/>
    </xf>
    <xf numFmtId="173" fontId="7" fillId="3" borderId="1" xfId="0" applyFont="true" applyBorder="true" applyAlignment="true" applyProtection="false">
      <alignment horizontal="right" vertical="bottom" textRotation="0" wrapText="false" indent="0" shrinkToFit="false"/>
      <protection locked="true" hidden="false"/>
    </xf>
    <xf numFmtId="164" fontId="6" fillId="0" borderId="3" xfId="0" applyFont="true" applyBorder="true" applyAlignment="true" applyProtection="false">
      <alignment horizontal="general" vertical="bottom" textRotation="0" wrapText="false" indent="0" shrinkToFit="false"/>
      <protection locked="true" hidden="false"/>
    </xf>
    <xf numFmtId="166" fontId="6" fillId="0" borderId="3" xfId="0" applyFont="true" applyBorder="true" applyAlignment="true" applyProtection="false">
      <alignment horizontal="center" vertical="bottom" textRotation="0" wrapText="false" indent="0" shrinkToFit="false"/>
      <protection locked="true" hidden="false"/>
    </xf>
    <xf numFmtId="165" fontId="6" fillId="3" borderId="3" xfId="0" applyFont="true" applyBorder="true" applyAlignment="true" applyProtection="false">
      <alignment horizontal="right" vertical="bottom" textRotation="0" wrapText="false" indent="0" shrinkToFit="false"/>
      <protection locked="true" hidden="false"/>
    </xf>
    <xf numFmtId="173" fontId="6" fillId="0" borderId="3" xfId="0" applyFont="true" applyBorder="true" applyAlignment="true" applyProtection="false">
      <alignment horizontal="right" vertical="bottom" textRotation="0" wrapText="false" indent="0" shrinkToFit="false"/>
      <protection locked="true" hidden="false"/>
    </xf>
    <xf numFmtId="164" fontId="13" fillId="7" borderId="0" xfId="0" applyFont="true" applyBorder="true" applyAlignment="true" applyProtection="false">
      <alignment horizontal="left" vertical="center" textRotation="0" wrapText="false" indent="0" shrinkToFit="false"/>
      <protection locked="true" hidden="false"/>
    </xf>
    <xf numFmtId="174" fontId="0" fillId="0" borderId="0" xfId="0" applyFont="true" applyBorder="false" applyAlignment="true" applyProtection="false">
      <alignment horizontal="general" vertical="bottom" textRotation="0" wrapText="false" indent="0" shrinkToFit="false"/>
      <protection locked="true" hidden="false"/>
    </xf>
    <xf numFmtId="164" fontId="14" fillId="8" borderId="0"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5" fillId="7" borderId="0" xfId="0" applyFont="true" applyBorder="true" applyAlignment="true" applyProtection="false">
      <alignment horizontal="center" vertical="center" textRotation="0" wrapText="true" indent="0" shrinkToFit="false"/>
      <protection locked="true" hidden="false"/>
    </xf>
    <xf numFmtId="164" fontId="15" fillId="9" borderId="0" xfId="0" applyFont="true" applyBorder="true" applyAlignment="true" applyProtection="false">
      <alignment horizontal="center" vertical="center" textRotation="0" wrapText="true" indent="0" shrinkToFit="false"/>
      <protection locked="true" hidden="false"/>
    </xf>
    <xf numFmtId="164" fontId="15" fillId="10" borderId="0" xfId="0" applyFont="true" applyBorder="true" applyAlignment="true" applyProtection="false">
      <alignment horizontal="center" vertical="center" textRotation="0" wrapText="true" indent="0" shrinkToFit="false"/>
      <protection locked="true" hidden="false"/>
    </xf>
    <xf numFmtId="165" fontId="16" fillId="11" borderId="0" xfId="0" applyFont="true" applyBorder="true" applyAlignment="true" applyProtection="false">
      <alignment horizontal="center" vertical="center" textRotation="0" wrapText="false" indent="0" shrinkToFit="false"/>
      <protection locked="true" hidden="false"/>
    </xf>
    <xf numFmtId="165" fontId="16" fillId="8" borderId="0" xfId="0" applyFont="true" applyBorder="true" applyAlignment="true" applyProtection="false">
      <alignment horizontal="center" vertical="center" textRotation="0" wrapText="false" indent="0" shrinkToFit="false"/>
      <protection locked="true" hidden="false"/>
    </xf>
    <xf numFmtId="165" fontId="16" fillId="12" borderId="0" xfId="0" applyFont="true" applyBorder="true" applyAlignment="true" applyProtection="false">
      <alignment horizontal="center" vertical="center" textRotation="0" wrapText="false" indent="0" shrinkToFit="false"/>
      <protection locked="true" hidden="false"/>
    </xf>
    <xf numFmtId="169" fontId="16" fillId="5" borderId="0" xfId="0" applyFont="true" applyBorder="true" applyAlignment="true" applyProtection="false">
      <alignment horizontal="center" vertical="center" textRotation="0" wrapText="false" indent="0" shrinkToFit="false"/>
      <protection locked="true" hidden="false"/>
    </xf>
    <xf numFmtId="164" fontId="15" fillId="13" borderId="0" xfId="0" applyFont="true" applyBorder="true" applyAlignment="true" applyProtection="false">
      <alignment horizontal="center" vertical="center" textRotation="0" wrapText="true" indent="0" shrinkToFit="false"/>
      <protection locked="true" hidden="false"/>
    </xf>
    <xf numFmtId="164" fontId="15" fillId="14" borderId="0" xfId="0" applyFont="true" applyBorder="true" applyAlignment="true" applyProtection="false">
      <alignment horizontal="center" vertical="center" textRotation="0" wrapText="true" indent="0" shrinkToFit="false"/>
      <protection locked="true" hidden="false"/>
    </xf>
    <xf numFmtId="175" fontId="16" fillId="8" borderId="0" xfId="0" applyFont="true" applyBorder="true" applyAlignment="true" applyProtection="false">
      <alignment horizontal="center" vertical="center" textRotation="0" wrapText="false" indent="0" shrinkToFit="false"/>
      <protection locked="true" hidden="false"/>
    </xf>
    <xf numFmtId="176" fontId="16" fillId="8" borderId="0" xfId="0" applyFont="true" applyBorder="true" applyAlignment="true" applyProtection="false">
      <alignment horizontal="center" vertical="center" textRotation="0" wrapText="false" indent="0" shrinkToFit="false"/>
      <protection locked="true" hidden="false"/>
    </xf>
    <xf numFmtId="175" fontId="16" fillId="11" borderId="0" xfId="0" applyFont="true" applyBorder="true" applyAlignment="true" applyProtection="false">
      <alignment horizontal="center" vertical="center" textRotation="0" wrapText="false" indent="0" shrinkToFit="false"/>
      <protection locked="true" hidden="false"/>
    </xf>
    <xf numFmtId="177" fontId="16" fillId="11" borderId="0" xfId="0" applyFont="true" applyBorder="true" applyAlignment="true" applyProtection="false">
      <alignment horizontal="center" vertical="center" textRotation="0" wrapText="fals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8" fillId="9"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7" fillId="15" borderId="0"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true" applyAlignment="true" applyProtection="false">
      <alignment horizontal="general" vertical="center" textRotation="0" wrapText="true" indent="0" shrinkToFit="false"/>
      <protection locked="true" hidden="false"/>
    </xf>
    <xf numFmtId="164" fontId="8" fillId="9"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5" fontId="17" fillId="0" borderId="0" xfId="0" applyFont="true" applyBorder="true" applyAlignment="true" applyProtection="false">
      <alignment horizontal="general" vertical="center" textRotation="0" wrapText="true" indent="0" shrinkToFit="false"/>
      <protection locked="true" hidden="false"/>
    </xf>
    <xf numFmtId="164" fontId="18" fillId="12" borderId="0" xfId="0" applyFont="true" applyBorder="true" applyAlignment="true" applyProtection="false">
      <alignment horizontal="general" vertical="center" textRotation="0" wrapText="false" indent="0" shrinkToFit="false"/>
      <protection locked="true" hidden="false"/>
    </xf>
    <xf numFmtId="166" fontId="18" fillId="12" borderId="0" xfId="0" applyFont="true" applyBorder="true" applyAlignment="true" applyProtection="false">
      <alignment horizontal="center" vertical="center" textRotation="0" wrapText="false" indent="0" shrinkToFit="false"/>
      <protection locked="true" hidden="false"/>
    </xf>
    <xf numFmtId="164" fontId="19" fillId="11" borderId="0" xfId="0" applyFont="true" applyBorder="true" applyAlignment="true" applyProtection="false">
      <alignment horizontal="general" vertical="center" textRotation="0" wrapText="false" indent="0" shrinkToFit="false"/>
      <protection locked="true" hidden="false"/>
    </xf>
    <xf numFmtId="166" fontId="19" fillId="11" borderId="0" xfId="0" applyFont="true" applyBorder="tru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general" vertical="center" textRotation="0" wrapText="false" indent="0" shrinkToFit="false"/>
      <protection locked="true" hidden="false"/>
    </xf>
    <xf numFmtId="166" fontId="19" fillId="8" borderId="0"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true" applyAlignment="true" applyProtection="false">
      <alignment horizontal="general" vertical="center" textRotation="0" wrapText="false" indent="0" shrinkToFit="false"/>
      <protection locked="true" hidden="false"/>
    </xf>
    <xf numFmtId="166" fontId="19" fillId="5" borderId="0" xfId="0" applyFont="true" applyBorder="true" applyAlignment="true" applyProtection="false">
      <alignment horizontal="center" vertical="center" textRotation="0" wrapText="false" indent="0" shrinkToFit="false"/>
      <protection locked="true" hidden="false"/>
    </xf>
    <xf numFmtId="164" fontId="19" fillId="16" borderId="0" xfId="0" applyFont="true" applyBorder="true" applyAlignment="true" applyProtection="false">
      <alignment horizontal="general" vertical="center" textRotation="0" wrapText="false" indent="0" shrinkToFit="false"/>
      <protection locked="true" hidden="false"/>
    </xf>
    <xf numFmtId="166" fontId="19" fillId="16" borderId="0" xfId="0" applyFont="true" applyBorder="true" applyAlignment="true" applyProtection="false">
      <alignment horizontal="center" vertical="center" textRotation="0" wrapText="false" indent="0" shrinkToFit="false"/>
      <protection locked="true" hidden="false"/>
    </xf>
    <xf numFmtId="164" fontId="20" fillId="12" borderId="0" xfId="0" applyFont="true" applyBorder="true" applyAlignment="true" applyProtection="false">
      <alignment horizontal="general" vertical="center" textRotation="0" wrapText="true" indent="0" shrinkToFit="false"/>
      <protection locked="true" hidden="false"/>
    </xf>
    <xf numFmtId="164" fontId="21" fillId="16" borderId="0" xfId="0" applyFont="true" applyBorder="true" applyAlignment="true" applyProtection="false">
      <alignment horizontal="general" vertical="center" textRotation="0" wrapText="true" indent="0" shrinkToFit="false"/>
      <protection locked="true" hidden="false"/>
    </xf>
    <xf numFmtId="164" fontId="24" fillId="7" borderId="0" xfId="0" applyFont="true" applyBorder="true" applyAlignment="true" applyProtection="false">
      <alignment horizontal="left" vertical="center" textRotation="0" wrapText="false" indent="0" shrinkToFit="false"/>
      <protection locked="true" hidden="false"/>
    </xf>
    <xf numFmtId="164" fontId="14" fillId="8" borderId="0" xfId="0" applyFont="true" applyBorder="true" applyAlignment="true" applyProtection="false">
      <alignment horizontal="general" vertical="center" textRotation="0" wrapText="false" indent="0" shrinkToFit="false"/>
      <protection locked="true" hidden="false"/>
    </xf>
    <xf numFmtId="164" fontId="8" fillId="9" borderId="0" xfId="0" applyFont="true" applyBorder="false" applyAlignment="true" applyProtection="false">
      <alignment horizontal="center" vertical="center" textRotation="0" wrapText="true" indent="0" shrinkToFit="false"/>
      <protection locked="true" hidden="false"/>
    </xf>
    <xf numFmtId="178" fontId="25" fillId="9" borderId="0" xfId="0" applyFont="true" applyBorder="false" applyAlignment="true" applyProtection="false">
      <alignment horizontal="center" vertical="center" textRotation="0" wrapText="false" indent="0" shrinkToFit="false"/>
      <protection locked="true" hidden="false"/>
    </xf>
    <xf numFmtId="178" fontId="26" fillId="17" borderId="0" xfId="0" applyFont="true" applyBorder="false" applyAlignment="true" applyProtection="false">
      <alignment horizontal="center" vertical="center" textRotation="0" wrapText="false" indent="0" shrinkToFit="false"/>
      <protection locked="true" hidden="false"/>
    </xf>
    <xf numFmtId="164" fontId="27" fillId="16" borderId="0" xfId="0" applyFont="true" applyBorder="false" applyAlignment="true" applyProtection="false">
      <alignment horizontal="center" vertical="center" textRotation="0" wrapText="false" indent="0" shrinkToFit="false"/>
      <protection locked="true" hidden="false"/>
    </xf>
    <xf numFmtId="164" fontId="26" fillId="17" borderId="0" xfId="0" applyFont="true" applyBorder="false" applyAlignment="true" applyProtection="false">
      <alignment horizontal="center" vertical="center" textRotation="0" wrapText="false" indent="0" shrinkToFit="false"/>
      <protection locked="true" hidden="false"/>
    </xf>
    <xf numFmtId="164" fontId="17" fillId="8" borderId="0" xfId="0" applyFont="true" applyBorder="false" applyAlignment="true" applyProtection="false">
      <alignment horizontal="general" vertical="center" textRotation="0" wrapText="true" indent="0" shrinkToFit="false"/>
      <protection locked="true" hidden="false"/>
    </xf>
    <xf numFmtId="179" fontId="17" fillId="0" borderId="0" xfId="0" applyFont="true" applyBorder="false" applyAlignment="true" applyProtection="false">
      <alignment horizontal="general" vertical="center" textRotation="0" wrapText="true" indent="0" shrinkToFit="false"/>
      <protection locked="true" hidden="false"/>
    </xf>
    <xf numFmtId="164" fontId="28" fillId="13" borderId="0" xfId="0" applyFont="true" applyBorder="false" applyAlignment="true" applyProtection="false">
      <alignment horizontal="center" vertical="center"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64" fontId="28" fillId="9" borderId="0" xfId="0" applyFont="true" applyBorder="false" applyAlignment="true" applyProtection="false">
      <alignment horizontal="center" vertical="center" textRotation="0" wrapText="false" indent="0" shrinkToFit="false"/>
      <protection locked="true" hidden="false"/>
    </xf>
    <xf numFmtId="164" fontId="28" fillId="18" borderId="0" xfId="0" applyFont="true" applyBorder="false" applyAlignment="true" applyProtection="false">
      <alignment horizontal="center" vertical="center" textRotation="0" wrapText="false" indent="0" shrinkToFit="false"/>
      <protection locked="true" hidden="false"/>
    </xf>
    <xf numFmtId="164" fontId="28" fillId="14" borderId="0" xfId="0" applyFont="true" applyBorder="false" applyAlignment="true" applyProtection="false">
      <alignment horizontal="center" vertical="center" textRotation="0" wrapText="false" indent="0" shrinkToFit="false"/>
      <protection locked="true" hidden="false"/>
    </xf>
    <xf numFmtId="164" fontId="28" fillId="10" borderId="0" xfId="0" applyFont="true" applyBorder="false" applyAlignment="true" applyProtection="false">
      <alignment horizontal="center" vertical="center" textRotation="0" wrapText="false" indent="0" shrinkToFit="false"/>
      <protection locked="true" hidden="false"/>
    </xf>
    <xf numFmtId="164" fontId="28" fillId="19" borderId="0" xfId="0" applyFont="true" applyBorder="false" applyAlignment="true" applyProtection="false">
      <alignment horizontal="center" vertical="center" textRotation="0" wrapText="false" indent="0" shrinkToFit="false"/>
      <protection locked="true" hidden="false"/>
    </xf>
    <xf numFmtId="164" fontId="28" fillId="7"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true" applyAlignment="true" applyProtection="false">
      <alignment horizontal="general" vertical="center" textRotation="0" wrapText="false" indent="0" shrinkToFit="false"/>
      <protection locked="true" hidden="false"/>
    </xf>
    <xf numFmtId="170" fontId="17" fillId="0" borderId="0" xfId="0" applyFont="true" applyBorder="false" applyAlignment="true" applyProtection="false">
      <alignment horizontal="general" vertical="center" textRotation="0" wrapText="true" indent="0" shrinkToFit="false"/>
      <protection locked="true" hidden="false"/>
    </xf>
    <xf numFmtId="165" fontId="17" fillId="0" borderId="0" xfId="0" applyFont="true" applyBorder="false" applyAlignment="true" applyProtection="false">
      <alignment horizontal="general" vertical="center" textRotation="0" wrapText="true" indent="0" shrinkToFit="false"/>
      <protection locked="true" hidden="false"/>
    </xf>
    <xf numFmtId="164" fontId="20" fillId="5"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8CBAD"/>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666666"/>
      <rgbColor rgb="FF800080"/>
      <rgbColor rgb="FF1F4E78"/>
      <rgbColor rgb="FFBFBFBF"/>
      <rgbColor rgb="FF878787"/>
      <rgbColor rgb="FF9999FF"/>
      <rgbColor rgb="FF595959"/>
      <rgbColor rgb="FFFFF2CC"/>
      <rgbColor rgb="FFEEF5FB"/>
      <rgbColor rgb="FF660066"/>
      <rgbColor rgb="FFFF8080"/>
      <rgbColor rgb="FF2F75B5"/>
      <rgbColor rgb="FFCCCCCC"/>
      <rgbColor rgb="FF000080"/>
      <rgbColor rgb="FFFF00FF"/>
      <rgbColor rgb="FFF7F7F7"/>
      <rgbColor rgb="FF00FFFF"/>
      <rgbColor rgb="FF800080"/>
      <rgbColor rgb="FF800000"/>
      <rgbColor rgb="FF2F5496"/>
      <rgbColor rgb="FF0000FF"/>
      <rgbColor rgb="FF00CCFF"/>
      <rgbColor rgb="FFE2F0D9"/>
      <rgbColor rgb="FFC6EFCE"/>
      <rgbColor rgb="FFFCE4D6"/>
      <rgbColor rgb="FFD9D9D9"/>
      <rgbColor rgb="FFE2EFDA"/>
      <rgbColor rgb="FFDCE6F1"/>
      <rgbColor rgb="FFF8CBAD"/>
      <rgbColor rgb="FF4472C4"/>
      <rgbColor rgb="FF33CCCC"/>
      <rgbColor rgb="FF70AD47"/>
      <rgbColor rgb="FFFFCC00"/>
      <rgbColor rgb="FFFF9900"/>
      <rgbColor rgb="FFED7D31"/>
      <rgbColor rgb="FF6B7280"/>
      <rgbColor rgb="FFA5A5A5"/>
      <rgbColor rgb="FF17365D"/>
      <rgbColor rgb="FF4F81BD"/>
      <rgbColor rgb="FF003300"/>
      <rgbColor rgb="FF333300"/>
      <rgbColor rgb="FF993300"/>
      <rgbColor rgb="FF993366"/>
      <rgbColor rgb="FF1F497D"/>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ea typeface="Calibri"/>
              </a:defRPr>
            </a:pPr>
            <a:r>
              <a:rPr b="1" lang="pt-BR" sz="1800" spc="-1" strike="noStrike">
                <a:solidFill>
                  <a:srgbClr val="000000"/>
                </a:solidFill>
                <a:latin typeface="Calibri"/>
                <a:ea typeface="Calibri"/>
              </a:rPr>
              <a:t>Custo por disciplina</a:t>
            </a:r>
          </a:p>
        </c:rich>
      </c:tx>
      <c:overlay val="0"/>
      <c:spPr>
        <a:noFill/>
        <a:ln w="0">
          <a:noFill/>
        </a:ln>
      </c:spPr>
    </c:title>
    <c:autoTitleDeleted val="0"/>
    <c:plotArea>
      <c:barChart>
        <c:barDir val="bar"/>
        <c:grouping val="clustered"/>
        <c:varyColors val="0"/>
        <c:ser>
          <c:idx val="0"/>
          <c:order val="0"/>
          <c:tx>
            <c:strRef>
              <c:f>"Valor"</c:f>
              <c:strCache>
                <c:ptCount val="1"/>
                <c:pt idx="0">
                  <c:v>Valor</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 Executivo'!$R$3:$R$11</c:f>
              <c:strCache>
                <c:ptCount val="9"/>
                <c:pt idx="0">
                  <c:v>Marcenaria e Cenotecnia</c:v>
                </c:pt>
                <c:pt idx="1">
                  <c:v>Serralheria e Estruturas Metálicas</c:v>
                </c:pt>
                <c:pt idx="2">
                  <c:v>Elétrica e Iluminação</c:v>
                </c:pt>
                <c:pt idx="3">
                  <c:v>Pintura e Acabamentos</c:v>
                </c:pt>
                <c:pt idx="4">
                  <c:v>Vidros e Acrílicos</c:v>
                </c:pt>
                <c:pt idx="5">
                  <c:v>Comunicação Visual</c:v>
                </c:pt>
                <c:pt idx="6">
                  <c:v>Segurança Contra Incêndio</c:v>
                </c:pt>
                <c:pt idx="7">
                  <c:v>Ferragens e Ancoragens</c:v>
                </c:pt>
                <c:pt idx="8">
                  <c:v>Elementos Reformados</c:v>
                </c:pt>
              </c:strCache>
            </c:strRef>
          </c:cat>
          <c:val>
            <c:numRef>
              <c:f>'Dashboard Executivo'!$S$3:$S$11</c:f>
              <c:numCache>
                <c:formatCode>"R$ "#,##0.00</c:formatCode>
                <c:ptCount val="9"/>
                <c:pt idx="0">
                  <c:v>21347.26</c:v>
                </c:pt>
                <c:pt idx="1">
                  <c:v>6546.25</c:v>
                </c:pt>
                <c:pt idx="2">
                  <c:v>9176.262</c:v>
                </c:pt>
                <c:pt idx="3">
                  <c:v>6741.02</c:v>
                </c:pt>
                <c:pt idx="4">
                  <c:v>1376.71</c:v>
                </c:pt>
                <c:pt idx="5">
                  <c:v>13681.4592</c:v>
                </c:pt>
                <c:pt idx="6">
                  <c:v>10636.92</c:v>
                </c:pt>
                <c:pt idx="7">
                  <c:v>7048.6</c:v>
                </c:pt>
                <c:pt idx="8">
                  <c:v>1980</c:v>
                </c:pt>
              </c:numCache>
            </c:numRef>
          </c:val>
        </c:ser>
        <c:gapWidth val="150"/>
        <c:overlap val="0"/>
        <c:axId val="50629590"/>
        <c:axId val="70712514"/>
      </c:barChart>
      <c:catAx>
        <c:axId val="5062959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0712514"/>
        <c:crosses val="autoZero"/>
        <c:auto val="1"/>
        <c:lblAlgn val="ctr"/>
        <c:lblOffset val="100"/>
        <c:noMultiLvlLbl val="0"/>
      </c:catAx>
      <c:valAx>
        <c:axId val="70712514"/>
        <c:scaling>
          <c:orientation val="minMax"/>
        </c:scaling>
        <c:delete val="0"/>
        <c:axPos val="l"/>
        <c:majorGridlines>
          <c:spPr>
            <a:ln w="9360">
              <a:solidFill>
                <a:srgbClr val="cccccc"/>
              </a:solidFill>
              <a:prstDash val="dash"/>
              <a:round/>
            </a:ln>
          </c:spPr>
        </c:majorGridlines>
        <c:numFmt formatCode="&quot;R$ &quot;#,##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50629590"/>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ea typeface="Calibri"/>
              </a:defRPr>
            </a:pPr>
            <a:r>
              <a:rPr b="1" lang="pt-BR" sz="1800" spc="-1" strike="noStrike">
                <a:solidFill>
                  <a:srgbClr val="000000"/>
                </a:solidFill>
                <a:latin typeface="Calibri"/>
                <a:ea typeface="Calibri"/>
              </a:rPr>
              <a:t>Materiais x M.O./Serviços</a:t>
            </a:r>
          </a:p>
        </c:rich>
      </c:tx>
      <c:overlay val="0"/>
      <c:spPr>
        <a:noFill/>
        <a:ln w="0">
          <a:noFill/>
        </a:ln>
      </c:spPr>
    </c:title>
    <c:autoTitleDeleted val="0"/>
    <c:plotArea>
      <c:barChart>
        <c:barDir val="col"/>
        <c:grouping val="clustered"/>
        <c:varyColors val="0"/>
        <c:ser>
          <c:idx val="0"/>
          <c:order val="0"/>
          <c:tx>
            <c:strRef>
              <c:f>"Valor"</c:f>
              <c:strCache>
                <c:ptCount val="1"/>
                <c:pt idx="0">
                  <c:v>Valor</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 Executivo'!$U$3:$U$4</c:f>
              <c:strCache>
                <c:ptCount val="2"/>
                <c:pt idx="0">
                  <c:v>Materiais e Insumos</c:v>
                </c:pt>
                <c:pt idx="1">
                  <c:v>M.O. + Serviços + Logística</c:v>
                </c:pt>
              </c:strCache>
            </c:strRef>
          </c:cat>
          <c:val>
            <c:numRef>
              <c:f>'Dashboard Executivo'!$V$3:$V$4</c:f>
              <c:numCache>
                <c:formatCode>"R$ "#,##0.00</c:formatCode>
                <c:ptCount val="2"/>
                <c:pt idx="0">
                  <c:v>78534.4812</c:v>
                </c:pt>
                <c:pt idx="1">
                  <c:v>118562</c:v>
                </c:pt>
              </c:numCache>
            </c:numRef>
          </c:val>
        </c:ser>
        <c:gapWidth val="150"/>
        <c:overlap val="0"/>
        <c:axId val="70331875"/>
        <c:axId val="32461184"/>
      </c:barChart>
      <c:catAx>
        <c:axId val="7033187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32461184"/>
        <c:crosses val="autoZero"/>
        <c:auto val="1"/>
        <c:lblAlgn val="ctr"/>
        <c:lblOffset val="100"/>
        <c:noMultiLvlLbl val="0"/>
      </c:catAx>
      <c:valAx>
        <c:axId val="32461184"/>
        <c:scaling>
          <c:orientation val="minMax"/>
        </c:scaling>
        <c:delete val="0"/>
        <c:axPos val="l"/>
        <c:majorGridlines>
          <c:spPr>
            <a:ln w="9360">
              <a:solidFill>
                <a:srgbClr val="cccccc"/>
              </a:solidFill>
              <a:prstDash val="dash"/>
              <a:round/>
            </a:ln>
          </c:spPr>
        </c:majorGridlines>
        <c:numFmt formatCode="&quot;R$ &quot;#,##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0331875"/>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7</xdr:col>
      <xdr:colOff>845280</xdr:colOff>
      <xdr:row>31</xdr:row>
      <xdr:rowOff>189720</xdr:rowOff>
    </xdr:to>
    <xdr:graphicFrame>
      <xdr:nvGraphicFramePr>
        <xdr:cNvPr id="0" name="Chart 1"/>
        <xdr:cNvGraphicFramePr/>
      </xdr:nvGraphicFramePr>
      <xdr:xfrm>
        <a:off x="0" y="3267000"/>
        <a:ext cx="5497200" cy="323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xdr:row>
      <xdr:rowOff>0</xdr:rowOff>
    </xdr:from>
    <xdr:to>
      <xdr:col>15</xdr:col>
      <xdr:colOff>845280</xdr:colOff>
      <xdr:row>31</xdr:row>
      <xdr:rowOff>189720</xdr:rowOff>
    </xdr:to>
    <xdr:graphicFrame>
      <xdr:nvGraphicFramePr>
        <xdr:cNvPr id="1" name="Chart 2"/>
        <xdr:cNvGraphicFramePr/>
      </xdr:nvGraphicFramePr>
      <xdr:xfrm>
        <a:off x="5709240" y="3267000"/>
        <a:ext cx="5285880" cy="3237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5" zeroHeight="false" outlineLevelRow="0" outlineLevelCol="0"/>
  <cols>
    <col collapsed="false" customWidth="true" hidden="false" outlineLevel="0" max="2" min="1" style="1" width="50"/>
  </cols>
  <sheetData>
    <row r="1" customFormat="false" ht="18.75" hidden="false" customHeight="true" outlineLevel="0" collapsed="false">
      <c r="A1" s="2" t="s">
        <v>0</v>
      </c>
    </row>
    <row r="3" customFormat="false" ht="15" hidden="false" customHeight="true" outlineLevel="0" collapsed="false">
      <c r="A3" s="3" t="s">
        <v>1</v>
      </c>
    </row>
    <row r="5" customFormat="false" ht="15" hidden="false" customHeight="true" outlineLevel="0" collapsed="false">
      <c r="A5" s="4" t="s">
        <v>2</v>
      </c>
    </row>
    <row r="6" customFormat="false" ht="15" hidden="false" customHeight="true" outlineLevel="0" collapsed="false">
      <c r="A6" s="5" t="s">
        <v>3</v>
      </c>
    </row>
    <row r="7" customFormat="false" ht="15" hidden="false" customHeight="true" outlineLevel="0" collapsed="false">
      <c r="A7" s="5" t="s">
        <v>4</v>
      </c>
    </row>
    <row r="8" customFormat="false" ht="15" hidden="false" customHeight="true" outlineLevel="0" collapsed="false">
      <c r="A8" s="5" t="s">
        <v>5</v>
      </c>
    </row>
    <row r="9" customFormat="false" ht="15" hidden="false" customHeight="true" outlineLevel="0" collapsed="false">
      <c r="A9" s="5" t="s">
        <v>6</v>
      </c>
    </row>
    <row r="10" customFormat="false" ht="15" hidden="false" customHeight="true" outlineLevel="0" collapsed="false">
      <c r="A10" s="5" t="s">
        <v>7</v>
      </c>
    </row>
    <row r="11" customFormat="false" ht="15" hidden="false" customHeight="true" outlineLevel="0" collapsed="false">
      <c r="A11" s="5" t="s">
        <v>8</v>
      </c>
    </row>
    <row r="13" customFormat="false" ht="15" hidden="false" customHeight="true" outlineLevel="0" collapsed="false">
      <c r="A13" s="3" t="s">
        <v>9</v>
      </c>
    </row>
    <row r="15" customFormat="false" ht="15" hidden="false" customHeight="true" outlineLevel="0" collapsed="false">
      <c r="A15" s="6" t="s">
        <v>10</v>
      </c>
      <c r="B15" s="7" t="s">
        <v>11</v>
      </c>
    </row>
    <row r="16" customFormat="false" ht="15" hidden="false" customHeight="true" outlineLevel="0" collapsed="false">
      <c r="A16" s="8" t="s">
        <v>12</v>
      </c>
      <c r="B16" s="9" t="n">
        <f aca="false">'Resumo por Disciplina'!D13 + 'Mão de Obra e Serviços'!G21</f>
        <v>197096.4812</v>
      </c>
    </row>
    <row r="17" customFormat="false" ht="15" hidden="false" customHeight="true" outlineLevel="0" collapsed="false">
      <c r="A17" s="8" t="s">
        <v>13</v>
      </c>
      <c r="B17" s="10" t="n">
        <f aca="false">COUNTA('Cotação de Materiais'!A4:A44) + COUNTA('Mão de Obra e Serviços'!A4:A20)</f>
        <v>56</v>
      </c>
    </row>
    <row r="18" customFormat="false" ht="15" hidden="false" customHeight="true" outlineLevel="0" collapsed="false">
      <c r="A18" s="8" t="s">
        <v>14</v>
      </c>
      <c r="B18" s="10" t="n">
        <v>10</v>
      </c>
    </row>
    <row r="19" customFormat="false" ht="15" hidden="false" customHeight="true" outlineLevel="0" collapsed="false">
      <c r="A19" s="8" t="s">
        <v>15</v>
      </c>
      <c r="B19" s="10" t="s">
        <v>16</v>
      </c>
    </row>
    <row r="21" customFormat="false" ht="15" hidden="false" customHeight="true" outlineLevel="0" collapsed="false">
      <c r="A21" s="3" t="s">
        <v>17</v>
      </c>
    </row>
    <row r="22" customFormat="false" ht="15" hidden="false" customHeight="true" outlineLevel="0" collapsed="false">
      <c r="A22" s="11" t="s">
        <v>18</v>
      </c>
      <c r="B22" s="11" t="s">
        <v>19</v>
      </c>
    </row>
    <row r="23" customFormat="false" ht="15" hidden="false" customHeight="true" outlineLevel="0" collapsed="false">
      <c r="A23" s="8" t="s">
        <v>20</v>
      </c>
      <c r="B23" s="10" t="s">
        <v>21</v>
      </c>
    </row>
    <row r="24" customFormat="false" ht="15" hidden="false" customHeight="true" outlineLevel="0" collapsed="false">
      <c r="A24" s="8" t="s">
        <v>22</v>
      </c>
      <c r="B24" s="10" t="s">
        <v>23</v>
      </c>
    </row>
    <row r="25" customFormat="false" ht="15" hidden="false" customHeight="true" outlineLevel="0" collapsed="false">
      <c r="A25" s="8" t="s">
        <v>24</v>
      </c>
      <c r="B25" s="10" t="s">
        <v>25</v>
      </c>
    </row>
    <row r="26" customFormat="false" ht="15" hidden="false" customHeight="true" outlineLevel="0" collapsed="false">
      <c r="A26" s="8" t="s">
        <v>26</v>
      </c>
      <c r="B26" s="10" t="s">
        <v>27</v>
      </c>
    </row>
    <row r="27" customFormat="false" ht="15" hidden="false" customHeight="true" outlineLevel="0" collapsed="false">
      <c r="A27" s="8" t="s">
        <v>28</v>
      </c>
      <c r="B27" s="10" t="s">
        <v>29</v>
      </c>
    </row>
    <row r="28" customFormat="false" ht="15" hidden="false" customHeight="true" outlineLevel="0" collapsed="false">
      <c r="A28" s="8" t="s">
        <v>30</v>
      </c>
      <c r="B28" s="10" t="s">
        <v>31</v>
      </c>
    </row>
    <row r="31" customFormat="false" ht="17.35" hidden="false" customHeight="false" outlineLevel="0" collapsed="false">
      <c r="A31" s="12" t="s">
        <v>32</v>
      </c>
    </row>
    <row r="32" customFormat="false" ht="15" hidden="false" customHeight="false" outlineLevel="0" collapsed="false">
      <c r="A32" s="13" t="s">
        <v>33</v>
      </c>
    </row>
    <row r="33" customFormat="false" ht="15" hidden="false" customHeight="false" outlineLevel="0" collapsed="false">
      <c r="A33" s="13" t="s">
        <v>34</v>
      </c>
    </row>
    <row r="34" customFormat="false" ht="15" hidden="false" customHeight="false" outlineLevel="0" collapsed="false">
      <c r="A34" s="13" t="s">
        <v>35</v>
      </c>
    </row>
    <row r="35" customFormat="false" ht="15" hidden="false" customHeight="false" outlineLevel="0" collapsed="false">
      <c r="A35" s="13" t="s">
        <v>36</v>
      </c>
    </row>
    <row r="36" customFormat="false" ht="15" hidden="false" customHeight="false" outlineLevel="0" collapsed="false">
      <c r="A36" s="13" t="s">
        <v>37</v>
      </c>
    </row>
    <row r="37" customFormat="false" ht="15" hidden="false" customHeight="false" outlineLevel="0" collapsed="false">
      <c r="A37" s="13" t="s">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10" min="3" style="0" width="16"/>
  </cols>
  <sheetData>
    <row r="1" customFormat="false" ht="17.35" hidden="false" customHeight="false" outlineLevel="0" collapsed="false">
      <c r="A1" s="12" t="s">
        <v>39</v>
      </c>
    </row>
    <row r="2" customFormat="false" ht="15" hidden="false" customHeight="false" outlineLevel="0" collapsed="false">
      <c r="A2" s="14" t="s">
        <v>40</v>
      </c>
    </row>
    <row r="3" customFormat="false" ht="15" hidden="false" customHeight="true" outlineLevel="0" collapsed="false">
      <c r="A3" s="15" t="s">
        <v>41</v>
      </c>
      <c r="B3" s="15" t="s">
        <v>42</v>
      </c>
      <c r="C3" s="15" t="s">
        <v>43</v>
      </c>
      <c r="D3" s="15"/>
      <c r="E3" s="15"/>
      <c r="F3" s="15"/>
      <c r="G3" s="15"/>
      <c r="H3" s="15"/>
      <c r="I3" s="15"/>
      <c r="J3" s="15"/>
    </row>
    <row r="4" customFormat="false" ht="15" hidden="false" customHeight="false" outlineLevel="0" collapsed="false">
      <c r="A4" s="16" t="s">
        <v>44</v>
      </c>
      <c r="B4" s="17" t="n">
        <f aca="false">'Cotação de Materiais'!H45</f>
        <v>78534.4812</v>
      </c>
      <c r="C4" s="14" t="s">
        <v>45</v>
      </c>
    </row>
    <row r="5" customFormat="false" ht="15" hidden="false" customHeight="false" outlineLevel="0" collapsed="false">
      <c r="A5" s="16" t="s">
        <v>46</v>
      </c>
      <c r="B5" s="17" t="n">
        <f aca="false">'Mão de Obra e Serviços'!G21</f>
        <v>118562</v>
      </c>
      <c r="C5" s="14" t="s">
        <v>47</v>
      </c>
    </row>
    <row r="6" customFormat="false" ht="15" hidden="false" customHeight="false" outlineLevel="0" collapsed="false">
      <c r="A6" s="16" t="s">
        <v>48</v>
      </c>
      <c r="B6" s="17" t="n">
        <f aca="false">B4+B5</f>
        <v>197096.4812</v>
      </c>
      <c r="C6" s="14" t="s">
        <v>49</v>
      </c>
    </row>
    <row r="8" customFormat="false" ht="15" hidden="false" customHeight="false" outlineLevel="0" collapsed="false">
      <c r="A8" s="18" t="s">
        <v>50</v>
      </c>
      <c r="B8" s="19" t="n">
        <v>339500</v>
      </c>
      <c r="C8" s="14" t="s">
        <v>51</v>
      </c>
    </row>
    <row r="9" customFormat="false" ht="15" hidden="false" customHeight="false" outlineLevel="0" collapsed="false">
      <c r="A9" s="16" t="s">
        <v>52</v>
      </c>
      <c r="B9" s="17" t="n">
        <f aca="false">B8-B6</f>
        <v>142403.5188</v>
      </c>
      <c r="C9" s="14" t="s">
        <v>53</v>
      </c>
    </row>
    <row r="10" customFormat="false" ht="15" hidden="false" customHeight="false" outlineLevel="0" collapsed="false">
      <c r="A10" s="16" t="s">
        <v>54</v>
      </c>
      <c r="B10" s="20" t="n">
        <f aca="false">IF(B6=0,0,B8/B6-1)</f>
        <v>0.722506652239513</v>
      </c>
      <c r="C10" s="14" t="s">
        <v>55</v>
      </c>
    </row>
    <row r="12" customFormat="false" ht="15" hidden="false" customHeight="false" outlineLevel="0" collapsed="false">
      <c r="A12" s="18" t="s">
        <v>56</v>
      </c>
      <c r="B12" s="21" t="n">
        <v>0.5</v>
      </c>
      <c r="C12" s="14" t="s">
        <v>57</v>
      </c>
    </row>
    <row r="13" customFormat="false" ht="15" hidden="false" customHeight="false" outlineLevel="0" collapsed="false">
      <c r="A13" s="16" t="s">
        <v>58</v>
      </c>
      <c r="B13" s="20" t="n">
        <f aca="false">1-B12</f>
        <v>0.5</v>
      </c>
      <c r="C13" s="14" t="s">
        <v>59</v>
      </c>
    </row>
    <row r="15" customFormat="false" ht="15" hidden="false" customHeight="false" outlineLevel="0" collapsed="false">
      <c r="A15" s="16" t="s">
        <v>60</v>
      </c>
      <c r="B15" s="17" t="n">
        <f aca="false">B9*B12</f>
        <v>71201.7594</v>
      </c>
      <c r="C15" s="14"/>
    </row>
    <row r="16" customFormat="false" ht="15" hidden="false" customHeight="false" outlineLevel="0" collapsed="false">
      <c r="A16" s="16" t="s">
        <v>61</v>
      </c>
      <c r="B16" s="17" t="n">
        <f aca="false">B9*B13</f>
        <v>71201.7594</v>
      </c>
      <c r="C16" s="14"/>
    </row>
    <row r="17" customFormat="false" ht="15" hidden="false" customHeight="false" outlineLevel="0" collapsed="false">
      <c r="A17" s="18" t="s">
        <v>62</v>
      </c>
      <c r="B17" s="22" t="n">
        <f aca="false">IF(B4=0,0,B15/B4)</f>
        <v>0.906630543833019</v>
      </c>
      <c r="C17" s="14" t="s">
        <v>63</v>
      </c>
    </row>
    <row r="18" customFormat="false" ht="15" hidden="false" customHeight="false" outlineLevel="0" collapsed="false">
      <c r="A18" s="18" t="s">
        <v>64</v>
      </c>
      <c r="B18" s="22" t="n">
        <f aca="false">IF(B5=0,0,B16/B5)</f>
        <v>0.600544520166664</v>
      </c>
      <c r="C18" s="14" t="s">
        <v>65</v>
      </c>
    </row>
    <row r="19" customFormat="false" ht="15" hidden="false" customHeight="false" outlineLevel="0" collapsed="false">
      <c r="A19" s="16" t="s">
        <v>66</v>
      </c>
      <c r="B19" s="23" t="n">
        <f aca="false">1+B17</f>
        <v>1.90663054383302</v>
      </c>
      <c r="C19" s="14" t="s">
        <v>67</v>
      </c>
    </row>
    <row r="20" customFormat="false" ht="15" hidden="false" customHeight="false" outlineLevel="0" collapsed="false">
      <c r="A20" s="16" t="s">
        <v>68</v>
      </c>
      <c r="B20" s="23" t="n">
        <f aca="false">1+B18</f>
        <v>1.60054452016666</v>
      </c>
      <c r="C20" s="14" t="s">
        <v>69</v>
      </c>
    </row>
    <row r="22" customFormat="false" ht="15" hidden="false" customHeight="false" outlineLevel="0" collapsed="false">
      <c r="A22" s="16" t="s">
        <v>70</v>
      </c>
      <c r="B22" s="17" t="n">
        <f aca="false">B4*B19</f>
        <v>149736.2406</v>
      </c>
      <c r="C22" s="14"/>
    </row>
    <row r="23" customFormat="false" ht="15" hidden="false" customHeight="false" outlineLevel="0" collapsed="false">
      <c r="A23" s="16" t="s">
        <v>71</v>
      </c>
      <c r="B23" s="17" t="n">
        <f aca="false">B5*B20</f>
        <v>189763.7594</v>
      </c>
      <c r="C23" s="14"/>
    </row>
    <row r="24" customFormat="false" ht="15" hidden="false" customHeight="false" outlineLevel="0" collapsed="false">
      <c r="A24" s="18" t="s">
        <v>72</v>
      </c>
      <c r="B24" s="24" t="n">
        <f aca="false">B22+B23</f>
        <v>339500</v>
      </c>
      <c r="C24" s="14" t="s">
        <v>73</v>
      </c>
    </row>
    <row r="26" customFormat="false" ht="15" hidden="false" customHeight="false" outlineLevel="0" collapsed="false">
      <c r="A26" s="18" t="s">
        <v>74</v>
      </c>
      <c r="B26" s="25" t="s">
        <v>75</v>
      </c>
      <c r="C26" s="14" t="s">
        <v>76</v>
      </c>
    </row>
    <row r="27" customFormat="false" ht="15" hidden="false" customHeight="false" outlineLevel="0" collapsed="false">
      <c r="A27" s="16" t="s">
        <v>77</v>
      </c>
      <c r="B27" s="17" t="n">
        <f aca="false">'Anexo III'!F3</f>
        <v>-0.42</v>
      </c>
      <c r="C27" s="14" t="s">
        <v>78</v>
      </c>
    </row>
    <row r="28" customFormat="false" ht="15" hidden="false" customHeight="false" outlineLevel="0" collapsed="false">
      <c r="A28" s="18" t="s">
        <v>79</v>
      </c>
      <c r="B28" s="24" t="n">
        <f aca="false">'Anexo III'!K3</f>
        <v>339500</v>
      </c>
      <c r="C28" s="14"/>
    </row>
    <row r="29" customFormat="false" ht="15" hidden="false" customHeight="false" outlineLevel="0" collapsed="false">
      <c r="A29" s="16" t="s">
        <v>80</v>
      </c>
      <c r="B29" s="26" t="str">
        <f aca="false">IF(AND(ABS(B28-B8)&lt;0.005,B30=0),"SIM","NÃO — confira")</f>
        <v>SIM</v>
      </c>
      <c r="C29" s="14" t="s">
        <v>81</v>
      </c>
    </row>
    <row r="30" customFormat="false" ht="15" hidden="false" customHeight="false" outlineLevel="0" collapsed="false">
      <c r="A30" s="16" t="s">
        <v>82</v>
      </c>
      <c r="B30" s="17" t="n">
        <f aca="false">ROUND(B6-'Anexo III'!R3,2)</f>
        <v>0</v>
      </c>
      <c r="C30" s="14" t="s">
        <v>83</v>
      </c>
    </row>
    <row r="31" customFormat="false" ht="15" hidden="false" customHeight="false" outlineLevel="0" collapsed="false">
      <c r="A31" s="16" t="s">
        <v>84</v>
      </c>
      <c r="B31" s="27" t="n">
        <f aca="false">COUNTIF('Anexo III'!L8:L400,"SEM CUSTO*")</f>
        <v>2</v>
      </c>
      <c r="C31" s="14" t="s">
        <v>85</v>
      </c>
    </row>
    <row r="32" customFormat="false" ht="15" hidden="false" customHeight="false" outlineLevel="0" collapsed="false">
      <c r="A32" s="16" t="s">
        <v>86</v>
      </c>
      <c r="B32" s="28" t="n">
        <f aca="false">IFERROR(INDEX('Anexo III'!E8:E400,MATCH(B26,'Anexo III'!B8:B400,0)),"NÃO ACHEI")</f>
        <v>1</v>
      </c>
      <c r="C32" s="14" t="s">
        <v>87</v>
      </c>
    </row>
    <row r="34" customFormat="false" ht="15" hidden="false" customHeight="false" outlineLevel="0" collapsed="false">
      <c r="A34" s="29" t="s">
        <v>88</v>
      </c>
    </row>
    <row r="35" customFormat="false" ht="28.35" hidden="false" customHeight="false" outlineLevel="0" collapsed="false">
      <c r="A35" s="15" t="s">
        <v>89</v>
      </c>
      <c r="B35" s="15" t="s">
        <v>90</v>
      </c>
      <c r="C35" s="15" t="s">
        <v>91</v>
      </c>
      <c r="D35" s="15" t="s">
        <v>92</v>
      </c>
      <c r="E35" s="15" t="s">
        <v>93</v>
      </c>
      <c r="F35" s="15" t="s">
        <v>94</v>
      </c>
      <c r="G35" s="15" t="s">
        <v>95</v>
      </c>
      <c r="H35" s="15" t="s">
        <v>96</v>
      </c>
      <c r="I35" s="15" t="s">
        <v>97</v>
      </c>
      <c r="J35" s="15" t="s">
        <v>98</v>
      </c>
    </row>
    <row r="36" customFormat="false" ht="15" hidden="false" customHeight="false" outlineLevel="0" collapsed="false">
      <c r="A36" s="16" t="s">
        <v>99</v>
      </c>
      <c r="B36" s="30" t="n">
        <f aca="false">SUMIF('Cotação de Materiais'!$B$4:$B$200,A36,'Cotação de Materiais'!$H$4:$H$200)</f>
        <v>21347.26</v>
      </c>
      <c r="C36" s="30" t="n">
        <f aca="false">SUMIF('Mão de Obra e Serviços'!$I$4:$I$200,A36,'Mão de Obra e Serviços'!$G$4:$G$200)</f>
        <v>48200</v>
      </c>
      <c r="D36" s="30" t="n">
        <f aca="false">B36+C36</f>
        <v>69547.26</v>
      </c>
      <c r="E36" s="31" t="n">
        <f aca="false">$B$17</f>
        <v>0.906630543833019</v>
      </c>
      <c r="F36" s="30" t="n">
        <f aca="false">B36*$B$19</f>
        <v>40701.3379431449</v>
      </c>
      <c r="G36" s="31" t="n">
        <f aca="false">$B$18</f>
        <v>0.600544520166664</v>
      </c>
      <c r="H36" s="30" t="n">
        <f aca="false">C36*$B$20</f>
        <v>77146.2458720332</v>
      </c>
      <c r="I36" s="30" t="n">
        <f aca="false">F36+H36</f>
        <v>117847.583815178</v>
      </c>
      <c r="J36" s="31" t="n">
        <f aca="false">IF($I$47=0,0,I36/$I$47)</f>
        <v>0.347121012710392</v>
      </c>
    </row>
    <row r="37" customFormat="false" ht="15" hidden="false" customHeight="false" outlineLevel="0" collapsed="false">
      <c r="A37" s="16" t="s">
        <v>100</v>
      </c>
      <c r="B37" s="30" t="n">
        <f aca="false">SUMIF('Cotação de Materiais'!$B$4:$B$200,A37,'Cotação de Materiais'!$H$4:$H$200)</f>
        <v>6546.25</v>
      </c>
      <c r="C37" s="30" t="n">
        <f aca="false">SUMIF('Mão de Obra e Serviços'!$I$4:$I$200,A37,'Mão de Obra e Serviços'!$G$4:$G$200)</f>
        <v>5000</v>
      </c>
      <c r="D37" s="30" t="n">
        <f aca="false">B37+C37</f>
        <v>11546.25</v>
      </c>
      <c r="E37" s="31" t="n">
        <f aca="false">$B$17</f>
        <v>0.906630543833019</v>
      </c>
      <c r="F37" s="30" t="n">
        <f aca="false">B37*$B$19</f>
        <v>12481.2801975669</v>
      </c>
      <c r="G37" s="31" t="n">
        <f aca="false">$B$18</f>
        <v>0.600544520166664</v>
      </c>
      <c r="H37" s="30" t="n">
        <f aca="false">C37*$B$20</f>
        <v>8002.72260083332</v>
      </c>
      <c r="I37" s="30" t="n">
        <f aca="false">F37+H37</f>
        <v>20484.0027984002</v>
      </c>
      <c r="J37" s="31" t="n">
        <f aca="false">IF($I$47=0,0,I37/$I$47)</f>
        <v>0.0603357961661273</v>
      </c>
    </row>
    <row r="38" customFormat="false" ht="15" hidden="false" customHeight="false" outlineLevel="0" collapsed="false">
      <c r="A38" s="16" t="s">
        <v>101</v>
      </c>
      <c r="B38" s="30" t="n">
        <f aca="false">SUMIF('Cotação de Materiais'!$B$4:$B$200,A38,'Cotação de Materiais'!$H$4:$H$200)</f>
        <v>9176.262</v>
      </c>
      <c r="C38" s="30" t="n">
        <f aca="false">SUMIF('Mão de Obra e Serviços'!$I$4:$I$200,A38,'Mão de Obra e Serviços'!$G$4:$G$200)</f>
        <v>7000</v>
      </c>
      <c r="D38" s="30" t="n">
        <f aca="false">B38+C38</f>
        <v>16176.262</v>
      </c>
      <c r="E38" s="31" t="n">
        <f aca="false">$B$17</f>
        <v>0.906630543833019</v>
      </c>
      <c r="F38" s="30" t="n">
        <f aca="false">B38*$B$19</f>
        <v>17495.7414074143</v>
      </c>
      <c r="G38" s="31" t="n">
        <f aca="false">$B$18</f>
        <v>0.600544520166664</v>
      </c>
      <c r="H38" s="30" t="n">
        <f aca="false">C38*$B$20</f>
        <v>11203.8116411666</v>
      </c>
      <c r="I38" s="30" t="n">
        <f aca="false">F38+H38</f>
        <v>28699.5530485809</v>
      </c>
      <c r="J38" s="31" t="n">
        <f aca="false">IF($I$47=0,0,I38/$I$47)</f>
        <v>0.0845347659752015</v>
      </c>
    </row>
    <row r="39" customFormat="false" ht="15" hidden="false" customHeight="false" outlineLevel="0" collapsed="false">
      <c r="A39" s="16" t="s">
        <v>102</v>
      </c>
      <c r="B39" s="30" t="n">
        <f aca="false">SUMIF('Cotação de Materiais'!$B$4:$B$200,A39,'Cotação de Materiais'!$H$4:$H$200)</f>
        <v>6741.02</v>
      </c>
      <c r="C39" s="30" t="n">
        <f aca="false">SUMIF('Mão de Obra e Serviços'!$I$4:$I$200,A39,'Mão de Obra e Serviços'!$G$4:$G$200)</f>
        <v>27961</v>
      </c>
      <c r="D39" s="30" t="n">
        <f aca="false">B39+C39</f>
        <v>34702.02</v>
      </c>
      <c r="E39" s="31" t="n">
        <f aca="false">$B$17</f>
        <v>0.906630543833019</v>
      </c>
      <c r="F39" s="30" t="n">
        <f aca="false">B39*$B$19</f>
        <v>12852.6346285893</v>
      </c>
      <c r="G39" s="31" t="n">
        <f aca="false">$B$18</f>
        <v>0.600544520166664</v>
      </c>
      <c r="H39" s="30" t="n">
        <f aca="false">C39*$B$20</f>
        <v>44752.8253283801</v>
      </c>
      <c r="I39" s="30" t="n">
        <f aca="false">F39+H39</f>
        <v>57605.4599569693</v>
      </c>
      <c r="J39" s="31" t="n">
        <f aca="false">IF($I$47=0,0,I39/$I$47)</f>
        <v>0.169677348915963</v>
      </c>
    </row>
    <row r="40" customFormat="false" ht="15" hidden="false" customHeight="false" outlineLevel="0" collapsed="false">
      <c r="A40" s="16" t="s">
        <v>103</v>
      </c>
      <c r="B40" s="30" t="n">
        <f aca="false">SUMIF('Cotação de Materiais'!$B$4:$B$200,A40,'Cotação de Materiais'!$H$4:$H$200)</f>
        <v>1376.71</v>
      </c>
      <c r="C40" s="30" t="n">
        <f aca="false">SUMIF('Mão de Obra e Serviços'!$I$4:$I$200,A40,'Mão de Obra e Serviços'!$G$4:$G$200)</f>
        <v>0</v>
      </c>
      <c r="D40" s="30" t="n">
        <f aca="false">B40+C40</f>
        <v>1376.71</v>
      </c>
      <c r="E40" s="31" t="n">
        <f aca="false">$B$17</f>
        <v>0.906630543833019</v>
      </c>
      <c r="F40" s="30" t="n">
        <f aca="false">B40*$B$19</f>
        <v>2624.87733600036</v>
      </c>
      <c r="G40" s="31" t="n">
        <f aca="false">$B$18</f>
        <v>0.600544520166664</v>
      </c>
      <c r="H40" s="30" t="n">
        <f aca="false">C40*$B$20</f>
        <v>0</v>
      </c>
      <c r="I40" s="30" t="n">
        <f aca="false">F40+H40</f>
        <v>2624.87733600036</v>
      </c>
      <c r="J40" s="31" t="n">
        <f aca="false">IF($I$47=0,0,I40/$I$47)</f>
        <v>0.00773159745508205</v>
      </c>
    </row>
    <row r="41" customFormat="false" ht="15" hidden="false" customHeight="false" outlineLevel="0" collapsed="false">
      <c r="A41" s="16" t="s">
        <v>104</v>
      </c>
      <c r="B41" s="30" t="n">
        <f aca="false">SUMIF('Cotação de Materiais'!$B$4:$B$200,A41,'Cotação de Materiais'!$H$4:$H$200)</f>
        <v>13681.4592</v>
      </c>
      <c r="C41" s="30" t="n">
        <f aca="false">SUMIF('Mão de Obra e Serviços'!$I$4:$I$200,A41,'Mão de Obra e Serviços'!$G$4:$G$200)</f>
        <v>1500</v>
      </c>
      <c r="D41" s="30" t="n">
        <f aca="false">B41+C41</f>
        <v>15181.4592</v>
      </c>
      <c r="E41" s="31" t="n">
        <f aca="false">$B$17</f>
        <v>0.906630543833019</v>
      </c>
      <c r="F41" s="30" t="n">
        <f aca="false">B41*$B$19</f>
        <v>26085.4879949253</v>
      </c>
      <c r="G41" s="31" t="n">
        <f aca="false">$B$18</f>
        <v>0.600544520166664</v>
      </c>
      <c r="H41" s="30" t="n">
        <f aca="false">C41*$B$20</f>
        <v>2400.81678025</v>
      </c>
      <c r="I41" s="30" t="n">
        <f aca="false">F41+H41</f>
        <v>28486.3047751753</v>
      </c>
      <c r="J41" s="31" t="n">
        <f aca="false">IF($I$47=0,0,I41/$I$47)</f>
        <v>0.0839066414585427</v>
      </c>
    </row>
    <row r="42" customFormat="false" ht="15" hidden="false" customHeight="false" outlineLevel="0" collapsed="false">
      <c r="A42" s="16" t="s">
        <v>105</v>
      </c>
      <c r="B42" s="30" t="n">
        <f aca="false">SUMIF('Cotação de Materiais'!$B$4:$B$200,A42,'Cotação de Materiais'!$H$4:$H$200)</f>
        <v>10636.92</v>
      </c>
      <c r="C42" s="30" t="n">
        <f aca="false">SUMIF('Mão de Obra e Serviços'!$I$4:$I$200,A42,'Mão de Obra e Serviços'!$G$4:$G$200)</f>
        <v>0</v>
      </c>
      <c r="D42" s="30" t="n">
        <f aca="false">B42+C42</f>
        <v>10636.92</v>
      </c>
      <c r="E42" s="31" t="n">
        <f aca="false">$B$17</f>
        <v>0.906630543833019</v>
      </c>
      <c r="F42" s="30" t="n">
        <f aca="false">B42*$B$19</f>
        <v>20280.6765643083</v>
      </c>
      <c r="G42" s="31" t="n">
        <f aca="false">$B$18</f>
        <v>0.600544520166664</v>
      </c>
      <c r="H42" s="30" t="n">
        <f aca="false">C42*$B$20</f>
        <v>0</v>
      </c>
      <c r="I42" s="30" t="n">
        <f aca="false">F42+H42</f>
        <v>20280.6765643083</v>
      </c>
      <c r="J42" s="31" t="n">
        <f aca="false">IF($I$47=0,0,I42/$I$47)</f>
        <v>0.0597368970966372</v>
      </c>
    </row>
    <row r="43" customFormat="false" ht="15" hidden="false" customHeight="false" outlineLevel="0" collapsed="false">
      <c r="A43" s="16" t="s">
        <v>106</v>
      </c>
      <c r="B43" s="30" t="n">
        <f aca="false">SUMIF('Cotação de Materiais'!$B$4:$B$200,A43,'Cotação de Materiais'!$H$4:$H$200)</f>
        <v>7048.6</v>
      </c>
      <c r="C43" s="30" t="n">
        <f aca="false">SUMIF('Mão de Obra e Serviços'!$I$4:$I$200,A43,'Mão de Obra e Serviços'!$G$4:$G$200)</f>
        <v>0</v>
      </c>
      <c r="D43" s="30" t="n">
        <f aca="false">B43+C43</f>
        <v>7048.6</v>
      </c>
      <c r="E43" s="31" t="n">
        <f aca="false">$B$17</f>
        <v>0.906630543833019</v>
      </c>
      <c r="F43" s="30" t="n">
        <f aca="false">B43*$B$19</f>
        <v>13439.0760512614</v>
      </c>
      <c r="G43" s="31" t="n">
        <f aca="false">$B$18</f>
        <v>0.600544520166664</v>
      </c>
      <c r="H43" s="30" t="n">
        <f aca="false">C43*$B$20</f>
        <v>0</v>
      </c>
      <c r="I43" s="30" t="n">
        <f aca="false">F43+H43</f>
        <v>13439.0760512614</v>
      </c>
      <c r="J43" s="31" t="n">
        <f aca="false">IF($I$47=0,0,I43/$I$47)</f>
        <v>0.0395849073674858</v>
      </c>
    </row>
    <row r="44" customFormat="false" ht="15" hidden="false" customHeight="false" outlineLevel="0" collapsed="false">
      <c r="A44" s="16" t="s">
        <v>107</v>
      </c>
      <c r="B44" s="30" t="n">
        <f aca="false">SUMIF('Cotação de Materiais'!$B$4:$B$200,A44,'Cotação de Materiais'!$H$4:$H$200)</f>
        <v>1980</v>
      </c>
      <c r="C44" s="30" t="n">
        <f aca="false">SUMIF('Mão de Obra e Serviços'!$I$4:$I$200,A44,'Mão de Obra e Serviços'!$G$4:$G$200)</f>
        <v>0</v>
      </c>
      <c r="D44" s="30" t="n">
        <f aca="false">B44+C44</f>
        <v>1980</v>
      </c>
      <c r="E44" s="31" t="n">
        <f aca="false">$B$17</f>
        <v>0.906630543833019</v>
      </c>
      <c r="F44" s="30" t="n">
        <f aca="false">B44*$B$19</f>
        <v>3775.12847678938</v>
      </c>
      <c r="G44" s="31" t="n">
        <f aca="false">$B$18</f>
        <v>0.600544520166664</v>
      </c>
      <c r="H44" s="30" t="n">
        <f aca="false">C44*$B$20</f>
        <v>0</v>
      </c>
      <c r="I44" s="30" t="n">
        <f aca="false">F44+H44</f>
        <v>3775.12847678938</v>
      </c>
      <c r="J44" s="31" t="n">
        <f aca="false">IF($I$47=0,0,I44/$I$47)</f>
        <v>0.0111196715074798</v>
      </c>
    </row>
    <row r="45" customFormat="false" ht="15" hidden="false" customHeight="false" outlineLevel="0" collapsed="false">
      <c r="A45" s="16" t="s">
        <v>108</v>
      </c>
      <c r="B45" s="30" t="n">
        <f aca="false">SUMIF('Cotação de Materiais'!$B$4:$B$200,A45,'Cotação de Materiais'!$H$4:$H$200)</f>
        <v>0</v>
      </c>
      <c r="C45" s="30" t="n">
        <f aca="false">SUMIF('Mão de Obra e Serviços'!$I$4:$I$200,A45,'Mão de Obra e Serviços'!$G$4:$G$200)</f>
        <v>8100</v>
      </c>
      <c r="D45" s="30" t="n">
        <f aca="false">B45+C45</f>
        <v>8100</v>
      </c>
      <c r="E45" s="31" t="n">
        <f aca="false">$B$17</f>
        <v>0.906630543833019</v>
      </c>
      <c r="F45" s="30" t="n">
        <f aca="false">B45*$B$19</f>
        <v>0</v>
      </c>
      <c r="G45" s="31" t="n">
        <f aca="false">$B$18</f>
        <v>0.600544520166664</v>
      </c>
      <c r="H45" s="30" t="n">
        <f aca="false">C45*$B$20</f>
        <v>12964.41061335</v>
      </c>
      <c r="I45" s="30" t="n">
        <f aca="false">F45+H45</f>
        <v>12964.41061335</v>
      </c>
      <c r="J45" s="31" t="n">
        <f aca="false">IF($I$47=0,0,I45/$I$47)</f>
        <v>0.0381867764752577</v>
      </c>
    </row>
    <row r="46" customFormat="false" ht="15" hidden="false" customHeight="false" outlineLevel="0" collapsed="false">
      <c r="A46" s="16" t="s">
        <v>109</v>
      </c>
      <c r="B46" s="30" t="n">
        <f aca="false">SUMIF('Cotação de Materiais'!$B$4:$B$200,A46,'Cotação de Materiais'!$H$4:$H$200)</f>
        <v>0</v>
      </c>
      <c r="C46" s="30" t="n">
        <f aca="false">SUMIF('Mão de Obra e Serviços'!$I$4:$I$200,A46,'Mão de Obra e Serviços'!$G$4:$G$200)</f>
        <v>20801</v>
      </c>
      <c r="D46" s="30" t="n">
        <f aca="false">B46+C46</f>
        <v>20801</v>
      </c>
      <c r="E46" s="31" t="n">
        <f aca="false">$B$17</f>
        <v>0.906630543833019</v>
      </c>
      <c r="F46" s="30" t="n">
        <f aca="false">B46*$B$19</f>
        <v>0</v>
      </c>
      <c r="G46" s="31" t="n">
        <f aca="false">$B$18</f>
        <v>0.600544520166664</v>
      </c>
      <c r="H46" s="30" t="n">
        <f aca="false">C46*$B$20</f>
        <v>33292.9265639868</v>
      </c>
      <c r="I46" s="30" t="n">
        <f aca="false">F46+H46</f>
        <v>33292.9265639868</v>
      </c>
      <c r="J46" s="31" t="n">
        <f aca="false">IF($I$47=0,0,I46/$I$47)</f>
        <v>0.0980645848718314</v>
      </c>
    </row>
    <row r="47" customFormat="false" ht="15" hidden="false" customHeight="false" outlineLevel="0" collapsed="false">
      <c r="A47" s="32" t="s">
        <v>110</v>
      </c>
      <c r="B47" s="33" t="n">
        <f aca="false">SUM(B36:B46)</f>
        <v>78534.4812</v>
      </c>
      <c r="C47" s="33" t="n">
        <f aca="false">SUM(C36:C46)</f>
        <v>118562</v>
      </c>
      <c r="D47" s="33" t="n">
        <f aca="false">SUM(D36:D46)</f>
        <v>197096.4812</v>
      </c>
      <c r="F47" s="33" t="n">
        <f aca="false">SUM(F36:F46)</f>
        <v>149736.2406</v>
      </c>
      <c r="H47" s="33" t="n">
        <f aca="false">SUM(H36:H46)</f>
        <v>189763.7594</v>
      </c>
      <c r="I47" s="33" t="n">
        <f aca="false">SUM(I36:I46)</f>
        <v>339500</v>
      </c>
      <c r="J47" s="34" t="n">
        <f aca="false">SUM(J36:J46)</f>
        <v>1</v>
      </c>
    </row>
    <row r="48" customFormat="false" ht="15" hidden="false" customHeight="false" outlineLevel="0" collapsed="false">
      <c r="A48" s="14" t="s">
        <v>111</v>
      </c>
      <c r="D48" s="30" t="n">
        <f aca="false">ROUND(B6-D47,2)</f>
        <v>0</v>
      </c>
    </row>
  </sheetData>
  <mergeCells count="1">
    <mergeCell ref="C3:J3"/>
  </mergeCells>
  <conditionalFormatting sqref="B29">
    <cfRule type="cellIs" priority="2" operator="equal" aboveAverage="0" equalAverage="0" bottom="0" percent="0" rank="0" text="" dxfId="0">
      <formula>"SIM"</formula>
    </cfRule>
    <cfRule type="cellIs" priority="3" operator="notEqual" aboveAverage="0" equalAverage="0" bottom="0" percent="0" rank="0" text="" dxfId="1">
      <formula>"SIM"</formula>
    </cfRule>
  </conditionalFormatting>
  <conditionalFormatting sqref="B30">
    <cfRule type="cellIs" priority="4" operator="notEqual" aboveAverage="0" equalAverage="0" bottom="0" percent="0" rank="0" text="" dxfId="1">
      <formula>0</formula>
    </cfRule>
  </conditionalFormatting>
  <conditionalFormatting sqref="B31">
    <cfRule type="cellIs" priority="5" operator="greaterThan" aboveAverage="0" equalAverage="0" bottom="0" percent="0" rank="0" text="" dxfId="1">
      <formula>0</formula>
    </cfRule>
  </conditionalFormatting>
  <conditionalFormatting sqref="B32">
    <cfRule type="cellIs" priority="6" operator="notEqual" aboveAverage="0" equalAverage="0" bottom="0" percent="0" rank="0" text="" dxfId="1">
      <formula>1</formula>
    </cfRule>
  </conditionalFormatting>
  <conditionalFormatting sqref="B9">
    <cfRule type="cellIs" priority="7" operator="lessThan" aboveAverage="0" equalAverage="0" bottom="0" percent="0" rank="0" text="" dxfId="1">
      <formula>0</formula>
    </cfRule>
  </conditionalFormatting>
  <conditionalFormatting sqref="B27">
    <cfRule type="expression" priority="8" aboveAverage="0" equalAverage="0" bottom="0" percent="0" rank="0" text="" dxfId="1">
      <formula>ABS($B$27)&gt;5</formula>
    </cfRule>
  </conditionalFormatting>
  <conditionalFormatting sqref="D48">
    <cfRule type="cellIs" priority="9" operator="not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true" showRowColHeaders="true" showZeros="true" rightToLeft="false" tabSelected="false" showOutlineSymbols="true" defaultGridColor="true" view="normal" topLeftCell="B28" colorId="64" zoomScale="100" zoomScaleNormal="100" zoomScalePageLayoutView="100" workbookViewId="0">
      <selection pane="topLeft" activeCell="G44" activeCellId="0" sqref="G44"/>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37"/>
    <col collapsed="false" customWidth="true" hidden="false" outlineLevel="0" max="3" min="3" style="1" width="33"/>
    <col collapsed="false" customWidth="true" hidden="false" outlineLevel="0" max="4" min="4" style="1" width="50"/>
    <col collapsed="false" customWidth="true" hidden="false" outlineLevel="0" max="5" min="5" style="1" width="13"/>
    <col collapsed="false" customWidth="true" hidden="false" outlineLevel="0" max="6" min="6" style="1" width="12"/>
    <col collapsed="false" customWidth="true" hidden="false" outlineLevel="0" max="7" min="7" style="1" width="23"/>
    <col collapsed="false" customWidth="true" hidden="false" outlineLevel="0" max="8" min="8" style="1" width="37"/>
    <col collapsed="false" customWidth="true" hidden="false" outlineLevel="0" max="9" min="9" style="1" width="12"/>
    <col collapsed="false" customWidth="true" hidden="false" outlineLevel="0" max="11" min="10" style="1" width="50"/>
    <col collapsed="false" customWidth="true" hidden="false" outlineLevel="0" max="12" min="12" style="0" width="16"/>
  </cols>
  <sheetData>
    <row r="1" customFormat="false" ht="18.75" hidden="false" customHeight="true" outlineLevel="0" collapsed="false">
      <c r="A1" s="2" t="s">
        <v>112</v>
      </c>
    </row>
    <row r="3" customFormat="false" ht="15" hidden="false" customHeight="true" outlineLevel="0" collapsed="false">
      <c r="A3" s="35" t="s">
        <v>113</v>
      </c>
      <c r="B3" s="35" t="s">
        <v>89</v>
      </c>
      <c r="C3" s="35" t="s">
        <v>114</v>
      </c>
      <c r="D3" s="35" t="s">
        <v>115</v>
      </c>
      <c r="E3" s="35" t="s">
        <v>116</v>
      </c>
      <c r="F3" s="35" t="s">
        <v>117</v>
      </c>
      <c r="G3" s="35" t="s">
        <v>118</v>
      </c>
      <c r="H3" s="35" t="s">
        <v>119</v>
      </c>
      <c r="I3" s="35" t="s">
        <v>18</v>
      </c>
      <c r="J3" s="35" t="s">
        <v>120</v>
      </c>
      <c r="K3" s="35" t="s">
        <v>121</v>
      </c>
      <c r="L3" s="15" t="s">
        <v>122</v>
      </c>
    </row>
    <row r="4" customFormat="false" ht="15" hidden="false" customHeight="true" outlineLevel="0" collapsed="false">
      <c r="A4" s="36" t="s">
        <v>123</v>
      </c>
      <c r="B4" s="10" t="s">
        <v>99</v>
      </c>
      <c r="C4" s="10" t="s">
        <v>124</v>
      </c>
      <c r="D4" s="10" t="s">
        <v>125</v>
      </c>
      <c r="E4" s="37" t="n">
        <v>302</v>
      </c>
      <c r="F4" s="36" t="s">
        <v>126</v>
      </c>
      <c r="G4" s="38" t="n">
        <v>51.68</v>
      </c>
      <c r="H4" s="39" t="n">
        <f aca="false">IFERROR(E4*G4, 0)</f>
        <v>15607.36</v>
      </c>
      <c r="I4" s="36" t="inlineStr">
        <is>
          <t xml:space="preserve">EXPLÍCITO</t>
        </is>
      </c>
      <c r="J4" s="10" t="s">
        <v>127</v>
      </c>
      <c r="K4" s="10" t="inlineStr">
        <is>
          <t xml:space="preserve">Leo Madeiras R$ 262,90/chapa = R$ 51,68/m² (60 chapas)</t>
        </is>
      </c>
      <c r="L4" s="40" t="n">
        <f aca="false">SUMIFS('Rateio Anexo'!$H$6:$H$600,'Rateio Anexo'!$A$6:$A$600,A4,'Rateio Anexo'!$M$6:$M$600,"")</f>
        <v>1</v>
      </c>
    </row>
    <row r="5" customFormat="false" ht="15" hidden="false" customHeight="true" outlineLevel="0" collapsed="false">
      <c r="A5" s="36" t="s">
        <v>129</v>
      </c>
      <c r="B5" s="10" t="s">
        <v>99</v>
      </c>
      <c r="C5" s="10" t="s">
        <v>130</v>
      </c>
      <c r="D5" s="10" t="s">
        <v>131</v>
      </c>
      <c r="E5" s="37" t="n">
        <v>45</v>
      </c>
      <c r="F5" s="36" t="s">
        <v>126</v>
      </c>
      <c r="G5" s="38" t="n">
        <v>33.42</v>
      </c>
      <c r="H5" s="39" t="n">
        <f aca="false">IFERROR(E5*G5, 0)</f>
        <v>1503.9</v>
      </c>
      <c r="I5" s="36" t="inlineStr">
        <is>
          <t xml:space="preserve">PENDENTE</t>
        </is>
      </c>
      <c r="J5" s="10" t="s">
        <v>132</v>
      </c>
      <c r="K5" s="10" t="inlineStr">
        <is>
          <t xml:space="preserve">MDF Comum 10mm — R$ 170,00/chapa = R$ 33,42/m² (~9 chapas)</t>
        </is>
      </c>
      <c r="L5" s="40" t="n">
        <f aca="false">SUMIFS('Rateio Anexo'!$H$6:$H$600,'Rateio Anexo'!$A$6:$A$600,A5,'Rateio Anexo'!$M$6:$M$600,"")</f>
        <v>1</v>
      </c>
    </row>
    <row r="6" customFormat="false" ht="15" hidden="false" customHeight="true" outlineLevel="0" collapsed="false">
      <c r="A6" s="36" t="s">
        <v>134</v>
      </c>
      <c r="B6" s="10" t="s">
        <v>99</v>
      </c>
      <c r="C6" s="10" t="s">
        <v>135</v>
      </c>
      <c r="D6" s="10" t="s">
        <v>136</v>
      </c>
      <c r="E6" s="37" t="n">
        <v>30</v>
      </c>
      <c r="F6" s="36" t="s">
        <v>126</v>
      </c>
      <c r="G6" s="38" t="n">
        <v>33.2</v>
      </c>
      <c r="H6" s="39" t="n">
        <f aca="false">IFERROR(E6*G6, 0)</f>
        <v>996</v>
      </c>
      <c r="I6" s="36" t="inlineStr">
        <is>
          <t xml:space="preserve">PENDENTE</t>
        </is>
      </c>
      <c r="J6" s="10" t="s">
        <v>137</v>
      </c>
      <c r="K6" s="10" t="inlineStr">
        <is>
          <t xml:space="preserve">15m² de 6mm (~3 chapas) + 15m² de 15mm (~3 chapas)</t>
        </is>
      </c>
      <c r="L6" s="40" t="n">
        <f aca="false">SUMIFS('Rateio Anexo'!$H$6:$H$600,'Rateio Anexo'!$A$6:$A$600,A6,'Rateio Anexo'!$M$6:$M$600,"")</f>
        <v>1</v>
      </c>
    </row>
    <row r="7" customFormat="false" ht="15" hidden="false" customHeight="true" outlineLevel="0" collapsed="false">
      <c r="A7" s="36" t="s">
        <v>139</v>
      </c>
      <c r="B7" s="10" t="s">
        <v>99</v>
      </c>
      <c r="C7" s="10" t="s">
        <v>140</v>
      </c>
      <c r="D7" s="10" t="s">
        <v>141</v>
      </c>
      <c r="E7" s="37" t="n">
        <v>180</v>
      </c>
      <c r="F7" s="36" t="s">
        <v>142</v>
      </c>
      <c r="G7" s="38" t="n">
        <v>18</v>
      </c>
      <c r="H7" s="39" t="n">
        <f aca="false">IFERROR(E7*G7, 0)</f>
        <v>3240</v>
      </c>
      <c r="I7" s="36" t="inlineStr">
        <is>
          <t xml:space="preserve">DERIVADO</t>
        </is>
      </c>
      <c r="J7" s="10" t="s">
        <v>143</v>
      </c>
      <c r="K7" s="10" t="inlineStr">
        <is>
          <t xml:space="preserve">Sarrafo de pinus/cedrinho 5x5cm (R$ 18,00/m)</t>
        </is>
      </c>
      <c r="L7" s="40" t="n">
        <f aca="false">SUMIFS('Rateio Anexo'!$H$6:$H$600,'Rateio Anexo'!$A$6:$A$600,A7,'Rateio Anexo'!$M$6:$M$600,"")</f>
        <v>1</v>
      </c>
    </row>
    <row r="8" customFormat="false" ht="15" hidden="false" customHeight="true" outlineLevel="0" collapsed="false">
      <c r="A8" s="36" t="s">
        <v>145</v>
      </c>
      <c r="B8" s="10" t="s">
        <v>100</v>
      </c>
      <c r="C8" s="10" t="s">
        <v>146</v>
      </c>
      <c r="D8" s="10" t="s">
        <v>147</v>
      </c>
      <c r="E8" s="37" t="n">
        <v>47</v>
      </c>
      <c r="F8" s="36" t="s">
        <v>142</v>
      </c>
      <c r="G8" s="38" t="n">
        <v>70</v>
      </c>
      <c r="H8" s="39" t="n">
        <f aca="false">IFERROR(E8*G8, 0)</f>
        <v>3290</v>
      </c>
      <c r="I8" s="36" t="inlineStr">
        <is>
          <t xml:space="preserve">PENDENTE</t>
        </is>
      </c>
      <c r="J8" s="10" t="s">
        <v>148</v>
      </c>
      <c r="K8" s="10" t="inlineStr">
        <is>
          <t xml:space="preserve">47m de tubo = 332,29 kg de aço</t>
        </is>
      </c>
      <c r="L8" s="40" t="n">
        <f aca="false">SUMIFS('Rateio Anexo'!$H$6:$H$600,'Rateio Anexo'!$A$6:$A$600,A8,'Rateio Anexo'!$M$6:$M$600,"")</f>
        <v>1</v>
      </c>
    </row>
    <row r="9" customFormat="false" ht="15" hidden="false" customHeight="true" outlineLevel="0" collapsed="false">
      <c r="A9" s="36" t="s">
        <v>150</v>
      </c>
      <c r="B9" s="10" t="s">
        <v>100</v>
      </c>
      <c r="C9" s="10" t="s">
        <v>151</v>
      </c>
      <c r="D9" s="10" t="s">
        <v>152</v>
      </c>
      <c r="E9" s="37" t="n">
        <v>25</v>
      </c>
      <c r="F9" s="36" t="s">
        <v>142</v>
      </c>
      <c r="G9" s="38" t="n">
        <v>45.85</v>
      </c>
      <c r="H9" s="39" t="n">
        <f aca="false">IFERROR(E9*G9, 0)</f>
        <v>1146.25</v>
      </c>
      <c r="I9" s="36" t="inlineStr">
        <is>
          <t xml:space="preserve">DERIVADO</t>
        </is>
      </c>
      <c r="J9" s="10" t="s">
        <v>153</v>
      </c>
      <c r="K9" s="10" t="inlineStr">
        <is>
          <t xml:space="preserve">25m de tubo = 110,75 kg de aço (Barra 6m R$ 275,08)</t>
        </is>
      </c>
      <c r="L9" s="40" t="n">
        <f aca="false">SUMIFS('Rateio Anexo'!$H$6:$H$600,'Rateio Anexo'!$A$6:$A$600,A9,'Rateio Anexo'!$M$6:$M$600,"")</f>
        <v>1</v>
      </c>
    </row>
    <row r="10" customFormat="false" ht="15" hidden="false" customHeight="true" outlineLevel="0" collapsed="false">
      <c r="A10" s="36" t="s">
        <v>155</v>
      </c>
      <c r="B10" s="10" t="s">
        <v>100</v>
      </c>
      <c r="C10" s="10" t="s">
        <v>156</v>
      </c>
      <c r="D10" s="10" t="s">
        <v>157</v>
      </c>
      <c r="E10" s="37" t="n">
        <v>2</v>
      </c>
      <c r="F10" s="36" t="s">
        <v>158</v>
      </c>
      <c r="G10" s="38" t="n">
        <v>450</v>
      </c>
      <c r="H10" s="39" t="n">
        <f aca="false">IFERROR(E10*G10, 0)</f>
        <v>900</v>
      </c>
      <c r="I10" s="36" t="inlineStr">
        <is>
          <t xml:space="preserve">EXPLÍCITO</t>
        </is>
      </c>
      <c r="J10" s="10" t="s">
        <v>159</v>
      </c>
      <c r="K10" s="10" t="inlineStr">
        <is>
          <t xml:space="preserve">Conjunto de 2 molduras S01</t>
        </is>
      </c>
      <c r="L10" s="40" t="n">
        <f aca="false">SUMIFS('Rateio Anexo'!$H$6:$H$600,'Rateio Anexo'!$A$6:$A$600,A10,'Rateio Anexo'!$M$6:$M$600,"")</f>
        <v>1</v>
      </c>
    </row>
    <row r="11" customFormat="false" ht="15" hidden="false" customHeight="true" outlineLevel="0" collapsed="false">
      <c r="A11" s="36" t="s">
        <v>161</v>
      </c>
      <c r="B11" s="10" t="s">
        <v>100</v>
      </c>
      <c r="C11" s="10" t="s">
        <v>162</v>
      </c>
      <c r="D11" s="10" t="s">
        <v>163</v>
      </c>
      <c r="E11" s="37" t="n">
        <v>2</v>
      </c>
      <c r="F11" s="36" t="s">
        <v>158</v>
      </c>
      <c r="G11" s="38" t="n">
        <v>280</v>
      </c>
      <c r="H11" s="39" t="n">
        <f aca="false">IFERROR(E11*G11, 0)</f>
        <v>560</v>
      </c>
      <c r="I11" s="36" t="inlineStr">
        <is>
          <t xml:space="preserve">EXPLÍCITO</t>
        </is>
      </c>
      <c r="J11" s="10" t="s">
        <v>164</v>
      </c>
      <c r="K11" s="10" t="inlineStr">
        <is>
          <t xml:space="preserve">Conjunto de 2 mãos-francesas S02</t>
        </is>
      </c>
      <c r="L11" s="40" t="n">
        <f aca="false">SUMIFS('Rateio Anexo'!$H$6:$H$600,'Rateio Anexo'!$A$6:$A$600,A11,'Rateio Anexo'!$M$6:$M$600,"")</f>
        <v>1</v>
      </c>
    </row>
    <row r="12" customFormat="false" ht="15" hidden="false" customHeight="true" outlineLevel="0" collapsed="false">
      <c r="A12" s="36" t="s">
        <v>166</v>
      </c>
      <c r="B12" s="10" t="s">
        <v>100</v>
      </c>
      <c r="C12" s="10" t="s">
        <v>167</v>
      </c>
      <c r="D12" s="10" t="s">
        <v>168</v>
      </c>
      <c r="E12" s="37" t="n">
        <v>8</v>
      </c>
      <c r="F12" s="36" t="s">
        <v>158</v>
      </c>
      <c r="G12" s="38" t="n">
        <v>65</v>
      </c>
      <c r="H12" s="39" t="n">
        <f aca="false">IFERROR(E12*G12, 0)</f>
        <v>520</v>
      </c>
      <c r="I12" s="36" t="inlineStr">
        <is>
          <t xml:space="preserve">EXPLÍCITO</t>
        </is>
      </c>
      <c r="J12" s="10" t="s">
        <v>169</v>
      </c>
      <c r="K12" s="10" t="inlineStr">
        <is>
          <t xml:space="preserve">Placas de fixação superior e inferior</t>
        </is>
      </c>
      <c r="L12" s="40" t="n">
        <f aca="false">SUMIFS('Rateio Anexo'!$H$6:$H$600,'Rateio Anexo'!$A$6:$A$600,A12,'Rateio Anexo'!$M$6:$M$600,"")</f>
        <v>1</v>
      </c>
    </row>
    <row r="13" customFormat="false" ht="15" hidden="false" customHeight="true" outlineLevel="0" collapsed="false">
      <c r="A13" s="36" t="s">
        <v>171</v>
      </c>
      <c r="B13" s="10" t="s">
        <v>100</v>
      </c>
      <c r="C13" s="10" t="s">
        <v>172</v>
      </c>
      <c r="D13" s="10" t="s">
        <v>173</v>
      </c>
      <c r="E13" s="37" t="n">
        <v>2</v>
      </c>
      <c r="F13" s="36" t="s">
        <v>158</v>
      </c>
      <c r="G13" s="38" t="n">
        <v>65</v>
      </c>
      <c r="H13" s="39" t="n">
        <f aca="false">IFERROR(E13*G13, 0)</f>
        <v>130</v>
      </c>
      <c r="I13" s="36" t="inlineStr">
        <is>
          <t xml:space="preserve">PENDENTE</t>
        </is>
      </c>
      <c r="J13" s="10" t="s">
        <v>174</v>
      </c>
      <c r="K13" s="10" t="inlineStr">
        <is>
          <t xml:space="preserve">Perfil de alumínio 16x16mm + difusor PMMA</t>
        </is>
      </c>
      <c r="L13" s="40" t="n">
        <f aca="false">SUMIFS('Rateio Anexo'!$H$6:$H$600,'Rateio Anexo'!$A$6:$A$600,A13,'Rateio Anexo'!$M$6:$M$600,"")</f>
        <v>1</v>
      </c>
    </row>
    <row r="14" customFormat="false" ht="15" hidden="false" customHeight="true" outlineLevel="0" collapsed="false">
      <c r="A14" s="36" t="s">
        <v>176</v>
      </c>
      <c r="B14" s="10" t="s">
        <v>101</v>
      </c>
      <c r="C14" s="10" t="s">
        <v>177</v>
      </c>
      <c r="D14" s="10" t="s">
        <v>178</v>
      </c>
      <c r="E14" s="37" t="n">
        <v>1</v>
      </c>
      <c r="F14" s="36" t="s">
        <v>158</v>
      </c>
      <c r="G14" s="38" t="n">
        <v>1850</v>
      </c>
      <c r="H14" s="39" t="n">
        <f aca="false">IFERROR(E14*G14, 0)</f>
        <v>1850</v>
      </c>
      <c r="I14" s="36" t="inlineStr">
        <is>
          <t xml:space="preserve">PENDENTE</t>
        </is>
      </c>
      <c r="J14" s="10" t="s">
        <v>179</v>
      </c>
      <c r="K14" s="10" t="inlineStr">
        <is>
          <t xml:space="preserve">Quadro provisório completo com barramento 80A</t>
        </is>
      </c>
      <c r="L14" s="40" t="n">
        <f aca="false">SUMIFS('Rateio Anexo'!$H$6:$H$600,'Rateio Anexo'!$A$6:$A$600,A14,'Rateio Anexo'!$M$6:$M$600,"")</f>
        <v>1</v>
      </c>
    </row>
    <row r="15" customFormat="false" ht="15" hidden="false" customHeight="true" outlineLevel="0" collapsed="false">
      <c r="A15" s="36" t="s">
        <v>181</v>
      </c>
      <c r="B15" s="10" t="s">
        <v>101</v>
      </c>
      <c r="C15" s="10" t="s">
        <v>182</v>
      </c>
      <c r="D15" s="10" t="s">
        <v>183</v>
      </c>
      <c r="E15" s="37" t="n">
        <v>45</v>
      </c>
      <c r="F15" s="36" t="s">
        <v>142</v>
      </c>
      <c r="G15" s="38" t="n">
        <v>14.67</v>
      </c>
      <c r="H15" s="39" t="n">
        <f aca="false">IFERROR(E15*G15, 0)</f>
        <v>660.15</v>
      </c>
      <c r="I15" s="36" t="inlineStr">
        <is>
          <t xml:space="preserve">EXPLÍCITO</t>
        </is>
      </c>
      <c r="J15" s="10" t="s">
        <v>184</v>
      </c>
      <c r="K15" s="10" t="inlineStr">
        <is>
          <t xml:space="preserve">Cabo Prysmian Afumex 10 mm² (R$ 14,67/m)</t>
        </is>
      </c>
      <c r="L15" s="40" t="n">
        <f aca="false">SUMIFS('Rateio Anexo'!$H$6:$H$600,'Rateio Anexo'!$A$6:$A$600,A15,'Rateio Anexo'!$M$6:$M$600,"")</f>
        <v>1</v>
      </c>
    </row>
    <row r="16" customFormat="false" ht="15" hidden="false" customHeight="true" outlineLevel="0" collapsed="false">
      <c r="A16" s="36" t="s">
        <v>186</v>
      </c>
      <c r="B16" s="10" t="s">
        <v>101</v>
      </c>
      <c r="C16" s="10" t="s">
        <v>187</v>
      </c>
      <c r="D16" s="10" t="s">
        <v>188</v>
      </c>
      <c r="E16" s="37" t="n">
        <v>8</v>
      </c>
      <c r="F16" s="36" t="s">
        <v>158</v>
      </c>
      <c r="G16" s="38" t="n">
        <v>120</v>
      </c>
      <c r="H16" s="39" t="n">
        <f aca="false">IFERROR(E16*G16, 0)</f>
        <v>960</v>
      </c>
      <c r="I16" s="36" t="inlineStr">
        <is>
          <t xml:space="preserve">EXPLÍCITO</t>
        </is>
      </c>
      <c r="J16" s="10" t="s">
        <v>189</v>
      </c>
      <c r="K16" s="10" t="inlineStr">
        <is>
          <t xml:space="preserve">Conjunto de disjuntores DIN e DR</t>
        </is>
      </c>
      <c r="L16" s="40" t="n">
        <f aca="false">SUMIFS('Rateio Anexo'!$H$6:$H$600,'Rateio Anexo'!$A$6:$A$600,A16,'Rateio Anexo'!$M$6:$M$600,"")</f>
        <v>1</v>
      </c>
    </row>
    <row r="17" customFormat="false" ht="15" hidden="false" customHeight="true" outlineLevel="0" collapsed="false">
      <c r="A17" s="36" t="s">
        <v>191</v>
      </c>
      <c r="B17" s="10" t="s">
        <v>101</v>
      </c>
      <c r="C17" s="10" t="s">
        <v>192</v>
      </c>
      <c r="D17" s="10" t="s">
        <v>193</v>
      </c>
      <c r="E17" s="37" t="n">
        <v>250</v>
      </c>
      <c r="F17" s="36" t="s">
        <v>142</v>
      </c>
      <c r="G17" s="38" t="n">
        <v>15.95</v>
      </c>
      <c r="H17" s="39" t="n">
        <f aca="false">IFERROR(E17*G17, 0)</f>
        <v>3987.5</v>
      </c>
      <c r="I17" s="36" t="inlineStr">
        <is>
          <t xml:space="preserve">EXPLÍCITO</t>
        </is>
      </c>
      <c r="J17" s="10" t="s">
        <v>194</v>
      </c>
      <c r="K17" s="10" t="inlineStr">
        <is>
          <t xml:space="preserve">Cabo PP Afumex 3x2,5 mm² (R$ 15,95/m)</t>
        </is>
      </c>
      <c r="L17" s="40" t="n">
        <f aca="false">SUMIFS('Rateio Anexo'!$H$6:$H$600,'Rateio Anexo'!$A$6:$A$600,A17,'Rateio Anexo'!$M$6:$M$600,"")</f>
        <v>1</v>
      </c>
    </row>
    <row r="18" customFormat="false" ht="15" hidden="false" customHeight="true" outlineLevel="0" collapsed="false">
      <c r="A18" s="36" t="s">
        <v>196</v>
      </c>
      <c r="B18" s="10" t="s">
        <v>101</v>
      </c>
      <c r="C18" s="10" t="s">
        <v>197</v>
      </c>
      <c r="D18" s="10" t="s">
        <v>198</v>
      </c>
      <c r="E18" s="37" t="n">
        <v>2.2</v>
      </c>
      <c r="F18" s="36" t="s">
        <v>142</v>
      </c>
      <c r="G18" s="38" t="n">
        <v>34.6</v>
      </c>
      <c r="H18" s="39" t="n">
        <f aca="false">IFERROR(E18*G18, 0)</f>
        <v>76.12</v>
      </c>
      <c r="I18" s="36" t="inlineStr">
        <is>
          <t xml:space="preserve">EXPLÍCITO</t>
        </is>
      </c>
      <c r="J18" s="10" t="s">
        <v>199</v>
      </c>
      <c r="K18" s="10" t="inlineStr">
        <is>
          <t xml:space="preserve">Fita LED Gaya 18W/m 12V 3000K (R$ 34,60/m)</t>
        </is>
      </c>
      <c r="L18" s="40" t="n">
        <f aca="false">SUMIFS('Rateio Anexo'!$H$6:$H$600,'Rateio Anexo'!$A$6:$A$600,A18,'Rateio Anexo'!$M$6:$M$600,"")</f>
        <v>1</v>
      </c>
    </row>
    <row r="19" customFormat="false" ht="15" hidden="false" customHeight="true" outlineLevel="0" collapsed="false">
      <c r="A19" s="36" t="s">
        <v>201</v>
      </c>
      <c r="B19" s="10" t="s">
        <v>101</v>
      </c>
      <c r="C19" s="10" t="s">
        <v>202</v>
      </c>
      <c r="D19" s="10" t="s">
        <v>203</v>
      </c>
      <c r="E19" s="37" t="n">
        <v>3.6</v>
      </c>
      <c r="F19" s="36" t="s">
        <v>142</v>
      </c>
      <c r="G19" s="38" t="n">
        <v>28.97</v>
      </c>
      <c r="H19" s="39" t="n">
        <f aca="false">IFERROR(E19*G19, 0)</f>
        <v>104.29</v>
      </c>
      <c r="I19" s="36" t="inlineStr">
        <is>
          <t xml:space="preserve">EXPLÍCITO</t>
        </is>
      </c>
      <c r="J19" s="10" t="s">
        <v>204</v>
      </c>
      <c r="K19" s="10" t="inlineStr">
        <is>
          <t xml:space="preserve">Fita LED COB 10W/m IRC&gt;90 3000K (R$ 28,97/m)</t>
        </is>
      </c>
      <c r="L19" s="40" t="n">
        <f aca="false">SUMIFS('Rateio Anexo'!$H$6:$H$600,'Rateio Anexo'!$A$6:$A$600,A19,'Rateio Anexo'!$M$6:$M$600,"")</f>
        <v>1</v>
      </c>
    </row>
    <row r="20" customFormat="false" ht="15" hidden="false" customHeight="true" outlineLevel="0" collapsed="false">
      <c r="A20" s="36" t="s">
        <v>206</v>
      </c>
      <c r="B20" s="10" t="s">
        <v>101</v>
      </c>
      <c r="C20" s="10" t="s">
        <v>207</v>
      </c>
      <c r="D20" s="10" t="s">
        <v>208</v>
      </c>
      <c r="E20" s="37" t="n">
        <v>1</v>
      </c>
      <c r="F20" s="36" t="s">
        <v>209</v>
      </c>
      <c r="G20" s="38" t="n">
        <v>45.1</v>
      </c>
      <c r="H20" s="39" t="n">
        <f aca="false">IFERROR(E20*G20, 0)</f>
        <v>45.1</v>
      </c>
      <c r="I20" s="36" t="inlineStr">
        <is>
          <t xml:space="preserve">EXPLÍCITO</t>
        </is>
      </c>
      <c r="J20" s="10" t="s">
        <v>210</v>
      </c>
      <c r="K20" s="10" t="inlineStr">
        <is>
          <t xml:space="preserve">Eletrofita 3 pistas / 20A (R$ 45,10/m)</t>
        </is>
      </c>
      <c r="L20" s="40" t="n">
        <f aca="false">SUMIFS('Rateio Anexo'!$H$6:$H$600,'Rateio Anexo'!$A$6:$A$600,A20,'Rateio Anexo'!$M$6:$M$600,"")</f>
        <v>1</v>
      </c>
    </row>
    <row r="21" customFormat="false" ht="15" hidden="false" customHeight="true" outlineLevel="0" collapsed="false">
      <c r="A21" s="36" t="s">
        <v>212</v>
      </c>
      <c r="B21" s="10" t="s">
        <v>101</v>
      </c>
      <c r="C21" s="10" t="s">
        <v>213</v>
      </c>
      <c r="D21" s="10" t="s">
        <v>214</v>
      </c>
      <c r="E21" s="37" t="n">
        <v>30</v>
      </c>
      <c r="F21" s="36" t="s">
        <v>142</v>
      </c>
      <c r="G21" s="38" t="n">
        <v>49.77</v>
      </c>
      <c r="H21" s="39" t="n">
        <f aca="false">IFERROR(E21*G21, 0)</f>
        <v>1493.1</v>
      </c>
      <c r="I21" s="36" t="inlineStr">
        <is>
          <t xml:space="preserve">DERIVADO</t>
        </is>
      </c>
      <c r="J21" s="10" t="s">
        <v>215</v>
      </c>
      <c r="K21" s="10" t="inlineStr">
        <is>
          <t xml:space="preserve">Eletroduto galv. a fogo 3/4" R$ 14,77/m + Calha R$ 35,00/m</t>
        </is>
      </c>
      <c r="L21" s="40" t="n">
        <f aca="false">SUMIFS('Rateio Anexo'!$H$6:$H$600,'Rateio Anexo'!$A$6:$A$600,A21,'Rateio Anexo'!$M$6:$M$600,"")</f>
        <v>1</v>
      </c>
    </row>
    <row r="22" customFormat="false" ht="15" hidden="false" customHeight="true" outlineLevel="0" collapsed="false">
      <c r="A22" s="36" t="s">
        <v>217</v>
      </c>
      <c r="B22" s="10" t="s">
        <v>102</v>
      </c>
      <c r="C22" s="10" t="s">
        <v>218</v>
      </c>
      <c r="D22" s="10" t="s">
        <v>219</v>
      </c>
      <c r="E22" s="37" t="n">
        <v>2</v>
      </c>
      <c r="F22" s="36" t="s">
        <v>158</v>
      </c>
      <c r="G22" s="38" t="n">
        <v>609.1</v>
      </c>
      <c r="H22" s="39" t="n">
        <f aca="false">IFERROR(E22*G22, 0)</f>
        <v>1218.2</v>
      </c>
      <c r="I22" s="36" t="inlineStr">
        <is>
          <t xml:space="preserve">EXPLÍCITO</t>
        </is>
      </c>
      <c r="J22" s="10" t="s">
        <v>220</v>
      </c>
      <c r="K22" s="10" t="inlineStr">
        <is>
          <t xml:space="preserve">Suvinil Fosca Terra Roxa 18L — R$ 609,10/lata</t>
        </is>
      </c>
      <c r="L22" s="40" t="n">
        <f aca="false">SUMIFS('Rateio Anexo'!$H$6:$H$600,'Rateio Anexo'!$A$6:$A$600,A22,'Rateio Anexo'!$M$6:$M$600,"")</f>
        <v>1</v>
      </c>
    </row>
    <row r="23" customFormat="false" ht="15" hidden="false" customHeight="true" outlineLevel="0" collapsed="false">
      <c r="A23" s="36" t="s">
        <v>222</v>
      </c>
      <c r="B23" s="10" t="s">
        <v>102</v>
      </c>
      <c r="C23" s="10" t="s">
        <v>223</v>
      </c>
      <c r="D23" s="10" t="s">
        <v>219</v>
      </c>
      <c r="E23" s="37" t="n">
        <v>3</v>
      </c>
      <c r="F23" s="36" t="s">
        <v>158</v>
      </c>
      <c r="G23" s="38" t="n">
        <v>609.1</v>
      </c>
      <c r="H23" s="39" t="n">
        <f aca="false">IFERROR(E23*G23, 0)</f>
        <v>1827.3</v>
      </c>
      <c r="I23" s="36" t="inlineStr">
        <is>
          <t xml:space="preserve">DERIVADO</t>
        </is>
      </c>
      <c r="J23" s="10" t="s">
        <v>224</v>
      </c>
      <c r="K23" s="10" t="inlineStr">
        <is>
          <t xml:space="preserve">Suvinil Fosca Papel de Seda 18L — R$ 609,10/lata</t>
        </is>
      </c>
      <c r="L23" s="40" t="n">
        <f aca="false">SUMIFS('Rateio Anexo'!$H$6:$H$600,'Rateio Anexo'!$A$6:$A$600,A23,'Rateio Anexo'!$M$6:$M$600,"")</f>
        <v>1</v>
      </c>
    </row>
    <row r="24" customFormat="false" ht="15" hidden="false" customHeight="true" outlineLevel="0" collapsed="false">
      <c r="A24" s="36" t="s">
        <v>226</v>
      </c>
      <c r="B24" s="10" t="s">
        <v>102</v>
      </c>
      <c r="C24" s="10" t="s">
        <v>227</v>
      </c>
      <c r="D24" s="10" t="s">
        <v>228</v>
      </c>
      <c r="E24" s="37" t="n">
        <v>6</v>
      </c>
      <c r="F24" s="36" t="s">
        <v>158</v>
      </c>
      <c r="G24" s="38" t="n">
        <v>615.92</v>
      </c>
      <c r="H24" s="39" t="n">
        <f aca="false">IFERROR(E24*G24, 0)</f>
        <v>3695.52</v>
      </c>
      <c r="I24" s="36" t="inlineStr">
        <is>
          <t xml:space="preserve">EXPLÍCITO</t>
        </is>
      </c>
      <c r="J24" s="10" t="s">
        <v>229</v>
      </c>
      <c r="K24" s="10" t="inlineStr">
        <is>
          <t xml:space="preserve">Suvinil Fosca Branca 18L — R$ 615,92/lata</t>
        </is>
      </c>
      <c r="L24" s="40" t="n">
        <f aca="false">SUMIFS('Rateio Anexo'!$H$6:$H$600,'Rateio Anexo'!$A$6:$A$600,A24,'Rateio Anexo'!$M$6:$M$600,"")</f>
        <v>1</v>
      </c>
    </row>
    <row r="25" customFormat="false" ht="15" hidden="false" customHeight="true" outlineLevel="0" collapsed="false">
      <c r="A25" s="36" t="s">
        <v>231</v>
      </c>
      <c r="B25" s="10" t="s">
        <v>103</v>
      </c>
      <c r="C25" s="10" t="s">
        <v>232</v>
      </c>
      <c r="D25" s="10" t="s">
        <v>233</v>
      </c>
      <c r="E25" s="37" t="n">
        <v>1</v>
      </c>
      <c r="F25" s="36" t="s">
        <v>234</v>
      </c>
      <c r="G25" s="38" t="n">
        <v>1376.71</v>
      </c>
      <c r="H25" s="39" t="n">
        <f aca="false">IFERROR(E25*G25, 0)</f>
        <v>1376.71</v>
      </c>
      <c r="I25" s="36" t="inlineStr">
        <is>
          <t xml:space="preserve">FECHADO</t>
        </is>
      </c>
      <c r="J25" s="10" t="s">
        <v>235</v>
      </c>
      <c r="K25" s="10" t="inlineStr">
        <is>
          <t xml:space="preserve">Custo fechado de R$ 1.376,71 por peça. Demais vidros/acrílicos do projeto são acervo SESC — fora do escopo de fornecimento.</t>
        </is>
      </c>
      <c r="L25" s="40" t="n">
        <f aca="false">SUMIFS('Rateio Anexo'!$H$6:$H$600,'Rateio Anexo'!$A$6:$A$600,A25,'Rateio Anexo'!$M$6:$M$600,"")</f>
        <v>1</v>
      </c>
    </row>
    <row r="26" customFormat="false" ht="15" hidden="true" customHeight="true" outlineLevel="0" collapsed="false">
      <c r="A26" s="36"/>
      <c r="B26" s="10"/>
      <c r="C26" s="10"/>
      <c r="D26" s="10"/>
      <c r="E26" s="37"/>
      <c r="F26" s="36"/>
      <c r="G26" s="38"/>
      <c r="H26" s="39"/>
      <c r="I26" s="36"/>
      <c r="J26" s="10"/>
      <c r="K26" s="10"/>
    </row>
    <row r="27" customFormat="false" ht="15" hidden="true" customHeight="true" outlineLevel="0" collapsed="false">
      <c r="A27" s="36"/>
      <c r="B27" s="10"/>
      <c r="C27" s="10"/>
      <c r="D27" s="10"/>
      <c r="E27" s="37"/>
      <c r="F27" s="36"/>
      <c r="G27" s="38"/>
      <c r="H27" s="39"/>
      <c r="I27" s="36"/>
      <c r="J27" s="10"/>
      <c r="K27" s="10"/>
    </row>
    <row r="28" customFormat="false" ht="15" hidden="false" customHeight="true" outlineLevel="0" collapsed="false">
      <c r="A28" s="36" t="s">
        <v>237</v>
      </c>
      <c r="B28" s="10" t="s">
        <v>104</v>
      </c>
      <c r="C28" s="10" t="s">
        <v>238</v>
      </c>
      <c r="D28" s="10" t="s">
        <v>239</v>
      </c>
      <c r="E28" s="37" t="n">
        <v>72.96</v>
      </c>
      <c r="F28" s="36" t="s">
        <v>126</v>
      </c>
      <c r="G28" s="38" t="n">
        <v>112.52</v>
      </c>
      <c r="H28" s="39" t="n">
        <f aca="false">IFERROR(E28*G28, 0)</f>
        <v>8209.46</v>
      </c>
      <c r="I28" s="36" t="inlineStr">
        <is>
          <t xml:space="preserve">FECHADO</t>
        </is>
      </c>
      <c r="J28" s="10" t="s">
        <v>240</v>
      </c>
      <c r="K28" s="10" t="inlineStr">
        <is>
          <t xml:space="preserve">Proposta RE9 nº 202609.23.02074.6502 de 23/09/2026 (contato Eduardo) — 72,96 m² de caixilharia. Item 13605 — R$ 112,52/m².</t>
        </is>
      </c>
      <c r="L28" s="40" t="n">
        <f aca="false">SUMIFS('Rateio Anexo'!$H$6:$H$600,'Rateio Anexo'!$A$6:$A$600,A28,'Rateio Anexo'!$M$6:$M$600,"")</f>
        <v>1</v>
      </c>
    </row>
    <row r="29" customFormat="false" ht="15" hidden="false" customHeight="true" outlineLevel="0" collapsed="false">
      <c r="A29" s="36" t="s">
        <v>242</v>
      </c>
      <c r="B29" s="10" t="s">
        <v>104</v>
      </c>
      <c r="C29" s="10" t="s">
        <v>243</v>
      </c>
      <c r="D29" s="10" t="s">
        <v>244</v>
      </c>
      <c r="E29" s="37" t="n">
        <v>72.96</v>
      </c>
      <c r="F29" s="36" t="s">
        <v>126</v>
      </c>
      <c r="G29" s="38" t="n">
        <v>47</v>
      </c>
      <c r="H29" s="39" t="n">
        <f aca="false">IFERROR(E29*G29, 0)</f>
        <v>3429.12</v>
      </c>
      <c r="I29" s="36" t="inlineStr">
        <is>
          <t xml:space="preserve">FECHADO</t>
        </is>
      </c>
      <c r="J29" s="10" t="s">
        <v>245</v>
      </c>
      <c r="K29" s="10" t="inlineStr">
        <is>
          <t xml:space="preserve">Proposta RE9 nº 202609.23.02074.6502 de 23/09/2026 (contato Eduardo) — 72,96 m² de caixilharia. Item 70011 — R$ 47,00/m².</t>
        </is>
      </c>
      <c r="L29" s="40" t="n">
        <f aca="false">SUMIFS('Rateio Anexo'!$H$6:$H$600,'Rateio Anexo'!$A$6:$A$600,A29,'Rateio Anexo'!$M$6:$M$600,"")</f>
        <v>1</v>
      </c>
    </row>
    <row r="30" customFormat="false" ht="15" hidden="false" customHeight="true" outlineLevel="0" collapsed="false">
      <c r="A30" s="36" t="s">
        <v>247</v>
      </c>
      <c r="B30" s="10" t="s">
        <v>104</v>
      </c>
      <c r="C30" s="10" t="s">
        <v>248</v>
      </c>
      <c r="D30" s="10" t="s">
        <v>249</v>
      </c>
      <c r="E30" s="37" t="n">
        <v>72.96</v>
      </c>
      <c r="F30" s="36" t="s">
        <v>126</v>
      </c>
      <c r="G30" s="38" t="n">
        <v>28</v>
      </c>
      <c r="H30" s="39" t="n">
        <f aca="false">IFERROR(E30*G30, 0)</f>
        <v>2042.88</v>
      </c>
      <c r="I30" s="36" t="inlineStr">
        <is>
          <t xml:space="preserve">FECHADO</t>
        </is>
      </c>
      <c r="J30" s="10" t="s">
        <v>250</v>
      </c>
      <c r="K30" s="10" t="inlineStr">
        <is>
          <t xml:space="preserve">Proposta RE9 nº 202609.23.02074.6502 de 23/09/2026 (contato Eduardo) — 72,96 m² de caixilharia. Item 70011 — R$ 28,00/m².</t>
        </is>
      </c>
      <c r="L30" s="40" t="n">
        <f aca="false">SUMIFS('Rateio Anexo'!$H$6:$H$600,'Rateio Anexo'!$A$6:$A$600,A30,'Rateio Anexo'!$M$6:$M$600,"")</f>
        <v>1</v>
      </c>
    </row>
    <row r="31" customFormat="false" ht="15" hidden="false" customHeight="true" outlineLevel="0" collapsed="false">
      <c r="A31" s="36" t="s">
        <v>252</v>
      </c>
      <c r="B31" s="10" t="s">
        <v>105</v>
      </c>
      <c r="C31" s="10" t="s">
        <v>253</v>
      </c>
      <c r="D31" s="10" t="s">
        <v>254</v>
      </c>
      <c r="E31" s="37" t="n">
        <v>4</v>
      </c>
      <c r="F31" s="36" t="s">
        <v>158</v>
      </c>
      <c r="G31" s="38" t="n">
        <v>2190</v>
      </c>
      <c r="H31" s="39" t="n">
        <f aca="false">IFERROR(E31*G31, 0)</f>
        <v>8760</v>
      </c>
      <c r="I31" s="36" t="inlineStr">
        <is>
          <t xml:space="preserve">DERIVADO</t>
        </is>
      </c>
      <c r="J31" s="10" t="s">
        <v>255</v>
      </c>
      <c r="K31" s="10" t="inlineStr">
        <is>
          <t xml:space="preserve">11 bombonas de 20L x R$ 2.190,00 = R$ 24.090,00</t>
        </is>
      </c>
      <c r="L31" s="40" t="n">
        <f aca="false">SUMIFS('Rateio Anexo'!$H$6:$H$600,'Rateio Anexo'!$A$6:$A$600,A31,'Rateio Anexo'!$M$6:$M$600,"")</f>
        <v>1</v>
      </c>
    </row>
    <row r="32" customFormat="false" ht="15" hidden="false" customHeight="true" outlineLevel="0" collapsed="false">
      <c r="A32" s="36" t="s">
        <v>257</v>
      </c>
      <c r="B32" s="10" t="s">
        <v>105</v>
      </c>
      <c r="C32" s="10" t="s">
        <v>258</v>
      </c>
      <c r="D32" s="10" t="s">
        <v>259</v>
      </c>
      <c r="E32" s="37" t="n">
        <v>4</v>
      </c>
      <c r="F32" s="36" t="s">
        <v>158</v>
      </c>
      <c r="G32" s="38" t="n">
        <v>196.73</v>
      </c>
      <c r="H32" s="39" t="n">
        <f aca="false">IFERROR(E32*G32, 0)</f>
        <v>786.92</v>
      </c>
      <c r="I32" s="36" t="inlineStr">
        <is>
          <t xml:space="preserve">EXPLÍCITO</t>
        </is>
      </c>
      <c r="J32" s="10" t="s">
        <v>260</v>
      </c>
      <c r="K32" s="10" t="inlineStr">
        <is>
          <t xml:space="preserve">Kit extintor + suporte tripé R$ 196,73</t>
        </is>
      </c>
      <c r="L32" s="40" t="n">
        <f aca="false">SUMIFS('Rateio Anexo'!$H$6:$H$600,'Rateio Anexo'!$A$6:$A$600,A32,'Rateio Anexo'!$M$6:$M$600,"")</f>
        <v>1</v>
      </c>
    </row>
    <row r="33" customFormat="false" ht="15" hidden="false" customHeight="true" outlineLevel="0" collapsed="false">
      <c r="A33" s="36" t="s">
        <v>262</v>
      </c>
      <c r="B33" s="10" t="s">
        <v>105</v>
      </c>
      <c r="C33" s="10" t="s">
        <v>263</v>
      </c>
      <c r="D33" s="10" t="s">
        <v>264</v>
      </c>
      <c r="E33" s="37" t="n">
        <v>8</v>
      </c>
      <c r="F33" s="36" t="s">
        <v>158</v>
      </c>
      <c r="G33" s="38" t="n">
        <v>45</v>
      </c>
      <c r="H33" s="39" t="n">
        <f aca="false">IFERROR(E33*G33, 0)</f>
        <v>360</v>
      </c>
      <c r="I33" s="36" t="inlineStr">
        <is>
          <t xml:space="preserve">DERIVADO</t>
        </is>
      </c>
      <c r="J33" s="10" t="s">
        <v>265</v>
      </c>
      <c r="K33" s="10" t="inlineStr">
        <is>
          <t xml:space="preserve">Blocos autônomos 4W R$ 45,00/un</t>
        </is>
      </c>
      <c r="L33" s="40" t="n">
        <f aca="false">SUMIFS('Rateio Anexo'!$H$6:$H$600,'Rateio Anexo'!$A$6:$A$600,A33,'Rateio Anexo'!$M$6:$M$600,"")</f>
        <v>1</v>
      </c>
    </row>
    <row r="34" customFormat="false" ht="15" hidden="false" customHeight="true" outlineLevel="0" collapsed="false">
      <c r="A34" s="36" t="s">
        <v>267</v>
      </c>
      <c r="B34" s="10" t="s">
        <v>105</v>
      </c>
      <c r="C34" s="10" t="s">
        <v>268</v>
      </c>
      <c r="D34" s="10" t="s">
        <v>269</v>
      </c>
      <c r="E34" s="37" t="n">
        <v>1</v>
      </c>
      <c r="F34" s="36" t="s">
        <v>209</v>
      </c>
      <c r="G34" s="38" t="n">
        <v>450</v>
      </c>
      <c r="H34" s="39" t="n">
        <f aca="false">IFERROR(E34*G34, 0)</f>
        <v>450</v>
      </c>
      <c r="I34" s="36" t="inlineStr">
        <is>
          <t xml:space="preserve">DERIVADO</t>
        </is>
      </c>
      <c r="J34" s="10" t="s">
        <v>270</v>
      </c>
      <c r="K34" s="10" t="inlineStr">
        <is>
          <t xml:space="preserve">Conjunto de placas rígidas ABNT</t>
        </is>
      </c>
      <c r="L34" s="40" t="n">
        <f aca="false">SUMIFS('Rateio Anexo'!$H$6:$H$600,'Rateio Anexo'!$A$6:$A$600,A34,'Rateio Anexo'!$M$6:$M$600,"")</f>
        <v>1</v>
      </c>
    </row>
    <row r="35" customFormat="false" ht="15" hidden="false" customHeight="true" outlineLevel="0" collapsed="false">
      <c r="A35" s="36" t="s">
        <v>272</v>
      </c>
      <c r="B35" s="10" t="s">
        <v>105</v>
      </c>
      <c r="C35" s="10" t="s">
        <v>273</v>
      </c>
      <c r="D35" s="10" t="s">
        <v>274</v>
      </c>
      <c r="E35" s="37" t="n">
        <v>1</v>
      </c>
      <c r="F35" s="36" t="s">
        <v>209</v>
      </c>
      <c r="G35" s="38" t="n">
        <v>280</v>
      </c>
      <c r="H35" s="39" t="n">
        <f aca="false">IFERROR(E35*G35, 0)</f>
        <v>280</v>
      </c>
      <c r="I35" s="36" t="inlineStr">
        <is>
          <t xml:space="preserve">EXPLÍCITO</t>
        </is>
      </c>
      <c r="J35" s="10" t="s">
        <v>275</v>
      </c>
      <c r="K35" s="10" t="inlineStr">
        <is>
          <t xml:space="preserve">Lona reforçada de proteção</t>
        </is>
      </c>
      <c r="L35" s="40" t="n">
        <f aca="false">SUMIFS('Rateio Anexo'!$H$6:$H$600,'Rateio Anexo'!$A$6:$A$600,A35,'Rateio Anexo'!$M$6:$M$600,"")</f>
        <v>1</v>
      </c>
    </row>
    <row r="36" customFormat="false" ht="15" hidden="false" customHeight="true" outlineLevel="0" collapsed="false">
      <c r="A36" s="36" t="s">
        <v>277</v>
      </c>
      <c r="B36" s="10" t="s">
        <v>106</v>
      </c>
      <c r="C36" s="10" t="s">
        <v>278</v>
      </c>
      <c r="D36" s="10" t="s">
        <v>279</v>
      </c>
      <c r="E36" s="37" t="n">
        <v>6</v>
      </c>
      <c r="F36" s="36" t="s">
        <v>209</v>
      </c>
      <c r="G36" s="38" t="n">
        <v>234</v>
      </c>
      <c r="H36" s="39" t="n">
        <f aca="false">IFERROR(E36*G36, 0)</f>
        <v>1404</v>
      </c>
      <c r="I36" s="36" t="inlineStr">
        <is>
          <t xml:space="preserve">DERIVADO</t>
        </is>
      </c>
      <c r="J36" s="10" t="s">
        <v>280</v>
      </c>
      <c r="K36" s="10" t="inlineStr">
        <is>
          <t xml:space="preserve">Kits completos de travamento R$ 234,00/cj</t>
        </is>
      </c>
      <c r="L36" s="40" t="n">
        <f aca="false">SUMIFS('Rateio Anexo'!$H$6:$H$600,'Rateio Anexo'!$A$6:$A$600,A36,'Rateio Anexo'!$M$6:$M$600,"")</f>
        <v>1</v>
      </c>
    </row>
    <row r="37" customFormat="false" ht="15" hidden="false" customHeight="true" outlineLevel="0" collapsed="false">
      <c r="A37" s="36" t="s">
        <v>282</v>
      </c>
      <c r="B37" s="10" t="s">
        <v>106</v>
      </c>
      <c r="C37" s="10" t="s">
        <v>283</v>
      </c>
      <c r="D37" s="10" t="s">
        <v>284</v>
      </c>
      <c r="E37" s="37" t="n">
        <v>6</v>
      </c>
      <c r="F37" s="36" t="s">
        <v>158</v>
      </c>
      <c r="G37" s="38" t="n">
        <v>104.1</v>
      </c>
      <c r="H37" s="39" t="n">
        <f aca="false">IFERROR(E37*G37, 0)</f>
        <v>624.6</v>
      </c>
      <c r="I37" s="36" t="inlineStr">
        <is>
          <t xml:space="preserve">EXPLÍCITO</t>
        </is>
      </c>
      <c r="J37" s="10" t="s">
        <v>285</v>
      </c>
      <c r="K37" s="10" t="inlineStr">
        <is>
          <t xml:space="preserve">Schioppa PU c/ trava (Ref. GL312 PE G, 3", 170kg)</t>
        </is>
      </c>
      <c r="L37" s="40" t="n">
        <f aca="false">SUMIFS('Rateio Anexo'!$H$6:$H$600,'Rateio Anexo'!$A$6:$A$600,A37,'Rateio Anexo'!$M$6:$M$600,"")</f>
        <v>1</v>
      </c>
    </row>
    <row r="38" customFormat="false" ht="15" hidden="false" customHeight="true" outlineLevel="0" collapsed="false">
      <c r="A38" s="36" t="s">
        <v>287</v>
      </c>
      <c r="B38" s="10" t="s">
        <v>106</v>
      </c>
      <c r="C38" s="10" t="s">
        <v>288</v>
      </c>
      <c r="D38" s="10" t="s">
        <v>289</v>
      </c>
      <c r="E38" s="37" t="n">
        <v>1</v>
      </c>
      <c r="F38" s="36" t="s">
        <v>209</v>
      </c>
      <c r="G38" s="38" t="n">
        <v>220</v>
      </c>
      <c r="H38" s="39" t="n">
        <f aca="false">IFERROR(E38*G38, 0)</f>
        <v>220</v>
      </c>
      <c r="I38" s="36" t="inlineStr">
        <is>
          <t xml:space="preserve">EXPLÍCITO</t>
        </is>
      </c>
      <c r="J38" s="10" t="s">
        <v>290</v>
      </c>
      <c r="K38" s="10" t="inlineStr">
        <is>
          <t xml:space="preserve">Conjunto de mantas e feltros</t>
        </is>
      </c>
      <c r="L38" s="40" t="n">
        <f aca="false">SUMIFS('Rateio Anexo'!$H$6:$H$600,'Rateio Anexo'!$A$6:$A$600,A38,'Rateio Anexo'!$M$6:$M$600,"")</f>
        <v>1</v>
      </c>
    </row>
    <row r="39" customFormat="false" ht="15" hidden="false" customHeight="true" outlineLevel="0" collapsed="false">
      <c r="A39" s="36" t="s">
        <v>292</v>
      </c>
      <c r="B39" s="10" t="s">
        <v>106</v>
      </c>
      <c r="C39" s="10" t="s">
        <v>293</v>
      </c>
      <c r="D39" s="10" t="s">
        <v>294</v>
      </c>
      <c r="E39" s="37" t="n">
        <v>400</v>
      </c>
      <c r="F39" s="36" t="s">
        <v>295</v>
      </c>
      <c r="G39" s="38" t="n">
        <v>12</v>
      </c>
      <c r="H39" s="39" t="n">
        <f aca="false">IFERROR(E39*G39, 0)</f>
        <v>4800</v>
      </c>
      <c r="I39" s="36" t="inlineStr">
        <is>
          <t xml:space="preserve">EXPLÍCITO</t>
        </is>
      </c>
      <c r="J39" s="10" t="s">
        <v>296</v>
      </c>
      <c r="K39" s="10" t="inlineStr">
        <is>
          <t xml:space="preserve">400kg de anilhas/blocos x R$ 12,00/kg</t>
        </is>
      </c>
      <c r="L39" s="40" t="n">
        <f aca="false">SUMIFS('Rateio Anexo'!$H$6:$H$600,'Rateio Anexo'!$A$6:$A$600,A39,'Rateio Anexo'!$M$6:$M$600,"")</f>
        <v>1</v>
      </c>
    </row>
    <row r="40" customFormat="false" ht="15" hidden="false" customHeight="true" outlineLevel="0" collapsed="false">
      <c r="A40" s="36" t="s">
        <v>298</v>
      </c>
      <c r="B40" s="10" t="s">
        <v>107</v>
      </c>
      <c r="C40" s="10" t="s">
        <v>299</v>
      </c>
      <c r="D40" s="10" t="s">
        <v>300</v>
      </c>
      <c r="E40" s="37" t="n">
        <v>2</v>
      </c>
      <c r="F40" s="36" t="s">
        <v>158</v>
      </c>
      <c r="G40" s="38" t="n">
        <v>350</v>
      </c>
      <c r="H40" s="39" t="n">
        <f aca="false">IFERROR(E40*G40, 0)</f>
        <v>700</v>
      </c>
      <c r="I40" s="36" t="inlineStr">
        <is>
          <t xml:space="preserve">REFORMADO</t>
        </is>
      </c>
      <c r="J40" s="10" t="s">
        <v>301</v>
      </c>
      <c r="K40" s="10" t="inlineStr">
        <is>
          <t xml:space="preserve">Repintura eletrostática Terra Roxa</t>
        </is>
      </c>
      <c r="L40" s="40" t="n">
        <f aca="false">SUMIFS('Rateio Anexo'!$H$6:$H$600,'Rateio Anexo'!$A$6:$A$600,A40,'Rateio Anexo'!$M$6:$M$600,"")</f>
        <v>1</v>
      </c>
    </row>
    <row r="41" customFormat="false" ht="15" hidden="false" customHeight="true" outlineLevel="0" collapsed="false">
      <c r="A41" s="36" t="s">
        <v>303</v>
      </c>
      <c r="B41" s="10" t="s">
        <v>107</v>
      </c>
      <c r="C41" s="10" t="s">
        <v>304</v>
      </c>
      <c r="D41" s="10" t="s">
        <v>305</v>
      </c>
      <c r="E41" s="37" t="n">
        <v>1</v>
      </c>
      <c r="F41" s="36" t="s">
        <v>158</v>
      </c>
      <c r="G41" s="38" t="n">
        <v>250</v>
      </c>
      <c r="H41" s="39" t="n">
        <f aca="false">IFERROR(E41*G41, 0)</f>
        <v>250</v>
      </c>
      <c r="I41" s="36" t="inlineStr">
        <is>
          <t xml:space="preserve">REFORMADO</t>
        </is>
      </c>
      <c r="J41" s="10" t="s">
        <v>301</v>
      </c>
      <c r="K41" s="10" t="inlineStr">
        <is>
          <t xml:space="preserve">Repintura eletrostática Terra Roxa</t>
        </is>
      </c>
      <c r="L41" s="40" t="n">
        <f aca="false">SUMIFS('Rateio Anexo'!$H$6:$H$600,'Rateio Anexo'!$A$6:$A$600,A41,'Rateio Anexo'!$M$6:$M$600,"")</f>
        <v>1</v>
      </c>
    </row>
    <row r="42" customFormat="false" ht="15" hidden="false" customHeight="true" outlineLevel="0" collapsed="false">
      <c r="A42" s="36" t="s">
        <v>306</v>
      </c>
      <c r="B42" s="10" t="s">
        <v>107</v>
      </c>
      <c r="C42" s="10" t="s">
        <v>307</v>
      </c>
      <c r="D42" s="10" t="s">
        <v>308</v>
      </c>
      <c r="E42" s="37" t="n">
        <v>15</v>
      </c>
      <c r="F42" s="36" t="s">
        <v>158</v>
      </c>
      <c r="G42" s="38" t="n">
        <v>50</v>
      </c>
      <c r="H42" s="39" t="n">
        <f aca="false">IFERROR(E42*G42, 0)</f>
        <v>750</v>
      </c>
      <c r="I42" s="36" t="inlineStr">
        <is>
          <t xml:space="preserve">REFORMADO</t>
        </is>
      </c>
      <c r="J42" s="10" t="s">
        <v>301</v>
      </c>
      <c r="K42" s="10" t="inlineStr">
        <is>
          <t xml:space="preserve">Repintura acrílica Terra Roxa</t>
        </is>
      </c>
      <c r="L42" s="40" t="n">
        <f aca="false">SUMIFS('Rateio Anexo'!$H$6:$H$600,'Rateio Anexo'!$A$6:$A$600,A42,'Rateio Anexo'!$M$6:$M$600,"")</f>
        <v>1</v>
      </c>
    </row>
    <row r="43" customFormat="false" ht="15" hidden="false" customHeight="true" outlineLevel="0" collapsed="false">
      <c r="A43" s="36" t="s">
        <v>310</v>
      </c>
      <c r="B43" s="10" t="s">
        <v>107</v>
      </c>
      <c r="C43" s="10" t="s">
        <v>311</v>
      </c>
      <c r="D43" s="10" t="s">
        <v>312</v>
      </c>
      <c r="E43" s="37" t="n">
        <v>2</v>
      </c>
      <c r="F43" s="36" t="s">
        <v>158</v>
      </c>
      <c r="G43" s="38" t="n">
        <v>50</v>
      </c>
      <c r="H43" s="39" t="n">
        <f aca="false">IFERROR(E43*G43, 0)</f>
        <v>100</v>
      </c>
      <c r="I43" s="36" t="inlineStr">
        <is>
          <t xml:space="preserve">REFORMADO</t>
        </is>
      </c>
      <c r="J43" s="10" t="s">
        <v>301</v>
      </c>
      <c r="K43" s="10" t="inlineStr">
        <is>
          <t xml:space="preserve">Repintura acrílica Terra Roxa</t>
        </is>
      </c>
      <c r="L43" s="40" t="n">
        <f aca="false">SUMIFS('Rateio Anexo'!$H$6:$H$600,'Rateio Anexo'!$A$6:$A$600,A43,'Rateio Anexo'!$M$6:$M$600,"")</f>
        <v>1</v>
      </c>
    </row>
    <row r="44" customFormat="false" ht="15" hidden="false" customHeight="true" outlineLevel="0" collapsed="false">
      <c r="A44" s="36" t="s">
        <v>313</v>
      </c>
      <c r="B44" s="10" t="s">
        <v>107</v>
      </c>
      <c r="C44" s="10" t="s">
        <v>314</v>
      </c>
      <c r="D44" s="10" t="s">
        <v>315</v>
      </c>
      <c r="E44" s="37" t="n">
        <v>1</v>
      </c>
      <c r="F44" s="36" t="s">
        <v>158</v>
      </c>
      <c r="G44" s="38" t="n">
        <v>180</v>
      </c>
      <c r="H44" s="39" t="n">
        <f aca="false">IFERROR(E44*G44, 0)</f>
        <v>180</v>
      </c>
      <c r="I44" s="36" t="inlineStr">
        <is>
          <t xml:space="preserve">REFORMADO</t>
        </is>
      </c>
      <c r="J44" s="10" t="s">
        <v>301</v>
      </c>
      <c r="K44" s="10" t="inlineStr">
        <is>
          <t xml:space="preserve">Repintura e vinil de recorte</t>
        </is>
      </c>
      <c r="L44" s="40" t="n">
        <f aca="false">SUMIFS('Rateio Anexo'!$H$6:$H$600,'Rateio Anexo'!$A$6:$A$600,A44,'Rateio Anexo'!$M$6:$M$600,"")</f>
        <v>1</v>
      </c>
    </row>
    <row r="45" customFormat="false" ht="15" hidden="false" customHeight="true" outlineLevel="0" collapsed="false">
      <c r="A45" s="4" t="s">
        <v>317</v>
      </c>
      <c r="G45" s="41" t="s">
        <v>318</v>
      </c>
      <c r="H45" s="42" t="n">
        <f aca="false">SUM(H4:H44)</f>
        <v>78534.4812</v>
      </c>
    </row>
  </sheetData>
  <conditionalFormatting sqref="L4:L44">
    <cfRule type="expression" priority="2" aboveAverage="0" equalAverage="0" bottom="0" percent="0" rank="0" text="" dxfId="1">
      <formula>AND($A4&lt;&gt;"",ROUND($L4,4)&lt;&gt;1)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C3" colorId="64" zoomScale="100" zoomScaleNormal="100" zoomScalePageLayoutView="100" workbookViewId="0">
      <selection pane="topLeft" activeCell="F20" activeCellId="0" sqref="F20"/>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45"/>
    <col collapsed="false" customWidth="true" hidden="false" outlineLevel="0" max="3" min="3" style="1" width="50"/>
    <col collapsed="false" customWidth="true" hidden="false" outlineLevel="0" max="4" min="4" style="1" width="18"/>
    <col collapsed="false" customWidth="true" hidden="false" outlineLevel="0" max="5" min="5" style="1" width="13"/>
    <col collapsed="false" customWidth="true" hidden="false" outlineLevel="0" max="6" min="6" style="1" width="23"/>
    <col collapsed="false" customWidth="true" hidden="false" outlineLevel="0" max="7" min="7" style="1" width="37"/>
    <col collapsed="false" customWidth="true" hidden="false" outlineLevel="0" max="8" min="8" style="1" width="12"/>
    <col collapsed="false" customWidth="true" hidden="false" outlineLevel="0" max="9" min="9" style="0" width="34"/>
    <col collapsed="false" customWidth="true" hidden="false" outlineLevel="0" max="10" min="10" style="0" width="16"/>
  </cols>
  <sheetData>
    <row r="1" customFormat="false" ht="18.75" hidden="false" customHeight="true" outlineLevel="0" collapsed="false">
      <c r="A1" s="2" t="s">
        <v>319</v>
      </c>
    </row>
    <row r="3" customFormat="false" ht="15" hidden="false" customHeight="true" outlineLevel="0" collapsed="false">
      <c r="A3" s="35" t="s">
        <v>113</v>
      </c>
      <c r="B3" s="35" t="s">
        <v>320</v>
      </c>
      <c r="C3" s="35" t="s">
        <v>321</v>
      </c>
      <c r="D3" s="35" t="s">
        <v>322</v>
      </c>
      <c r="E3" s="35" t="s">
        <v>117</v>
      </c>
      <c r="F3" s="35" t="s">
        <v>323</v>
      </c>
      <c r="G3" s="35" t="s">
        <v>119</v>
      </c>
      <c r="H3" s="35" t="s">
        <v>18</v>
      </c>
      <c r="I3" s="15" t="s">
        <v>89</v>
      </c>
      <c r="J3" s="15" t="s">
        <v>122</v>
      </c>
    </row>
    <row r="4" customFormat="false" ht="15" hidden="false" customHeight="true" outlineLevel="0" collapsed="false">
      <c r="A4" s="36" t="s">
        <v>324</v>
      </c>
      <c r="B4" s="10" t="s">
        <v>325</v>
      </c>
      <c r="C4" s="10" t="s">
        <v>326</v>
      </c>
      <c r="D4" s="37" t="n">
        <v>559.22</v>
      </c>
      <c r="E4" s="36" t="s">
        <v>126</v>
      </c>
      <c r="F4" s="38" t="n">
        <v>50</v>
      </c>
      <c r="G4" s="39" t="n">
        <f aca="false">IFERROR(D4*F4, 0)</f>
        <v>27961</v>
      </c>
      <c r="H4" s="36" t="inlineStr">
        <is>
          <t xml:space="preserve">EXPLÍCITO</t>
        </is>
      </c>
      <c r="I4" s="43" t="s">
        <v>102</v>
      </c>
      <c r="J4" s="40" t="n">
        <f aca="false">SUMIFS('Rateio Anexo'!$H$6:$H$600,'Rateio Anexo'!$A$6:$A$600,A4,'Rateio Anexo'!$M$6:$M$600,"")</f>
        <v>1</v>
      </c>
    </row>
    <row r="5" customFormat="false" ht="15" hidden="false" customHeight="true" outlineLevel="0" collapsed="false">
      <c r="A5" s="36" t="s">
        <v>327</v>
      </c>
      <c r="B5" s="10" t="s">
        <v>328</v>
      </c>
      <c r="C5" s="10" t="s">
        <v>329</v>
      </c>
      <c r="D5" s="37" t="n">
        <v>20</v>
      </c>
      <c r="E5" s="36" t="s">
        <v>330</v>
      </c>
      <c r="F5" s="38" t="n">
        <v>250</v>
      </c>
      <c r="G5" s="39" t="n">
        <f aca="false">IFERROR(D5*F5, 0)</f>
        <v>5000</v>
      </c>
      <c r="H5" s="36" t="inlineStr">
        <is>
          <t xml:space="preserve">EXPLÍCITO</t>
        </is>
      </c>
      <c r="I5" s="43" t="s">
        <v>99</v>
      </c>
      <c r="J5" s="40" t="n">
        <f aca="false">SUMIFS('Rateio Anexo'!$H$6:$H$600,'Rateio Anexo'!$A$6:$A$600,A5,'Rateio Anexo'!$M$6:$M$600,"")</f>
        <v>1</v>
      </c>
    </row>
    <row r="6" customFormat="false" ht="15" hidden="false" customHeight="true" outlineLevel="0" collapsed="false">
      <c r="A6" s="36" t="s">
        <v>331</v>
      </c>
      <c r="B6" s="10" t="s">
        <v>332</v>
      </c>
      <c r="C6" s="10" t="s">
        <v>333</v>
      </c>
      <c r="D6" s="37" t="n">
        <v>160</v>
      </c>
      <c r="E6" s="36" t="s">
        <v>330</v>
      </c>
      <c r="F6" s="38" t="n">
        <v>270</v>
      </c>
      <c r="G6" s="39" t="n">
        <f aca="false">IFERROR(D6*F6, 0)</f>
        <v>43200</v>
      </c>
      <c r="H6" s="36" t="inlineStr">
        <is>
          <t xml:space="preserve">EXPLÍCITO</t>
        </is>
      </c>
      <c r="I6" s="43" t="s">
        <v>99</v>
      </c>
      <c r="J6" s="40" t="n">
        <f aca="false">SUMIFS('Rateio Anexo'!$H$6:$H$600,'Rateio Anexo'!$A$6:$A$600,A6,'Rateio Anexo'!$M$6:$M$600,"")</f>
        <v>1</v>
      </c>
    </row>
    <row r="7" customFormat="false" ht="15" hidden="false" customHeight="true" outlineLevel="0" collapsed="false">
      <c r="A7" s="36" t="s">
        <v>334</v>
      </c>
      <c r="B7" s="10" t="s">
        <v>335</v>
      </c>
      <c r="C7" s="10" t="s">
        <v>336</v>
      </c>
      <c r="D7" s="37" t="n">
        <v>10</v>
      </c>
      <c r="E7" s="36" t="s">
        <v>330</v>
      </c>
      <c r="F7" s="38" t="n">
        <v>130</v>
      </c>
      <c r="G7" s="39" t="n">
        <f aca="false">IFERROR(D7*F7, 0)</f>
        <v>1300</v>
      </c>
      <c r="H7" s="36" t="inlineStr">
        <is>
          <t xml:space="preserve">EXPLÍCITO</t>
        </is>
      </c>
      <c r="I7" s="43" t="s">
        <v>109</v>
      </c>
      <c r="J7" s="40" t="n">
        <f aca="false">SUMIFS('Rateio Anexo'!$H$6:$H$600,'Rateio Anexo'!$A$6:$A$600,A7,'Rateio Anexo'!$M$6:$M$600,"")</f>
        <v>1</v>
      </c>
    </row>
    <row r="8" customFormat="false" ht="15" hidden="false" customHeight="true" outlineLevel="0" collapsed="false">
      <c r="A8" s="36" t="s">
        <v>337</v>
      </c>
      <c r="B8" s="10" t="s">
        <v>338</v>
      </c>
      <c r="C8" s="10" t="s">
        <v>339</v>
      </c>
      <c r="D8" s="37" t="n">
        <v>9</v>
      </c>
      <c r="E8" s="36" t="s">
        <v>330</v>
      </c>
      <c r="F8" s="38" t="n">
        <v>100</v>
      </c>
      <c r="G8" s="39" t="n">
        <f aca="false">IFERROR(D8*F8, 0)</f>
        <v>900</v>
      </c>
      <c r="H8" s="36" t="inlineStr">
        <is>
          <t xml:space="preserve">EXPLÍCITO</t>
        </is>
      </c>
      <c r="I8" s="43" t="s">
        <v>108</v>
      </c>
      <c r="J8" s="40" t="n">
        <f aca="false">SUMIFS('Rateio Anexo'!$H$6:$H$600,'Rateio Anexo'!$A$6:$A$600,A8,'Rateio Anexo'!$M$6:$M$600,"")</f>
        <v>1</v>
      </c>
    </row>
    <row r="9" customFormat="false" ht="15" hidden="false" customHeight="true" outlineLevel="0" collapsed="false">
      <c r="A9" s="36" t="s">
        <v>340</v>
      </c>
      <c r="B9" s="10" t="s">
        <v>341</v>
      </c>
      <c r="C9" s="10" t="s">
        <v>342</v>
      </c>
      <c r="D9" s="37" t="n">
        <v>1</v>
      </c>
      <c r="E9" s="36" t="s">
        <v>209</v>
      </c>
      <c r="F9" s="38" t="n">
        <v>5000</v>
      </c>
      <c r="G9" s="39" t="n">
        <f aca="false">IFERROR(D9*F9, 0)</f>
        <v>5000</v>
      </c>
      <c r="H9" s="36" t="inlineStr">
        <is>
          <t xml:space="preserve">FECHADO</t>
        </is>
      </c>
      <c r="I9" s="43" t="s">
        <v>100</v>
      </c>
      <c r="J9" s="40" t="n">
        <f aca="false">SUMIFS('Rateio Anexo'!$H$6:$H$600,'Rateio Anexo'!$A$6:$A$600,A9,'Rateio Anexo'!$M$6:$M$600,"")</f>
        <v>1</v>
      </c>
    </row>
    <row r="10" customFormat="false" ht="15" hidden="false" customHeight="true" outlineLevel="0" collapsed="false">
      <c r="A10" s="36" t="s">
        <v>343</v>
      </c>
      <c r="B10" s="10" t="s">
        <v>344</v>
      </c>
      <c r="C10" s="10" t="s">
        <v>345</v>
      </c>
      <c r="D10" s="37" t="n">
        <v>20</v>
      </c>
      <c r="E10" s="36" t="s">
        <v>346</v>
      </c>
      <c r="F10" s="38" t="n">
        <v>300</v>
      </c>
      <c r="G10" s="39" t="n">
        <f aca="false">IFERROR(D10*F10, 0)</f>
        <v>6000</v>
      </c>
      <c r="H10" s="36" t="inlineStr">
        <is>
          <t xml:space="preserve">EXPLÍCITO</t>
        </is>
      </c>
      <c r="I10" s="43" t="s">
        <v>109</v>
      </c>
      <c r="J10" s="40" t="n">
        <f aca="false">SUMIFS('Rateio Anexo'!$H$6:$H$600,'Rateio Anexo'!$A$6:$A$600,A10,'Rateio Anexo'!$M$6:$M$600,"")</f>
        <v>1</v>
      </c>
    </row>
    <row r="11" customFormat="false" ht="15" hidden="false" customHeight="true" outlineLevel="0" collapsed="false">
      <c r="A11" s="36" t="s">
        <v>347</v>
      </c>
      <c r="B11" s="10" t="s">
        <v>348</v>
      </c>
      <c r="C11" s="10" t="s">
        <v>349</v>
      </c>
      <c r="D11" s="37" t="n">
        <v>5</v>
      </c>
      <c r="E11" s="36" t="s">
        <v>330</v>
      </c>
      <c r="F11" s="38" t="n">
        <v>1</v>
      </c>
      <c r="G11" s="39" t="n">
        <f aca="false">IFERROR(D11*F11, 0)</f>
        <v>5</v>
      </c>
      <c r="H11" s="36" t="inlineStr">
        <is>
          <t xml:space="preserve">PENDENTE</t>
        </is>
      </c>
      <c r="I11" s="43" t="s">
        <v>109</v>
      </c>
      <c r="J11" s="40" t="n">
        <f aca="false">SUMIFS('Rateio Anexo'!$H$6:$H$600,'Rateio Anexo'!$A$6:$A$600,A11,'Rateio Anexo'!$M$6:$M$600,"")</f>
        <v>1</v>
      </c>
    </row>
    <row r="12" customFormat="false" ht="15" hidden="false" customHeight="true" outlineLevel="0" collapsed="false">
      <c r="A12" s="36" t="s">
        <v>350</v>
      </c>
      <c r="B12" s="10" t="s">
        <v>351</v>
      </c>
      <c r="C12" s="10" t="s">
        <v>352</v>
      </c>
      <c r="D12" s="37" t="n">
        <v>6</v>
      </c>
      <c r="E12" s="36" t="s">
        <v>330</v>
      </c>
      <c r="F12" s="38" t="n">
        <v>250</v>
      </c>
      <c r="G12" s="39" t="n">
        <f aca="false">IFERROR(D12*F12, 0)</f>
        <v>1500</v>
      </c>
      <c r="H12" s="36" t="inlineStr">
        <is>
          <t xml:space="preserve">EXPLÍCITO</t>
        </is>
      </c>
      <c r="I12" s="43" t="s">
        <v>104</v>
      </c>
      <c r="J12" s="40" t="n">
        <f aca="false">SUMIFS('Rateio Anexo'!$H$6:$H$600,'Rateio Anexo'!$A$6:$A$600,A12,'Rateio Anexo'!$M$6:$M$600,"")</f>
        <v>1</v>
      </c>
    </row>
    <row r="13" customFormat="false" ht="15" hidden="false" customHeight="true" outlineLevel="0" collapsed="false">
      <c r="A13" s="36" t="s">
        <v>353</v>
      </c>
      <c r="B13" s="10" t="s">
        <v>354</v>
      </c>
      <c r="C13" s="10" t="s">
        <v>355</v>
      </c>
      <c r="D13" s="37" t="n">
        <v>1</v>
      </c>
      <c r="E13" s="36" t="s">
        <v>209</v>
      </c>
      <c r="F13" s="38" t="n">
        <v>7000</v>
      </c>
      <c r="G13" s="39" t="n">
        <f aca="false">IFERROR(D13*F13, 0)</f>
        <v>7000</v>
      </c>
      <c r="H13" s="36" t="inlineStr">
        <is>
          <t xml:space="preserve">FECHADO</t>
        </is>
      </c>
      <c r="I13" s="43" t="s">
        <v>101</v>
      </c>
      <c r="J13" s="40" t="n">
        <f aca="false">SUMIFS('Rateio Anexo'!$H$6:$H$600,'Rateio Anexo'!$A$6:$A$600,A13,'Rateio Anexo'!$M$6:$M$600,"")</f>
        <v>1</v>
      </c>
    </row>
    <row r="14" customFormat="false" ht="15" hidden="false" customHeight="true" outlineLevel="0" collapsed="false">
      <c r="A14" s="36" t="s">
        <v>356</v>
      </c>
      <c r="B14" s="10" t="s">
        <v>357</v>
      </c>
      <c r="C14" s="10" t="s">
        <v>358</v>
      </c>
      <c r="D14" s="37" t="n">
        <v>36</v>
      </c>
      <c r="E14" s="36" t="s">
        <v>330</v>
      </c>
      <c r="F14" s="38" t="n">
        <v>200</v>
      </c>
      <c r="G14" s="39" t="n">
        <f aca="false">IFERROR(D14*F14, 0)</f>
        <v>7200</v>
      </c>
      <c r="H14" s="36" t="inlineStr">
        <is>
          <t xml:space="preserve">DERIVADO</t>
        </is>
      </c>
      <c r="I14" s="43" t="s">
        <v>108</v>
      </c>
      <c r="J14" s="40" t="n">
        <f aca="false">SUMIFS('Rateio Anexo'!$H$6:$H$600,'Rateio Anexo'!$A$6:$A$600,A14,'Rateio Anexo'!$M$6:$M$600,"")</f>
        <v>1</v>
      </c>
    </row>
    <row r="15" customFormat="false" ht="15" hidden="false" customHeight="true" outlineLevel="0" collapsed="false">
      <c r="A15" s="36" t="s">
        <v>359</v>
      </c>
      <c r="B15" s="10" t="s">
        <v>360</v>
      </c>
      <c r="C15" s="10" t="s">
        <v>361</v>
      </c>
      <c r="D15" s="37" t="n">
        <v>212</v>
      </c>
      <c r="E15" s="36" t="s">
        <v>330</v>
      </c>
      <c r="F15" s="38" t="n">
        <v>28</v>
      </c>
      <c r="G15" s="39" t="n">
        <f aca="false">IFERROR(D15*F15, 0)</f>
        <v>5936</v>
      </c>
      <c r="H15" s="36" t="inlineStr">
        <is>
          <t xml:space="preserve">DERIVADO</t>
        </is>
      </c>
      <c r="I15" s="43" t="s">
        <v>109</v>
      </c>
      <c r="J15" s="40" t="n">
        <f aca="false">SUMIFS('Rateio Anexo'!$H$6:$H$600,'Rateio Anexo'!$A$6:$A$600,A15,'Rateio Anexo'!$M$6:$M$600,"")</f>
        <v>1</v>
      </c>
    </row>
    <row r="16" customFormat="false" ht="15" hidden="false" customHeight="true" outlineLevel="0" collapsed="false">
      <c r="A16" s="44" t="s">
        <v>362</v>
      </c>
      <c r="B16" s="45" t="s">
        <v>363</v>
      </c>
      <c r="C16" s="45" t="s">
        <v>364</v>
      </c>
      <c r="D16" s="46" t="n">
        <v>20</v>
      </c>
      <c r="E16" s="44" t="s">
        <v>330</v>
      </c>
      <c r="F16" s="47" t="n">
        <v>24</v>
      </c>
      <c r="G16" s="47" t="n">
        <f aca="false">IFERROR(D16*F16, 0)</f>
        <v>480</v>
      </c>
      <c r="H16" s="44" t="inlineStr">
        <is>
          <t xml:space="preserve">EXPLÍCITO</t>
        </is>
      </c>
      <c r="I16" s="43" t="s">
        <v>109</v>
      </c>
      <c r="J16" s="40" t="n">
        <f aca="false">SUMIFS('Rateio Anexo'!$H$6:$H$600,'Rateio Anexo'!$A$6:$A$600,A16,'Rateio Anexo'!$M$6:$M$600,"")</f>
        <v>1</v>
      </c>
    </row>
    <row r="17" customFormat="false" ht="15" hidden="false" customHeight="true" outlineLevel="0" collapsed="false">
      <c r="A17" s="36" t="s">
        <v>365</v>
      </c>
      <c r="B17" s="10" t="s">
        <v>366</v>
      </c>
      <c r="C17" s="10" t="s">
        <v>367</v>
      </c>
      <c r="D17" s="37" t="n">
        <v>212</v>
      </c>
      <c r="E17" s="36" t="s">
        <v>330</v>
      </c>
      <c r="F17" s="38" t="n">
        <v>15</v>
      </c>
      <c r="G17" s="39" t="n">
        <f aca="false">IFERROR(D17*F17, 0)</f>
        <v>3180</v>
      </c>
      <c r="H17" s="36" t="inlineStr">
        <is>
          <t xml:space="preserve">DERIVADO</t>
        </is>
      </c>
      <c r="I17" s="43" t="s">
        <v>109</v>
      </c>
      <c r="J17" s="40" t="n">
        <f aca="false">SUMIFS('Rateio Anexo'!$H$6:$H$600,'Rateio Anexo'!$A$6:$A$600,A17,'Rateio Anexo'!$M$6:$M$600,"")</f>
        <v>1</v>
      </c>
    </row>
    <row r="18" customFormat="false" ht="15" hidden="false" customHeight="true" outlineLevel="0" collapsed="false">
      <c r="A18" s="36" t="s">
        <v>368</v>
      </c>
      <c r="B18" s="10" t="s">
        <v>369</v>
      </c>
      <c r="C18" s="10" t="s">
        <v>370</v>
      </c>
      <c r="D18" s="37" t="n">
        <v>20</v>
      </c>
      <c r="E18" s="36" t="s">
        <v>346</v>
      </c>
      <c r="F18" s="38" t="n">
        <v>30</v>
      </c>
      <c r="G18" s="39" t="n">
        <f aca="false">IFERROR(D18*F18, 0)</f>
        <v>600</v>
      </c>
      <c r="H18" s="36" t="inlineStr">
        <is>
          <t xml:space="preserve">EXPLÍCITO</t>
        </is>
      </c>
      <c r="I18" s="43" t="s">
        <v>109</v>
      </c>
      <c r="J18" s="40" t="n">
        <f aca="false">SUMIFS('Rateio Anexo'!$H$6:$H$600,'Rateio Anexo'!$A$6:$A$600,A18,'Rateio Anexo'!$M$6:$M$600,"")</f>
        <v>1</v>
      </c>
    </row>
    <row r="19" customFormat="false" ht="15" hidden="false" customHeight="true" outlineLevel="0" collapsed="false">
      <c r="A19" s="36" t="s">
        <v>371</v>
      </c>
      <c r="B19" s="10" t="s">
        <v>372</v>
      </c>
      <c r="C19" s="10" t="s">
        <v>373</v>
      </c>
      <c r="D19" s="37" t="n">
        <v>2</v>
      </c>
      <c r="E19" s="36" t="s">
        <v>374</v>
      </c>
      <c r="F19" s="38" t="n">
        <v>900</v>
      </c>
      <c r="G19" s="39" t="n">
        <f aca="false">IFERROR(D19*F19, 0)</f>
        <v>1800</v>
      </c>
      <c r="H19" s="36" t="inlineStr">
        <is>
          <t xml:space="preserve">EXPLÍCITO</t>
        </is>
      </c>
      <c r="I19" s="43" t="s">
        <v>109</v>
      </c>
      <c r="J19" s="40" t="n">
        <f aca="false">SUMIFS('Rateio Anexo'!$H$6:$H$600,'Rateio Anexo'!$A$6:$A$600,A19,'Rateio Anexo'!$M$6:$M$600,"")</f>
        <v>1</v>
      </c>
    </row>
    <row r="20" customFormat="false" ht="15" hidden="false" customHeight="true" outlineLevel="0" collapsed="false">
      <c r="A20" s="36" t="s">
        <v>375</v>
      </c>
      <c r="B20" s="10" t="s">
        <v>376</v>
      </c>
      <c r="C20" s="10" t="s">
        <v>377</v>
      </c>
      <c r="D20" s="37" t="n">
        <v>1</v>
      </c>
      <c r="E20" s="36" t="s">
        <v>378</v>
      </c>
      <c r="F20" s="38" t="n">
        <v>1500</v>
      </c>
      <c r="G20" s="39" t="n">
        <f aca="false">IFERROR(D20*F20, 0)</f>
        <v>1500</v>
      </c>
      <c r="H20" s="36" t="inlineStr">
        <is>
          <t xml:space="preserve">EXPLÍCITO</t>
        </is>
      </c>
      <c r="I20" s="43" t="s">
        <v>109</v>
      </c>
      <c r="J20" s="40" t="n">
        <f aca="false">SUMIFS('Rateio Anexo'!$H$6:$H$600,'Rateio Anexo'!$A$6:$A$600,A20,'Rateio Anexo'!$M$6:$M$600,"")</f>
        <v>1</v>
      </c>
    </row>
    <row r="21" customFormat="false" ht="15" hidden="false" customHeight="true" outlineLevel="0" collapsed="false">
      <c r="A21" s="48"/>
      <c r="B21" s="48" t="s">
        <v>379</v>
      </c>
      <c r="C21" s="48"/>
      <c r="D21" s="48"/>
      <c r="E21" s="48"/>
      <c r="F21" s="48"/>
      <c r="G21" s="49" t="n">
        <f aca="false">SUM(G4:G20)</f>
        <v>118562</v>
      </c>
      <c r="H21" s="48"/>
    </row>
  </sheetData>
  <conditionalFormatting sqref="J4:J20">
    <cfRule type="expression" priority="2" aboveAverage="0" equalAverage="0" bottom="0" percent="0" rank="0" text="" dxfId="1">
      <formula>AND($A4&lt;&gt;"",ROUND($J4,4)&lt;&gt;1)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
    <col collapsed="false" customWidth="true" hidden="false" outlineLevel="0" max="3" min="3" style="0" width="40"/>
    <col collapsed="false" customWidth="true" hidden="false" outlineLevel="0" max="5" min="4" style="0" width="12"/>
    <col collapsed="false" customWidth="true" hidden="false" outlineLevel="0" max="6" min="6" style="0" width="9"/>
    <col collapsed="false" customWidth="true" hidden="false" outlineLevel="0" max="7" min="7" style="0" width="12"/>
    <col collapsed="false" customWidth="true" hidden="false" outlineLevel="0" max="8" min="8" style="0" width="10"/>
    <col collapsed="false" customWidth="true" hidden="false" outlineLevel="0" max="9" min="9" style="0" width="15"/>
    <col collapsed="false" customWidth="true" hidden="false" outlineLevel="0" max="10" min="10" style="0" width="3"/>
    <col collapsed="false" customWidth="true" hidden="false" outlineLevel="0" max="11" min="11" style="0" width="15"/>
    <col collapsed="false" customWidth="true" hidden="false" outlineLevel="0" max="12" min="12" style="0" width="40"/>
    <col collapsed="false" customWidth="true" hidden="false" outlineLevel="0" max="13" min="13" style="0" width="28"/>
  </cols>
  <sheetData>
    <row r="1" customFormat="false" ht="17.35" hidden="false" customHeight="false" outlineLevel="0" collapsed="false">
      <c r="A1" s="12" t="s">
        <v>380</v>
      </c>
    </row>
    <row r="2" customFormat="false" ht="15" hidden="false" customHeight="false" outlineLevel="0" collapsed="false">
      <c r="A2" s="14" t="s">
        <v>381</v>
      </c>
    </row>
    <row r="3" customFormat="false" ht="15" hidden="false" customHeight="false" outlineLevel="0" collapsed="false">
      <c r="A3" s="29" t="s">
        <v>382</v>
      </c>
      <c r="C3" s="50" t="n">
        <f aca="false">SUM(K6:K600)</f>
        <v>197096.4812</v>
      </c>
      <c r="E3" s="51" t="s">
        <v>383</v>
      </c>
      <c r="G3" s="30" t="n">
        <f aca="false">SUMIFS(K6:K600,D6:D600,"INDIRETO",B6:B600,"MAT")</f>
        <v>280</v>
      </c>
      <c r="I3" s="51" t="s">
        <v>384</v>
      </c>
      <c r="K3" s="30" t="n">
        <f aca="false">SUMIFS(K6:K600,D6:D600,"INDIRETO",B6:B600,"MO")</f>
        <v>20367.6666666667</v>
      </c>
    </row>
    <row r="5" customFormat="false" ht="28.35" hidden="false" customHeight="false" outlineLevel="0" collapsed="false">
      <c r="A5" s="15" t="s">
        <v>385</v>
      </c>
      <c r="B5" s="15" t="s">
        <v>386</v>
      </c>
      <c r="C5" s="15" t="s">
        <v>387</v>
      </c>
      <c r="D5" s="15" t="s">
        <v>388</v>
      </c>
      <c r="E5" s="15" t="s">
        <v>389</v>
      </c>
      <c r="F5" s="15" t="s">
        <v>390</v>
      </c>
      <c r="G5" s="15" t="s">
        <v>391</v>
      </c>
      <c r="H5" s="15" t="s">
        <v>392</v>
      </c>
      <c r="I5" s="15" t="s">
        <v>393</v>
      </c>
      <c r="J5" s="15"/>
      <c r="K5" s="15" t="s">
        <v>394</v>
      </c>
      <c r="L5" s="15" t="s">
        <v>395</v>
      </c>
      <c r="M5" s="15" t="s">
        <v>396</v>
      </c>
    </row>
    <row r="6" customFormat="false" ht="15" hidden="false" customHeight="false" outlineLevel="0" collapsed="false">
      <c r="A6" s="52" t="s">
        <v>123</v>
      </c>
      <c r="B6" s="53" t="str">
        <f aca="false">IF($A6="","",IF(ISNUMBER(MATCH($A6,'Cotação de Materiais'!$A$4:$A$200,0)),"MAT",IF(ISNUMBER(MATCH($A6,'Mão de Obra e Serviços'!$A$4:$A$200,0)),"MO","CÓDIGO?")))</f>
        <v>MAT</v>
      </c>
      <c r="C6" s="54" t="str">
        <f aca="false">IF($A6="","",IFERROR(INDEX('Cotação de Materiais'!$C$4:$C$200,MATCH($A6,'Cotação de Materiais'!$A$4:$A$200,0)),IFERROR(INDEX('Mão de Obra e Serviços'!$B$4:$B$200,MATCH($A6,'Mão de Obra e Serviços'!$A$4:$A$200,0)),"")))</f>
        <v>Chapas de MDF Comum 18mm</v>
      </c>
      <c r="D6" s="52" t="s">
        <v>397</v>
      </c>
      <c r="E6" s="55" t="n">
        <v>14</v>
      </c>
      <c r="F6" s="56" t="n">
        <v>1</v>
      </c>
      <c r="G6" s="57" t="n">
        <f aca="false">IF($A6="","",E6*IF(F6="",1,F6))</f>
        <v>14</v>
      </c>
      <c r="H6" s="31" t="n">
        <f aca="false">IF($A6="","",IF(SUMIF($A$6:$A$600,$A6,$G$6:$G$600)=0,0,G6/SUMIF($A$6:$A$600,$A6,$G$6:$G$600)))</f>
        <v>0.0351944493325624</v>
      </c>
      <c r="I6" s="30" t="n">
        <f aca="false">IF($A6="","",IFERROR(INDEX('Cotação de Materiais'!$H$4:$H$200,MATCH($A6,'Cotação de Materiais'!$A$4:$A$200,0)),IFERROR(INDEX('Mão de Obra e Serviços'!$G$4:$G$200,MATCH($A6,'Mão de Obra e Serviços'!$A$4:$A$200,0)),0)))</f>
        <v>15607.36</v>
      </c>
      <c r="K6" s="30" t="n">
        <f aca="false">IF($A6="","",I6*H6)</f>
        <v>549.292440735061</v>
      </c>
      <c r="L6" s="58" t="s">
        <v>398</v>
      </c>
      <c r="M6" s="54" t="str">
        <f aca="false">IF($A6="","",IF(B6="CÓDIGO?","CÓDIGO NÃO ACHADO",IF($D6="","FALTA ITEM DO ANEXO",IF($D6="INDIRETO","",IF(COUNTIFS('Anexo III'!$B$8:$B$400,$D6,'Anexo III'!$E$8:$E$400,"&gt;0")=0,"ITEM NÃO ACHADO NO ANEXO","")))))</f>
        <v/>
      </c>
    </row>
    <row r="7" customFormat="false" ht="15" hidden="false" customHeight="false" outlineLevel="0" collapsed="false">
      <c r="A7" s="52" t="s">
        <v>123</v>
      </c>
      <c r="B7" s="53" t="str">
        <f aca="false">IF($A7="","",IF(ISNUMBER(MATCH($A7,'Cotação de Materiais'!$A$4:$A$200,0)),"MAT",IF(ISNUMBER(MATCH($A7,'Mão de Obra e Serviços'!$A$4:$A$200,0)),"MO","CÓDIGO?")))</f>
        <v>MAT</v>
      </c>
      <c r="C7" s="54" t="str">
        <f aca="false">IF($A7="","",IFERROR(INDEX('Cotação de Materiais'!$C$4:$C$200,MATCH($A7,'Cotação de Materiais'!$A$4:$A$200,0)),IFERROR(INDEX('Mão de Obra e Serviços'!$B$4:$B$200,MATCH($A7,'Mão de Obra e Serviços'!$A$4:$A$200,0)),"")))</f>
        <v>Chapas de MDF Comum 18mm</v>
      </c>
      <c r="D7" s="52" t="s">
        <v>399</v>
      </c>
      <c r="E7" s="55" t="n">
        <v>11.8</v>
      </c>
      <c r="F7" s="56" t="n">
        <v>1</v>
      </c>
      <c r="G7" s="57" t="n">
        <f aca="false">IF($A7="","",E7*IF(F7="",1,F7))</f>
        <v>11.8</v>
      </c>
      <c r="H7" s="31" t="n">
        <f aca="false">IF($A7="","",IF(SUMIF($A$6:$A$600,$A7,$G$6:$G$600)=0,0,G7/SUMIF($A$6:$A$600,$A7,$G$6:$G$600)))</f>
        <v>0.029663893008874</v>
      </c>
      <c r="I7" s="30" t="n">
        <f aca="false">IF($A7="","",IFERROR(INDEX('Cotação de Materiais'!$H$4:$H$200,MATCH($A7,'Cotação de Materiais'!$A$4:$A$200,0)),IFERROR(INDEX('Mão de Obra e Serviços'!$G$4:$G$200,MATCH($A7,'Mão de Obra e Serviços'!$A$4:$A$200,0)),0)))</f>
        <v>15607.36</v>
      </c>
      <c r="K7" s="30" t="n">
        <f aca="false">IF($A7="","",I7*H7)</f>
        <v>462.97505719098</v>
      </c>
      <c r="L7" s="58" t="s">
        <v>398</v>
      </c>
      <c r="M7" s="54" t="str">
        <f aca="false">IF($A7="","",IF(B7="CÓDIGO?","CÓDIGO NÃO ACHADO",IF($D7="","FALTA ITEM DO ANEXO",IF($D7="INDIRETO","",IF(COUNTIFS('Anexo III'!$B$8:$B$400,$D7,'Anexo III'!$E$8:$E$400,"&gt;0")=0,"ITEM NÃO ACHADO NO ANEXO","")))))</f>
        <v/>
      </c>
    </row>
    <row r="8" customFormat="false" ht="15" hidden="false" customHeight="false" outlineLevel="0" collapsed="false">
      <c r="A8" s="52" t="s">
        <v>123</v>
      </c>
      <c r="B8" s="53" t="str">
        <f aca="false">IF($A8="","",IF(ISNUMBER(MATCH($A8,'Cotação de Materiais'!$A$4:$A$200,0)),"MAT",IF(ISNUMBER(MATCH($A8,'Mão de Obra e Serviços'!$A$4:$A$200,0)),"MO","CÓDIGO?")))</f>
        <v>MAT</v>
      </c>
      <c r="C8" s="54" t="str">
        <f aca="false">IF($A8="","",IFERROR(INDEX('Cotação de Materiais'!$C$4:$C$200,MATCH($A8,'Cotação de Materiais'!$A$4:$A$200,0)),IFERROR(INDEX('Mão de Obra e Serviços'!$B$4:$B$200,MATCH($A8,'Mão de Obra e Serviços'!$A$4:$A$200,0)),"")))</f>
        <v>Chapas de MDF Comum 18mm</v>
      </c>
      <c r="D8" s="52" t="s">
        <v>400</v>
      </c>
      <c r="E8" s="55" t="n">
        <v>32</v>
      </c>
      <c r="F8" s="56" t="n">
        <v>1</v>
      </c>
      <c r="G8" s="57" t="n">
        <f aca="false">IF($A8="","",E8*IF(F8="",1,F8))</f>
        <v>32</v>
      </c>
      <c r="H8" s="31" t="n">
        <f aca="false">IF($A8="","",IF(SUMIF($A$6:$A$600,$A8,$G$6:$G$600)=0,0,G8/SUMIF($A$6:$A$600,$A8,$G$6:$G$600)))</f>
        <v>0.0804444556172855</v>
      </c>
      <c r="I8" s="30" t="n">
        <f aca="false">IF($A8="","",IFERROR(INDEX('Cotação de Materiais'!$H$4:$H$200,MATCH($A8,'Cotação de Materiais'!$A$4:$A$200,0)),IFERROR(INDEX('Mão de Obra e Serviços'!$G$4:$G$200,MATCH($A8,'Mão de Obra e Serviços'!$A$4:$A$200,0)),0)))</f>
        <v>15607.36</v>
      </c>
      <c r="K8" s="30" t="n">
        <f aca="false">IF($A8="","",I8*H8)</f>
        <v>1255.525578823</v>
      </c>
      <c r="L8" s="58" t="s">
        <v>398</v>
      </c>
      <c r="M8" s="54" t="str">
        <f aca="false">IF($A8="","",IF(B8="CÓDIGO?","CÓDIGO NÃO ACHADO",IF($D8="","FALTA ITEM DO ANEXO",IF($D8="INDIRETO","",IF(COUNTIFS('Anexo III'!$B$8:$B$400,$D8,'Anexo III'!$E$8:$E$400,"&gt;0")=0,"ITEM NÃO ACHADO NO ANEXO","")))))</f>
        <v/>
      </c>
    </row>
    <row r="9" customFormat="false" ht="15" hidden="false" customHeight="false" outlineLevel="0" collapsed="false">
      <c r="A9" s="52" t="s">
        <v>123</v>
      </c>
      <c r="B9" s="53" t="str">
        <f aca="false">IF($A9="","",IF(ISNUMBER(MATCH($A9,'Cotação de Materiais'!$A$4:$A$200,0)),"MAT",IF(ISNUMBER(MATCH($A9,'Mão de Obra e Serviços'!$A$4:$A$200,0)),"MO","CÓDIGO?")))</f>
        <v>MAT</v>
      </c>
      <c r="C9" s="54" t="str">
        <f aca="false">IF($A9="","",IFERROR(INDEX('Cotação de Materiais'!$C$4:$C$200,MATCH($A9,'Cotação de Materiais'!$A$4:$A$200,0)),IFERROR(INDEX('Mão de Obra e Serviços'!$B$4:$B$200,MATCH($A9,'Mão de Obra e Serviços'!$A$4:$A$200,0)),"")))</f>
        <v>Chapas de MDF Comum 18mm</v>
      </c>
      <c r="D9" s="52" t="s">
        <v>401</v>
      </c>
      <c r="E9" s="55" t="n">
        <v>25</v>
      </c>
      <c r="F9" s="56" t="n">
        <v>1</v>
      </c>
      <c r="G9" s="57" t="n">
        <f aca="false">IF($A9="","",E9*IF(F9="",1,F9))</f>
        <v>25</v>
      </c>
      <c r="H9" s="31" t="n">
        <f aca="false">IF($A9="","",IF(SUMIF($A$6:$A$600,$A9,$G$6:$G$600)=0,0,G9/SUMIF($A$6:$A$600,$A9,$G$6:$G$600)))</f>
        <v>0.0628472309510043</v>
      </c>
      <c r="I9" s="30" t="n">
        <f aca="false">IF($A9="","",IFERROR(INDEX('Cotação de Materiais'!$H$4:$H$200,MATCH($A9,'Cotação de Materiais'!$A$4:$A$200,0)),IFERROR(INDEX('Mão de Obra e Serviços'!$G$4:$G$200,MATCH($A9,'Mão de Obra e Serviços'!$A$4:$A$200,0)),0)))</f>
        <v>15607.36</v>
      </c>
      <c r="K9" s="30" t="n">
        <f aca="false">IF($A9="","",I9*H9)</f>
        <v>980.879358455466</v>
      </c>
      <c r="L9" s="58" t="s">
        <v>398</v>
      </c>
      <c r="M9" s="54" t="str">
        <f aca="false">IF($A9="","",IF(B9="CÓDIGO?","CÓDIGO NÃO ACHADO",IF($D9="","FALTA ITEM DO ANEXO",IF($D9="INDIRETO","",IF(COUNTIFS('Anexo III'!$B$8:$B$400,$D9,'Anexo III'!$E$8:$E$400,"&gt;0")=0,"ITEM NÃO ACHADO NO ANEXO","")))))</f>
        <v/>
      </c>
    </row>
    <row r="10" customFormat="false" ht="15" hidden="false" customHeight="false" outlineLevel="0" collapsed="false">
      <c r="A10" s="52" t="s">
        <v>123</v>
      </c>
      <c r="B10" s="53" t="str">
        <f aca="false">IF($A10="","",IF(ISNUMBER(MATCH($A10,'Cotação de Materiais'!$A$4:$A$200,0)),"MAT",IF(ISNUMBER(MATCH($A10,'Mão de Obra e Serviços'!$A$4:$A$200,0)),"MO","CÓDIGO?")))</f>
        <v>MAT</v>
      </c>
      <c r="C10" s="54" t="str">
        <f aca="false">IF($A10="","",IFERROR(INDEX('Cotação de Materiais'!$C$4:$C$200,MATCH($A10,'Cotação de Materiais'!$A$4:$A$200,0)),IFERROR(INDEX('Mão de Obra e Serviços'!$B$4:$B$200,MATCH($A10,'Mão de Obra e Serviços'!$A$4:$A$200,0)),"")))</f>
        <v>Chapas de MDF Comum 18mm</v>
      </c>
      <c r="D10" s="52" t="s">
        <v>402</v>
      </c>
      <c r="E10" s="55" t="n">
        <v>16.5</v>
      </c>
      <c r="F10" s="56" t="n">
        <v>1</v>
      </c>
      <c r="G10" s="57" t="n">
        <f aca="false">IF($A10="","",E10*IF(F10="",1,F10))</f>
        <v>16.5</v>
      </c>
      <c r="H10" s="31" t="n">
        <f aca="false">IF($A10="","",IF(SUMIF($A$6:$A$600,$A10,$G$6:$G$600)=0,0,G10/SUMIF($A$6:$A$600,$A10,$G$6:$G$600)))</f>
        <v>0.0414791724276628</v>
      </c>
      <c r="I10" s="30" t="n">
        <f aca="false">IF($A10="","",IFERROR(INDEX('Cotação de Materiais'!$H$4:$H$200,MATCH($A10,'Cotação de Materiais'!$A$4:$A$200,0)),IFERROR(INDEX('Mão de Obra e Serviços'!$G$4:$G$200,MATCH($A10,'Mão de Obra e Serviços'!$A$4:$A$200,0)),0)))</f>
        <v>15607.36</v>
      </c>
      <c r="K10" s="30" t="n">
        <f aca="false">IF($A10="","",I10*H10)</f>
        <v>647.380376580608</v>
      </c>
      <c r="L10" s="58" t="s">
        <v>398</v>
      </c>
      <c r="M10" s="54" t="str">
        <f aca="false">IF($A10="","",IF(B10="CÓDIGO?","CÓDIGO NÃO ACHADO",IF($D10="","FALTA ITEM DO ANEXO",IF($D10="INDIRETO","",IF(COUNTIFS('Anexo III'!$B$8:$B$400,$D10,'Anexo III'!$E$8:$E$400,"&gt;0")=0,"ITEM NÃO ACHADO NO ANEXO","")))))</f>
        <v/>
      </c>
    </row>
    <row r="11" customFormat="false" ht="15" hidden="false" customHeight="false" outlineLevel="0" collapsed="false">
      <c r="A11" s="52" t="s">
        <v>123</v>
      </c>
      <c r="B11" s="53" t="str">
        <f aca="false">IF($A11="","",IF(ISNUMBER(MATCH($A11,'Cotação de Materiais'!$A$4:$A$200,0)),"MAT",IF(ISNUMBER(MATCH($A11,'Mão de Obra e Serviços'!$A$4:$A$200,0)),"MO","CÓDIGO?")))</f>
        <v>MAT</v>
      </c>
      <c r="C11" s="54" t="str">
        <f aca="false">IF($A11="","",IFERROR(INDEX('Cotação de Materiais'!$C$4:$C$200,MATCH($A11,'Cotação de Materiais'!$A$4:$A$200,0)),IFERROR(INDEX('Mão de Obra e Serviços'!$B$4:$B$200,MATCH($A11,'Mão de Obra e Serviços'!$A$4:$A$200,0)),"")))</f>
        <v>Chapas de MDF Comum 18mm</v>
      </c>
      <c r="D11" s="52" t="s">
        <v>403</v>
      </c>
      <c r="E11" s="55" t="n">
        <v>3.8</v>
      </c>
      <c r="F11" s="56" t="n">
        <v>1</v>
      </c>
      <c r="G11" s="57" t="n">
        <f aca="false">IF($A11="","",E11*IF(F11="",1,F11))</f>
        <v>3.8</v>
      </c>
      <c r="H11" s="31" t="n">
        <f aca="false">IF($A11="","",IF(SUMIF($A$6:$A$600,$A11,$G$6:$G$600)=0,0,G11/SUMIF($A$6:$A$600,$A11,$G$6:$G$600)))</f>
        <v>0.00955277910455265</v>
      </c>
      <c r="I11" s="30" t="n">
        <f aca="false">IF($A11="","",IFERROR(INDEX('Cotação de Materiais'!$H$4:$H$200,MATCH($A11,'Cotação de Materiais'!$A$4:$A$200,0)),IFERROR(INDEX('Mão de Obra e Serviços'!$G$4:$G$200,MATCH($A11,'Mão de Obra e Serviços'!$A$4:$A$200,0)),0)))</f>
        <v>15607.36</v>
      </c>
      <c r="K11" s="30" t="n">
        <f aca="false">IF($A11="","",I11*H11)</f>
        <v>149.093662485231</v>
      </c>
      <c r="L11" s="58" t="s">
        <v>398</v>
      </c>
      <c r="M11" s="54" t="str">
        <f aca="false">IF($A11="","",IF(B11="CÓDIGO?","CÓDIGO NÃO ACHADO",IF($D11="","FALTA ITEM DO ANEXO",IF($D11="INDIRETO","",IF(COUNTIFS('Anexo III'!$B$8:$B$400,$D11,'Anexo III'!$E$8:$E$400,"&gt;0")=0,"ITEM NÃO ACHADO NO ANEXO","")))))</f>
        <v/>
      </c>
    </row>
    <row r="12" customFormat="false" ht="15" hidden="false" customHeight="false" outlineLevel="0" collapsed="false">
      <c r="A12" s="52" t="s">
        <v>123</v>
      </c>
      <c r="B12" s="53" t="str">
        <f aca="false">IF($A12="","",IF(ISNUMBER(MATCH($A12,'Cotação de Materiais'!$A$4:$A$200,0)),"MAT",IF(ISNUMBER(MATCH($A12,'Mão de Obra e Serviços'!$A$4:$A$200,0)),"MO","CÓDIGO?")))</f>
        <v>MAT</v>
      </c>
      <c r="C12" s="54" t="str">
        <f aca="false">IF($A12="","",IFERROR(INDEX('Cotação de Materiais'!$C$4:$C$200,MATCH($A12,'Cotação de Materiais'!$A$4:$A$200,0)),IFERROR(INDEX('Mão de Obra e Serviços'!$B$4:$B$200,MATCH($A12,'Mão de Obra e Serviços'!$A$4:$A$200,0)),"")))</f>
        <v>Chapas de MDF Comum 18mm</v>
      </c>
      <c r="D12" s="52" t="s">
        <v>404</v>
      </c>
      <c r="E12" s="55" t="n">
        <v>5.2</v>
      </c>
      <c r="F12" s="56" t="n">
        <v>1</v>
      </c>
      <c r="G12" s="57" t="n">
        <f aca="false">IF($A12="","",E12*IF(F12="",1,F12))</f>
        <v>5.2</v>
      </c>
      <c r="H12" s="31" t="n">
        <f aca="false">IF($A12="","",IF(SUMIF($A$6:$A$600,$A12,$G$6:$G$600)=0,0,G12/SUMIF($A$6:$A$600,$A12,$G$6:$G$600)))</f>
        <v>0.0130722240378089</v>
      </c>
      <c r="I12" s="30" t="n">
        <f aca="false">IF($A12="","",IFERROR(INDEX('Cotação de Materiais'!$H$4:$H$200,MATCH($A12,'Cotação de Materiais'!$A$4:$A$200,0)),IFERROR(INDEX('Mão de Obra e Serviços'!$G$4:$G$200,MATCH($A12,'Mão de Obra e Serviços'!$A$4:$A$200,0)),0)))</f>
        <v>15607.36</v>
      </c>
      <c r="K12" s="30" t="n">
        <f aca="false">IF($A12="","",I12*H12)</f>
        <v>204.022906558737</v>
      </c>
      <c r="L12" s="58" t="s">
        <v>398</v>
      </c>
      <c r="M12" s="54" t="str">
        <f aca="false">IF($A12="","",IF(B12="CÓDIGO?","CÓDIGO NÃO ACHADO",IF($D12="","FALTA ITEM DO ANEXO",IF($D12="INDIRETO","",IF(COUNTIFS('Anexo III'!$B$8:$B$400,$D12,'Anexo III'!$E$8:$E$400,"&gt;0")=0,"ITEM NÃO ACHADO NO ANEXO","")))))</f>
        <v/>
      </c>
    </row>
    <row r="13" customFormat="false" ht="15" hidden="false" customHeight="false" outlineLevel="0" collapsed="false">
      <c r="A13" s="52" t="s">
        <v>123</v>
      </c>
      <c r="B13" s="53" t="str">
        <f aca="false">IF($A13="","",IF(ISNUMBER(MATCH($A13,'Cotação de Materiais'!$A$4:$A$200,0)),"MAT",IF(ISNUMBER(MATCH($A13,'Mão de Obra e Serviços'!$A$4:$A$200,0)),"MO","CÓDIGO?")))</f>
        <v>MAT</v>
      </c>
      <c r="C13" s="54" t="str">
        <f aca="false">IF($A13="","",IFERROR(INDEX('Cotação de Materiais'!$C$4:$C$200,MATCH($A13,'Cotação de Materiais'!$A$4:$A$200,0)),IFERROR(INDEX('Mão de Obra e Serviços'!$B$4:$B$200,MATCH($A13,'Mão de Obra e Serviços'!$A$4:$A$200,0)),"")))</f>
        <v>Chapas de MDF Comum 18mm</v>
      </c>
      <c r="D13" s="52" t="s">
        <v>405</v>
      </c>
      <c r="E13" s="55" t="n">
        <v>35</v>
      </c>
      <c r="F13" s="56" t="n">
        <v>1</v>
      </c>
      <c r="G13" s="57" t="n">
        <f aca="false">IF($A13="","",E13*IF(F13="",1,F13))</f>
        <v>35</v>
      </c>
      <c r="H13" s="31" t="n">
        <f aca="false">IF($A13="","",IF(SUMIF($A$6:$A$600,$A13,$G$6:$G$600)=0,0,G13/SUMIF($A$6:$A$600,$A13,$G$6:$G$600)))</f>
        <v>0.087986123331406</v>
      </c>
      <c r="I13" s="30" t="n">
        <f aca="false">IF($A13="","",IFERROR(INDEX('Cotação de Materiais'!$H$4:$H$200,MATCH($A13,'Cotação de Materiais'!$A$4:$A$200,0)),IFERROR(INDEX('Mão de Obra e Serviços'!$G$4:$G$200,MATCH($A13,'Mão de Obra e Serviços'!$A$4:$A$200,0)),0)))</f>
        <v>15607.36</v>
      </c>
      <c r="K13" s="30" t="n">
        <f aca="false">IF($A13="","",I13*H13)</f>
        <v>1373.23110183765</v>
      </c>
      <c r="L13" s="58" t="s">
        <v>398</v>
      </c>
      <c r="M13" s="54" t="str">
        <f aca="false">IF($A13="","",IF(B13="CÓDIGO?","CÓDIGO NÃO ACHADO",IF($D13="","FALTA ITEM DO ANEXO",IF($D13="INDIRETO","",IF(COUNTIFS('Anexo III'!$B$8:$B$400,$D13,'Anexo III'!$E$8:$E$400,"&gt;0")=0,"ITEM NÃO ACHADO NO ANEXO","")))))</f>
        <v/>
      </c>
    </row>
    <row r="14" customFormat="false" ht="15" hidden="false" customHeight="false" outlineLevel="0" collapsed="false">
      <c r="A14" s="52" t="s">
        <v>123</v>
      </c>
      <c r="B14" s="53" t="str">
        <f aca="false">IF($A14="","",IF(ISNUMBER(MATCH($A14,'Cotação de Materiais'!$A$4:$A$200,0)),"MAT",IF(ISNUMBER(MATCH($A14,'Mão de Obra e Serviços'!$A$4:$A$200,0)),"MO","CÓDIGO?")))</f>
        <v>MAT</v>
      </c>
      <c r="C14" s="54" t="str">
        <f aca="false">IF($A14="","",IFERROR(INDEX('Cotação de Materiais'!$C$4:$C$200,MATCH($A14,'Cotação de Materiais'!$A$4:$A$200,0)),IFERROR(INDEX('Mão de Obra e Serviços'!$B$4:$B$200,MATCH($A14,'Mão de Obra e Serviços'!$A$4:$A$200,0)),"")))</f>
        <v>Chapas de MDF Comum 18mm</v>
      </c>
      <c r="D14" s="52" t="s">
        <v>406</v>
      </c>
      <c r="E14" s="55" t="n">
        <v>97</v>
      </c>
      <c r="F14" s="56" t="n">
        <v>1</v>
      </c>
      <c r="G14" s="57" t="n">
        <f aca="false">IF($A14="","",E14*IF(F14="",1,F14))</f>
        <v>97</v>
      </c>
      <c r="H14" s="31" t="n">
        <f aca="false">IF($A14="","",IF(SUMIF($A$6:$A$600,$A14,$G$6:$G$600)=0,0,G14/SUMIF($A$6:$A$600,$A14,$G$6:$G$600)))</f>
        <v>0.243847256089897</v>
      </c>
      <c r="I14" s="30" t="n">
        <f aca="false">IF($A14="","",IFERROR(INDEX('Cotação de Materiais'!$H$4:$H$200,MATCH($A14,'Cotação de Materiais'!$A$4:$A$200,0)),IFERROR(INDEX('Mão de Obra e Serviços'!$G$4:$G$200,MATCH($A14,'Mão de Obra e Serviços'!$A$4:$A$200,0)),0)))</f>
        <v>15607.36</v>
      </c>
      <c r="K14" s="30" t="n">
        <f aca="false">IF($A14="","",I14*H14)</f>
        <v>3805.81191080721</v>
      </c>
      <c r="L14" s="58" t="s">
        <v>398</v>
      </c>
      <c r="M14" s="54" t="str">
        <f aca="false">IF($A14="","",IF(B14="CÓDIGO?","CÓDIGO NÃO ACHADO",IF($D14="","FALTA ITEM DO ANEXO",IF($D14="INDIRETO","",IF(COUNTIFS('Anexo III'!$B$8:$B$400,$D14,'Anexo III'!$E$8:$E$400,"&gt;0")=0,"ITEM NÃO ACHADO NO ANEXO","")))))</f>
        <v/>
      </c>
    </row>
    <row r="15" customFormat="false" ht="15" hidden="false" customHeight="false" outlineLevel="0" collapsed="false">
      <c r="A15" s="52" t="s">
        <v>123</v>
      </c>
      <c r="B15" s="53" t="str">
        <f aca="false">IF($A15="","",IF(ISNUMBER(MATCH($A15,'Cotação de Materiais'!$A$4:$A$200,0)),"MAT",IF(ISNUMBER(MATCH($A15,'Mão de Obra e Serviços'!$A$4:$A$200,0)),"MO","CÓDIGO?")))</f>
        <v>MAT</v>
      </c>
      <c r="C15" s="54" t="str">
        <f aca="false">IF($A15="","",IFERROR(INDEX('Cotação de Materiais'!$C$4:$C$200,MATCH($A15,'Cotação de Materiais'!$A$4:$A$200,0)),IFERROR(INDEX('Mão de Obra e Serviços'!$B$4:$B$200,MATCH($A15,'Mão de Obra e Serviços'!$A$4:$A$200,0)),"")))</f>
        <v>Chapas de MDF Comum 18mm</v>
      </c>
      <c r="D15" s="52" t="s">
        <v>407</v>
      </c>
      <c r="E15" s="55" t="n">
        <v>38.58</v>
      </c>
      <c r="F15" s="56" t="n">
        <v>1</v>
      </c>
      <c r="G15" s="57" t="n">
        <f aca="false">IF($A15="","",E15*IF(F15="",1,F15))</f>
        <v>38.58</v>
      </c>
      <c r="H15" s="31" t="n">
        <f aca="false">IF($A15="","",IF(SUMIF($A$6:$A$600,$A15,$G$6:$G$600)=0,0,G15/SUMIF($A$6:$A$600,$A15,$G$6:$G$600)))</f>
        <v>0.0969858468035898</v>
      </c>
      <c r="I15" s="30" t="n">
        <f aca="false">IF($A15="","",IFERROR(INDEX('Cotação de Materiais'!$H$4:$H$200,MATCH($A15,'Cotação de Materiais'!$A$4:$A$200,0)),IFERROR(INDEX('Mão de Obra e Serviços'!$G$4:$G$200,MATCH($A15,'Mão de Obra e Serviços'!$A$4:$A$200,0)),0)))</f>
        <v>15607.36</v>
      </c>
      <c r="K15" s="30" t="n">
        <f aca="false">IF($A15="","",I15*H15)</f>
        <v>1513.69302596848</v>
      </c>
      <c r="L15" s="58" t="s">
        <v>398</v>
      </c>
      <c r="M15" s="54" t="str">
        <f aca="false">IF($A15="","",IF(B15="CÓDIGO?","CÓDIGO NÃO ACHADO",IF($D15="","FALTA ITEM DO ANEXO",IF($D15="INDIRETO","",IF(COUNTIFS('Anexo III'!$B$8:$B$400,$D15,'Anexo III'!$E$8:$E$400,"&gt;0")=0,"ITEM NÃO ACHADO NO ANEXO","")))))</f>
        <v/>
      </c>
    </row>
    <row r="16" customFormat="false" ht="15" hidden="false" customHeight="false" outlineLevel="0" collapsed="false">
      <c r="A16" s="52" t="s">
        <v>123</v>
      </c>
      <c r="B16" s="53" t="str">
        <f aca="false">IF($A16="","",IF(ISNUMBER(MATCH($A16,'Cotação de Materiais'!$A$4:$A$200,0)),"MAT",IF(ISNUMBER(MATCH($A16,'Mão de Obra e Serviços'!$A$4:$A$200,0)),"MO","CÓDIGO?")))</f>
        <v>MAT</v>
      </c>
      <c r="C16" s="54" t="str">
        <f aca="false">IF($A16="","",IFERROR(INDEX('Cotação de Materiais'!$C$4:$C$200,MATCH($A16,'Cotação de Materiais'!$A$4:$A$200,0)),IFERROR(INDEX('Mão de Obra e Serviços'!$B$4:$B$200,MATCH($A16,'Mão de Obra e Serviços'!$A$4:$A$200,0)),"")))</f>
        <v>Chapas de MDF Comum 18mm</v>
      </c>
      <c r="D16" s="52" t="s">
        <v>408</v>
      </c>
      <c r="E16" s="55" t="n">
        <v>12.5</v>
      </c>
      <c r="F16" s="56" t="n">
        <v>1</v>
      </c>
      <c r="G16" s="57" t="n">
        <f aca="false">IF($A16="","",E16*IF(F16="",1,F16))</f>
        <v>12.5</v>
      </c>
      <c r="H16" s="31" t="n">
        <f aca="false">IF($A16="","",IF(SUMIF($A$6:$A$600,$A16,$G$6:$G$600)=0,0,G16/SUMIF($A$6:$A$600,$A16,$G$6:$G$600)))</f>
        <v>0.0314236154755022</v>
      </c>
      <c r="I16" s="30" t="n">
        <f aca="false">IF($A16="","",IFERROR(INDEX('Cotação de Materiais'!$H$4:$H$200,MATCH($A16,'Cotação de Materiais'!$A$4:$A$200,0)),IFERROR(INDEX('Mão de Obra e Serviços'!$G$4:$G$200,MATCH($A16,'Mão de Obra e Serviços'!$A$4:$A$200,0)),0)))</f>
        <v>15607.36</v>
      </c>
      <c r="K16" s="30" t="n">
        <f aca="false">IF($A16="","",I16*H16)</f>
        <v>490.439679227733</v>
      </c>
      <c r="L16" s="58" t="s">
        <v>398</v>
      </c>
      <c r="M16" s="54" t="str">
        <f aca="false">IF($A16="","",IF(B16="CÓDIGO?","CÓDIGO NÃO ACHADO",IF($D16="","FALTA ITEM DO ANEXO",IF($D16="INDIRETO","",IF(COUNTIFS('Anexo III'!$B$8:$B$400,$D16,'Anexo III'!$E$8:$E$400,"&gt;0")=0,"ITEM NÃO ACHADO NO ANEXO","")))))</f>
        <v/>
      </c>
    </row>
    <row r="17" customFormat="false" ht="15" hidden="false" customHeight="false" outlineLevel="0" collapsed="false">
      <c r="A17" s="52" t="s">
        <v>123</v>
      </c>
      <c r="B17" s="53" t="str">
        <f aca="false">IF($A17="","",IF(ISNUMBER(MATCH($A17,'Cotação de Materiais'!$A$4:$A$200,0)),"MAT",IF(ISNUMBER(MATCH($A17,'Mão de Obra e Serviços'!$A$4:$A$200,0)),"MO","CÓDIGO?")))</f>
        <v>MAT</v>
      </c>
      <c r="C17" s="54" t="str">
        <f aca="false">IF($A17="","",IFERROR(INDEX('Cotação de Materiais'!$C$4:$C$200,MATCH($A17,'Cotação de Materiais'!$A$4:$A$200,0)),IFERROR(INDEX('Mão de Obra e Serviços'!$B$4:$B$200,MATCH($A17,'Mão de Obra e Serviços'!$A$4:$A$200,0)),"")))</f>
        <v>Chapas de MDF Comum 18mm</v>
      </c>
      <c r="D17" s="52" t="s">
        <v>409</v>
      </c>
      <c r="E17" s="55" t="n">
        <v>2.11</v>
      </c>
      <c r="F17" s="56" t="n">
        <v>1</v>
      </c>
      <c r="G17" s="57" t="n">
        <f aca="false">IF($A17="","",E17*IF(F17="",1,F17))</f>
        <v>2.11</v>
      </c>
      <c r="H17" s="31" t="n">
        <f aca="false">IF($A17="","",IF(SUMIF($A$6:$A$600,$A17,$G$6:$G$600)=0,0,G17/SUMIF($A$6:$A$600,$A17,$G$6:$G$600)))</f>
        <v>0.00530430629226476</v>
      </c>
      <c r="I17" s="30" t="n">
        <f aca="false">IF($A17="","",IFERROR(INDEX('Cotação de Materiais'!$H$4:$H$200,MATCH($A17,'Cotação de Materiais'!$A$4:$A$200,0)),IFERROR(INDEX('Mão de Obra e Serviços'!$G$4:$G$200,MATCH($A17,'Mão de Obra e Serviços'!$A$4:$A$200,0)),0)))</f>
        <v>15607.36</v>
      </c>
      <c r="K17" s="30" t="n">
        <f aca="false">IF($A17="","",I17*H17)</f>
        <v>82.7862178536414</v>
      </c>
      <c r="L17" s="58" t="s">
        <v>398</v>
      </c>
      <c r="M17" s="54" t="str">
        <f aca="false">IF($A17="","",IF(B17="CÓDIGO?","CÓDIGO NÃO ACHADO",IF($D17="","FALTA ITEM DO ANEXO",IF($D17="INDIRETO","",IF(COUNTIFS('Anexo III'!$B$8:$B$400,$D17,'Anexo III'!$E$8:$E$400,"&gt;0")=0,"ITEM NÃO ACHADO NO ANEXO","")))))</f>
        <v/>
      </c>
    </row>
    <row r="18" customFormat="false" ht="15" hidden="false" customHeight="false" outlineLevel="0" collapsed="false">
      <c r="A18" s="52" t="s">
        <v>123</v>
      </c>
      <c r="B18" s="53" t="str">
        <f aca="false">IF($A18="","",IF(ISNUMBER(MATCH($A18,'Cotação de Materiais'!$A$4:$A$200,0)),"MAT",IF(ISNUMBER(MATCH($A18,'Mão de Obra e Serviços'!$A$4:$A$200,0)),"MO","CÓDIGO?")))</f>
        <v>MAT</v>
      </c>
      <c r="C18" s="54" t="str">
        <f aca="false">IF($A18="","",IFERROR(INDEX('Cotação de Materiais'!$C$4:$C$200,MATCH($A18,'Cotação de Materiais'!$A$4:$A$200,0)),IFERROR(INDEX('Mão de Obra e Serviços'!$B$4:$B$200,MATCH($A18,'Mão de Obra e Serviços'!$A$4:$A$200,0)),"")))</f>
        <v>Chapas de MDF Comum 18mm</v>
      </c>
      <c r="D18" s="52" t="s">
        <v>410</v>
      </c>
      <c r="E18" s="55" t="n">
        <v>14.85</v>
      </c>
      <c r="F18" s="56" t="n">
        <v>1</v>
      </c>
      <c r="G18" s="57" t="n">
        <f aca="false">IF($A18="","",E18*IF(F18="",1,F18))</f>
        <v>14.85</v>
      </c>
      <c r="H18" s="31" t="n">
        <f aca="false">IF($A18="","",IF(SUMIF($A$6:$A$600,$A18,$G$6:$G$600)=0,0,G18/SUMIF($A$6:$A$600,$A18,$G$6:$G$600)))</f>
        <v>0.0373312551848966</v>
      </c>
      <c r="I18" s="30" t="n">
        <f aca="false">IF($A18="","",IFERROR(INDEX('Cotação de Materiais'!$H$4:$H$200,MATCH($A18,'Cotação de Materiais'!$A$4:$A$200,0)),IFERROR(INDEX('Mão de Obra e Serviços'!$G$4:$G$200,MATCH($A18,'Mão de Obra e Serviços'!$A$4:$A$200,0)),0)))</f>
        <v>15607.36</v>
      </c>
      <c r="K18" s="30" t="n">
        <f aca="false">IF($A18="","",I18*H18)</f>
        <v>582.642338922547</v>
      </c>
      <c r="L18" s="58" t="s">
        <v>398</v>
      </c>
      <c r="M18" s="54" t="str">
        <f aca="false">IF($A18="","",IF(B18="CÓDIGO?","CÓDIGO NÃO ACHADO",IF($D18="","FALTA ITEM DO ANEXO",IF($D18="INDIRETO","",IF(COUNTIFS('Anexo III'!$B$8:$B$400,$D18,'Anexo III'!$E$8:$E$400,"&gt;0")=0,"ITEM NÃO ACHADO NO ANEXO","")))))</f>
        <v/>
      </c>
    </row>
    <row r="19" customFormat="false" ht="15" hidden="false" customHeight="false" outlineLevel="0" collapsed="false">
      <c r="A19" s="52" t="s">
        <v>123</v>
      </c>
      <c r="B19" s="53" t="str">
        <f aca="false">IF($A19="","",IF(ISNUMBER(MATCH($A19,'Cotação de Materiais'!$A$4:$A$200,0)),"MAT",IF(ISNUMBER(MATCH($A19,'Mão de Obra e Serviços'!$A$4:$A$200,0)),"MO","CÓDIGO?")))</f>
        <v>MAT</v>
      </c>
      <c r="C19" s="54" t="str">
        <f aca="false">IF($A19="","",IFERROR(INDEX('Cotação de Materiais'!$C$4:$C$200,MATCH($A19,'Cotação de Materiais'!$A$4:$A$200,0)),IFERROR(INDEX('Mão de Obra e Serviços'!$B$4:$B$200,MATCH($A19,'Mão de Obra e Serviços'!$A$4:$A$200,0)),"")))</f>
        <v>Chapas de MDF Comum 18mm</v>
      </c>
      <c r="D19" s="52" t="s">
        <v>411</v>
      </c>
      <c r="E19" s="55" t="n">
        <v>6.86</v>
      </c>
      <c r="F19" s="56" t="n">
        <v>1</v>
      </c>
      <c r="G19" s="57" t="n">
        <f aca="false">IF($A19="","",E19*IF(F19="",1,F19))</f>
        <v>6.86</v>
      </c>
      <c r="H19" s="31" t="n">
        <f aca="false">IF($A19="","",IF(SUMIF($A$6:$A$600,$A19,$G$6:$G$600)=0,0,G19/SUMIF($A$6:$A$600,$A19,$G$6:$G$600)))</f>
        <v>0.0172452801729556</v>
      </c>
      <c r="I19" s="30" t="n">
        <f aca="false">IF($A19="","",IFERROR(INDEX('Cotação de Materiais'!$H$4:$H$200,MATCH($A19,'Cotação de Materiais'!$A$4:$A$200,0)),IFERROR(INDEX('Mão de Obra e Serviços'!$G$4:$G$200,MATCH($A19,'Mão de Obra e Serviços'!$A$4:$A$200,0)),0)))</f>
        <v>15607.36</v>
      </c>
      <c r="K19" s="30" t="n">
        <f aca="false">IF($A19="","",I19*H19)</f>
        <v>269.15329596018</v>
      </c>
      <c r="L19" s="58" t="s">
        <v>398</v>
      </c>
      <c r="M19" s="54" t="str">
        <f aca="false">IF($A19="","",IF(B19="CÓDIGO?","CÓDIGO NÃO ACHADO",IF($D19="","FALTA ITEM DO ANEXO",IF($D19="INDIRETO","",IF(COUNTIFS('Anexo III'!$B$8:$B$400,$D19,'Anexo III'!$E$8:$E$400,"&gt;0")=0,"ITEM NÃO ACHADO NO ANEXO","")))))</f>
        <v/>
      </c>
    </row>
    <row r="20" customFormat="false" ht="15" hidden="false" customHeight="false" outlineLevel="0" collapsed="false">
      <c r="A20" s="52" t="s">
        <v>123</v>
      </c>
      <c r="B20" s="53" t="str">
        <f aca="false">IF($A20="","",IF(ISNUMBER(MATCH($A20,'Cotação de Materiais'!$A$4:$A$200,0)),"MAT",IF(ISNUMBER(MATCH($A20,'Mão de Obra e Serviços'!$A$4:$A$200,0)),"MO","CÓDIGO?")))</f>
        <v>MAT</v>
      </c>
      <c r="C20" s="54" t="str">
        <f aca="false">IF($A20="","",IFERROR(INDEX('Cotação de Materiais'!$C$4:$C$200,MATCH($A20,'Cotação de Materiais'!$A$4:$A$200,0)),IFERROR(INDEX('Mão de Obra e Serviços'!$B$4:$B$200,MATCH($A20,'Mão de Obra e Serviços'!$A$4:$A$200,0)),"")))</f>
        <v>Chapas de MDF Comum 18mm</v>
      </c>
      <c r="D20" s="52" t="s">
        <v>412</v>
      </c>
      <c r="E20" s="55" t="n">
        <v>5.45</v>
      </c>
      <c r="F20" s="56" t="n">
        <v>1</v>
      </c>
      <c r="G20" s="57" t="n">
        <f aca="false">IF($A20="","",E20*IF(F20="",1,F20))</f>
        <v>5.45</v>
      </c>
      <c r="H20" s="31" t="n">
        <f aca="false">IF($A20="","",IF(SUMIF($A$6:$A$600,$A20,$G$6:$G$600)=0,0,G20/SUMIF($A$6:$A$600,$A20,$G$6:$G$600)))</f>
        <v>0.0137006963473189</v>
      </c>
      <c r="I20" s="30" t="n">
        <f aca="false">IF($A20="","",IFERROR(INDEX('Cotação de Materiais'!$H$4:$H$200,MATCH($A20,'Cotação de Materiais'!$A$4:$A$200,0)),IFERROR(INDEX('Mão de Obra e Serviços'!$G$4:$G$200,MATCH($A20,'Mão de Obra e Serviços'!$A$4:$A$200,0)),0)))</f>
        <v>15607.36</v>
      </c>
      <c r="K20" s="30" t="n">
        <f aca="false">IF($A20="","",I20*H20)</f>
        <v>213.831700143292</v>
      </c>
      <c r="L20" s="58" t="s">
        <v>398</v>
      </c>
      <c r="M20" s="54" t="str">
        <f aca="false">IF($A20="","",IF(B20="CÓDIGO?","CÓDIGO NÃO ACHADO",IF($D20="","FALTA ITEM DO ANEXO",IF($D20="INDIRETO","",IF(COUNTIFS('Anexo III'!$B$8:$B$400,$D20,'Anexo III'!$E$8:$E$400,"&gt;0")=0,"ITEM NÃO ACHADO NO ANEXO","")))))</f>
        <v/>
      </c>
    </row>
    <row r="21" customFormat="false" ht="15" hidden="false" customHeight="false" outlineLevel="0" collapsed="false">
      <c r="A21" s="52" t="s">
        <v>123</v>
      </c>
      <c r="B21" s="53" t="str">
        <f aca="false">IF($A21="","",IF(ISNUMBER(MATCH($A21,'Cotação de Materiais'!$A$4:$A$200,0)),"MAT",IF(ISNUMBER(MATCH($A21,'Mão de Obra e Serviços'!$A$4:$A$200,0)),"MO","CÓDIGO?")))</f>
        <v>MAT</v>
      </c>
      <c r="C21" s="54" t="str">
        <f aca="false">IF($A21="","",IFERROR(INDEX('Cotação de Materiais'!$C$4:$C$200,MATCH($A21,'Cotação de Materiais'!$A$4:$A$200,0)),IFERROR(INDEX('Mão de Obra e Serviços'!$B$4:$B$200,MATCH($A21,'Mão de Obra e Serviços'!$A$4:$A$200,0)),"")))</f>
        <v>Chapas de MDF Comum 18mm</v>
      </c>
      <c r="D21" s="52" t="s">
        <v>413</v>
      </c>
      <c r="E21" s="55" t="n">
        <v>2.86</v>
      </c>
      <c r="F21" s="56" t="n">
        <v>1</v>
      </c>
      <c r="G21" s="57" t="n">
        <f aca="false">IF($A21="","",E21*IF(F21="",1,F21))</f>
        <v>2.86</v>
      </c>
      <c r="H21" s="31" t="n">
        <f aca="false">IF($A21="","",IF(SUMIF($A$6:$A$600,$A21,$G$6:$G$600)=0,0,G21/SUMIF($A$6:$A$600,$A21,$G$6:$G$600)))</f>
        <v>0.00718972322079489</v>
      </c>
      <c r="I21" s="30" t="n">
        <f aca="false">IF($A21="","",IFERROR(INDEX('Cotação de Materiais'!$H$4:$H$200,MATCH($A21,'Cotação de Materiais'!$A$4:$A$200,0)),IFERROR(INDEX('Mão de Obra e Serviços'!$G$4:$G$200,MATCH($A21,'Mão de Obra e Serviços'!$A$4:$A$200,0)),0)))</f>
        <v>15607.36</v>
      </c>
      <c r="K21" s="30" t="n">
        <f aca="false">IF($A21="","",I21*H21)</f>
        <v>112.212598607305</v>
      </c>
      <c r="L21" s="58" t="s">
        <v>398</v>
      </c>
      <c r="M21" s="54" t="str">
        <f aca="false">IF($A21="","",IF(B21="CÓDIGO?","CÓDIGO NÃO ACHADO",IF($D21="","FALTA ITEM DO ANEXO",IF($D21="INDIRETO","",IF(COUNTIFS('Anexo III'!$B$8:$B$400,$D21,'Anexo III'!$E$8:$E$400,"&gt;0")=0,"ITEM NÃO ACHADO NO ANEXO","")))))</f>
        <v/>
      </c>
    </row>
    <row r="22" customFormat="false" ht="15" hidden="false" customHeight="false" outlineLevel="0" collapsed="false">
      <c r="A22" s="52" t="s">
        <v>123</v>
      </c>
      <c r="B22" s="53" t="str">
        <f aca="false">IF($A22="","",IF(ISNUMBER(MATCH($A22,'Cotação de Materiais'!$A$4:$A$200,0)),"MAT",IF(ISNUMBER(MATCH($A22,'Mão de Obra e Serviços'!$A$4:$A$200,0)),"MO","CÓDIGO?")))</f>
        <v>MAT</v>
      </c>
      <c r="C22" s="54" t="str">
        <f aca="false">IF($A22="","",IFERROR(INDEX('Cotação de Materiais'!$C$4:$C$200,MATCH($A22,'Cotação de Materiais'!$A$4:$A$200,0)),IFERROR(INDEX('Mão de Obra e Serviços'!$B$4:$B$200,MATCH($A22,'Mão de Obra e Serviços'!$A$4:$A$200,0)),"")))</f>
        <v>Chapas de MDF Comum 18mm</v>
      </c>
      <c r="D22" s="52" t="s">
        <v>414</v>
      </c>
      <c r="E22" s="55" t="n">
        <v>3.98</v>
      </c>
      <c r="F22" s="56" t="n">
        <v>1</v>
      </c>
      <c r="G22" s="57" t="n">
        <f aca="false">IF($A22="","",E22*IF(F22="",1,F22))</f>
        <v>3.98</v>
      </c>
      <c r="H22" s="31" t="n">
        <f aca="false">IF($A22="","",IF(SUMIF($A$6:$A$600,$A22,$G$6:$G$600)=0,0,G22/SUMIF($A$6:$A$600,$A22,$G$6:$G$600)))</f>
        <v>0.0100052791673999</v>
      </c>
      <c r="I22" s="30" t="n">
        <f aca="false">IF($A22="","",IFERROR(INDEX('Cotação de Materiais'!$H$4:$H$200,MATCH($A22,'Cotação de Materiais'!$A$4:$A$200,0)),IFERROR(INDEX('Mão de Obra e Serviços'!$G$4:$G$200,MATCH($A22,'Mão de Obra e Serviços'!$A$4:$A$200,0)),0)))</f>
        <v>15607.36</v>
      </c>
      <c r="K22" s="30" t="n">
        <f aca="false">IF($A22="","",I22*H22)</f>
        <v>156.15599386611</v>
      </c>
      <c r="L22" s="58" t="s">
        <v>398</v>
      </c>
      <c r="M22" s="54" t="str">
        <f aca="false">IF($A22="","",IF(B22="CÓDIGO?","CÓDIGO NÃO ACHADO",IF($D22="","FALTA ITEM DO ANEXO",IF($D22="INDIRETO","",IF(COUNTIFS('Anexo III'!$B$8:$B$400,$D22,'Anexo III'!$E$8:$E$400,"&gt;0")=0,"ITEM NÃO ACHADO NO ANEXO","")))))</f>
        <v/>
      </c>
    </row>
    <row r="23" customFormat="false" ht="15" hidden="false" customHeight="false" outlineLevel="0" collapsed="false">
      <c r="A23" s="52" t="s">
        <v>123</v>
      </c>
      <c r="B23" s="53" t="str">
        <f aca="false">IF($A23="","",IF(ISNUMBER(MATCH($A23,'Cotação de Materiais'!$A$4:$A$200,0)),"MAT",IF(ISNUMBER(MATCH($A23,'Mão de Obra e Serviços'!$A$4:$A$200,0)),"MO","CÓDIGO?")))</f>
        <v>MAT</v>
      </c>
      <c r="C23" s="54" t="str">
        <f aca="false">IF($A23="","",IFERROR(INDEX('Cotação de Materiais'!$C$4:$C$200,MATCH($A23,'Cotação de Materiais'!$A$4:$A$200,0)),IFERROR(INDEX('Mão de Obra e Serviços'!$B$4:$B$200,MATCH($A23,'Mão de Obra e Serviços'!$A$4:$A$200,0)),"")))</f>
        <v>Chapas de MDF Comum 18mm</v>
      </c>
      <c r="D23" s="52" t="s">
        <v>415</v>
      </c>
      <c r="E23" s="55" t="n">
        <v>2.88</v>
      </c>
      <c r="F23" s="56" t="n">
        <v>1</v>
      </c>
      <c r="G23" s="57" t="n">
        <f aca="false">IF($A23="","",E23*IF(F23="",1,F23))</f>
        <v>2.88</v>
      </c>
      <c r="H23" s="31" t="n">
        <f aca="false">IF($A23="","",IF(SUMIF($A$6:$A$600,$A23,$G$6:$G$600)=0,0,G23/SUMIF($A$6:$A$600,$A23,$G$6:$G$600)))</f>
        <v>0.00724000100555569</v>
      </c>
      <c r="I23" s="30" t="n">
        <f aca="false">IF($A23="","",IFERROR(INDEX('Cotação de Materiais'!$H$4:$H$200,MATCH($A23,'Cotação de Materiais'!$A$4:$A$200,0)),IFERROR(INDEX('Mão de Obra e Serviços'!$G$4:$G$200,MATCH($A23,'Mão de Obra e Serviços'!$A$4:$A$200,0)),0)))</f>
        <v>15607.36</v>
      </c>
      <c r="K23" s="30" t="n">
        <f aca="false">IF($A23="","",I23*H23)</f>
        <v>112.99730209407</v>
      </c>
      <c r="L23" s="58" t="s">
        <v>398</v>
      </c>
      <c r="M23" s="54" t="str">
        <f aca="false">IF($A23="","",IF(B23="CÓDIGO?","CÓDIGO NÃO ACHADO",IF($D23="","FALTA ITEM DO ANEXO",IF($D23="INDIRETO","",IF(COUNTIFS('Anexo III'!$B$8:$B$400,$D23,'Anexo III'!$E$8:$E$400,"&gt;0")=0,"ITEM NÃO ACHADO NO ANEXO","")))))</f>
        <v/>
      </c>
    </row>
    <row r="24" customFormat="false" ht="15" hidden="false" customHeight="false" outlineLevel="0" collapsed="false">
      <c r="A24" s="52" t="s">
        <v>123</v>
      </c>
      <c r="B24" s="53" t="str">
        <f aca="false">IF($A24="","",IF(ISNUMBER(MATCH($A24,'Cotação de Materiais'!$A$4:$A$200,0)),"MAT",IF(ISNUMBER(MATCH($A24,'Mão de Obra e Serviços'!$A$4:$A$200,0)),"MO","CÓDIGO?")))</f>
        <v>MAT</v>
      </c>
      <c r="C24" s="54" t="str">
        <f aca="false">IF($A24="","",IFERROR(INDEX('Cotação de Materiais'!$C$4:$C$200,MATCH($A24,'Cotação de Materiais'!$A$4:$A$200,0)),IFERROR(INDEX('Mão de Obra e Serviços'!$B$4:$B$200,MATCH($A24,'Mão de Obra e Serviços'!$A$4:$A$200,0)),"")))</f>
        <v>Chapas de MDF Comum 18mm</v>
      </c>
      <c r="D24" s="52" t="s">
        <v>416</v>
      </c>
      <c r="E24" s="55" t="n">
        <v>17.78</v>
      </c>
      <c r="F24" s="56" t="n">
        <v>1</v>
      </c>
      <c r="G24" s="57" t="n">
        <f aca="false">IF($A24="","",E24*IF(F24="",1,F24))</f>
        <v>17.78</v>
      </c>
      <c r="H24" s="31" t="n">
        <f aca="false">IF($A24="","",IF(SUMIF($A$6:$A$600,$A24,$G$6:$G$600)=0,0,G24/SUMIF($A$6:$A$600,$A24,$G$6:$G$600)))</f>
        <v>0.0446969506523543</v>
      </c>
      <c r="I24" s="30" t="n">
        <f aca="false">IF($A24="","",IFERROR(INDEX('Cotação de Materiais'!$H$4:$H$200,MATCH($A24,'Cotação de Materiais'!$A$4:$A$200,0)),IFERROR(INDEX('Mão de Obra e Serviços'!$G$4:$G$200,MATCH($A24,'Mão de Obra e Serviços'!$A$4:$A$200,0)),0)))</f>
        <v>15607.36</v>
      </c>
      <c r="K24" s="30" t="n">
        <f aca="false">IF($A24="","",I24*H24)</f>
        <v>697.601399733528</v>
      </c>
      <c r="L24" s="58" t="s">
        <v>398</v>
      </c>
      <c r="M24" s="54" t="str">
        <f aca="false">IF($A24="","",IF(B24="CÓDIGO?","CÓDIGO NÃO ACHADO",IF($D24="","FALTA ITEM DO ANEXO",IF($D24="INDIRETO","",IF(COUNTIFS('Anexo III'!$B$8:$B$400,$D24,'Anexo III'!$E$8:$E$400,"&gt;0")=0,"ITEM NÃO ACHADO NO ANEXO","")))))</f>
        <v/>
      </c>
    </row>
    <row r="25" customFormat="false" ht="15" hidden="false" customHeight="false" outlineLevel="0" collapsed="false">
      <c r="A25" s="52" t="s">
        <v>123</v>
      </c>
      <c r="B25" s="53" t="str">
        <f aca="false">IF($A25="","",IF(ISNUMBER(MATCH($A25,'Cotação de Materiais'!$A$4:$A$200,0)),"MAT",IF(ISNUMBER(MATCH($A25,'Mão de Obra e Serviços'!$A$4:$A$200,0)),"MO","CÓDIGO?")))</f>
        <v>MAT</v>
      </c>
      <c r="C25" s="54" t="str">
        <f aca="false">IF($A25="","",IFERROR(INDEX('Cotação de Materiais'!$C$4:$C$200,MATCH($A25,'Cotação de Materiais'!$A$4:$A$200,0)),IFERROR(INDEX('Mão de Obra e Serviços'!$B$4:$B$200,MATCH($A25,'Mão de Obra e Serviços'!$A$4:$A$200,0)),"")))</f>
        <v>Chapas de MDF Comum 18mm</v>
      </c>
      <c r="D25" s="52" t="s">
        <v>417</v>
      </c>
      <c r="E25" s="55" t="n">
        <v>17.23</v>
      </c>
      <c r="F25" s="56" t="n">
        <v>1</v>
      </c>
      <c r="G25" s="57" t="n">
        <f aca="false">IF($A25="","",E25*IF(F25="",1,F25))</f>
        <v>17.23</v>
      </c>
      <c r="H25" s="31" t="n">
        <f aca="false">IF($A25="","",IF(SUMIF($A$6:$A$600,$A25,$G$6:$G$600)=0,0,G25/SUMIF($A$6:$A$600,$A25,$G$6:$G$600)))</f>
        <v>0.0433143115714322</v>
      </c>
      <c r="I25" s="30" t="n">
        <f aca="false">IF($A25="","",IFERROR(INDEX('Cotação de Materiais'!$H$4:$H$200,MATCH($A25,'Cotação de Materiais'!$A$4:$A$200,0)),IFERROR(INDEX('Mão de Obra e Serviços'!$G$4:$G$200,MATCH($A25,'Mão de Obra e Serviços'!$A$4:$A$200,0)),0)))</f>
        <v>15607.36</v>
      </c>
      <c r="K25" s="30" t="n">
        <f aca="false">IF($A25="","",I25*H25)</f>
        <v>676.022053847507</v>
      </c>
      <c r="L25" s="58" t="s">
        <v>398</v>
      </c>
      <c r="M25" s="54" t="str">
        <f aca="false">IF($A25="","",IF(B25="CÓDIGO?","CÓDIGO NÃO ACHADO",IF($D25="","FALTA ITEM DO ANEXO",IF($D25="INDIRETO","",IF(COUNTIFS('Anexo III'!$B$8:$B$400,$D25,'Anexo III'!$E$8:$E$400,"&gt;0")=0,"ITEM NÃO ACHADO NO ANEXO","")))))</f>
        <v/>
      </c>
    </row>
    <row r="26" customFormat="false" ht="15" hidden="false" customHeight="false" outlineLevel="0" collapsed="false">
      <c r="A26" s="52" t="s">
        <v>123</v>
      </c>
      <c r="B26" s="53" t="str">
        <f aca="false">IF($A26="","",IF(ISNUMBER(MATCH($A26,'Cotação de Materiais'!$A$4:$A$200,0)),"MAT",IF(ISNUMBER(MATCH($A26,'Mão de Obra e Serviços'!$A$4:$A$200,0)),"MO","CÓDIGO?")))</f>
        <v>MAT</v>
      </c>
      <c r="C26" s="54" t="str">
        <f aca="false">IF($A26="","",IFERROR(INDEX('Cotação de Materiais'!$C$4:$C$200,MATCH($A26,'Cotação de Materiais'!$A$4:$A$200,0)),IFERROR(INDEX('Mão de Obra e Serviços'!$B$4:$B$200,MATCH($A26,'Mão de Obra e Serviços'!$A$4:$A$200,0)),"")))</f>
        <v>Chapas de MDF Comum 18mm</v>
      </c>
      <c r="D26" s="52" t="s">
        <v>418</v>
      </c>
      <c r="E26" s="55" t="n">
        <v>32.41</v>
      </c>
      <c r="F26" s="56" t="n">
        <v>1</v>
      </c>
      <c r="G26" s="57" t="n">
        <f aca="false">IF($A26="","",E26*IF(F26="",1,F26))</f>
        <v>32.41</v>
      </c>
      <c r="H26" s="31" t="n">
        <f aca="false">IF($A26="","",IF(SUMIF($A$6:$A$600,$A26,$G$6:$G$600)=0,0,G26/SUMIF($A$6:$A$600,$A26,$G$6:$G$600)))</f>
        <v>0.081475150204882</v>
      </c>
      <c r="I26" s="30" t="n">
        <f aca="false">IF($A26="","",IFERROR(INDEX('Cotação de Materiais'!$H$4:$H$200,MATCH($A26,'Cotação de Materiais'!$A$4:$A$200,0)),IFERROR(INDEX('Mão de Obra e Serviços'!$G$4:$G$200,MATCH($A26,'Mão de Obra e Serviços'!$A$4:$A$200,0)),0)))</f>
        <v>15607.36</v>
      </c>
      <c r="K26" s="30" t="n">
        <f aca="false">IF($A26="","",I26*H26)</f>
        <v>1271.61200030167</v>
      </c>
      <c r="L26" s="58" t="s">
        <v>398</v>
      </c>
      <c r="M26" s="54" t="str">
        <f aca="false">IF($A26="","",IF(B26="CÓDIGO?","CÓDIGO NÃO ACHADO",IF($D26="","FALTA ITEM DO ANEXO",IF($D26="INDIRETO","",IF(COUNTIFS('Anexo III'!$B$8:$B$400,$D26,'Anexo III'!$E$8:$E$400,"&gt;0")=0,"ITEM NÃO ACHADO NO ANEXO","")))))</f>
        <v/>
      </c>
    </row>
    <row r="27" customFormat="false" ht="15" hidden="false" customHeight="false" outlineLevel="0" collapsed="false">
      <c r="A27" s="52" t="s">
        <v>129</v>
      </c>
      <c r="B27" s="53" t="str">
        <f aca="false">IF($A27="","",IF(ISNUMBER(MATCH($A27,'Cotação de Materiais'!$A$4:$A$200,0)),"MAT",IF(ISNUMBER(MATCH($A27,'Mão de Obra e Serviços'!$A$4:$A$200,0)),"MO","CÓDIGO?")))</f>
        <v>MAT</v>
      </c>
      <c r="C27" s="54" t="str">
        <f aca="false">IF($A27="","",IFERROR(INDEX('Cotação de Materiais'!$C$4:$C$200,MATCH($A27,'Cotação de Materiais'!$A$4:$A$200,0)),IFERROR(INDEX('Mão de Obra e Serviços'!$B$4:$B$200,MATCH($A27,'Mão de Obra e Serviços'!$A$4:$A$200,0)),"")))</f>
        <v>Chapas de MDF Comum 10mm</v>
      </c>
      <c r="D27" s="52" t="s">
        <v>419</v>
      </c>
      <c r="E27" s="55" t="n">
        <v>5.86</v>
      </c>
      <c r="F27" s="56" t="n">
        <v>1</v>
      </c>
      <c r="G27" s="57" t="n">
        <f aca="false">IF($A27="","",E27*IF(F27="",1,F27))</f>
        <v>5.86</v>
      </c>
      <c r="H27" s="31" t="n">
        <f aca="false">IF($A27="","",IF(SUMIF($A$6:$A$600,$A27,$G$6:$G$600)=0,0,G27/SUMIF($A$6:$A$600,$A27,$G$6:$G$600)))</f>
        <v>0.252913249892102</v>
      </c>
      <c r="I27" s="30" t="n">
        <f aca="false">IF($A27="","",IFERROR(INDEX('Cotação de Materiais'!$H$4:$H$200,MATCH($A27,'Cotação de Materiais'!$A$4:$A$200,0)),IFERROR(INDEX('Mão de Obra e Serviços'!$G$4:$G$200,MATCH($A27,'Mão de Obra e Serviços'!$A$4:$A$200,0)),0)))</f>
        <v>1503.9</v>
      </c>
      <c r="K27" s="30" t="n">
        <f aca="false">IF($A27="","",I27*H27)</f>
        <v>380.356236512732</v>
      </c>
      <c r="L27" s="58" t="s">
        <v>420</v>
      </c>
      <c r="M27" s="54" t="str">
        <f aca="false">IF($A27="","",IF(B27="CÓDIGO?","CÓDIGO NÃO ACHADO",IF($D27="","FALTA ITEM DO ANEXO",IF($D27="INDIRETO","",IF(COUNTIFS('Anexo III'!$B$8:$B$400,$D27,'Anexo III'!$E$8:$E$400,"&gt;0")=0,"ITEM NÃO ACHADO NO ANEXO","")))))</f>
        <v/>
      </c>
    </row>
    <row r="28" customFormat="false" ht="15" hidden="false" customHeight="false" outlineLevel="0" collapsed="false">
      <c r="A28" s="52" t="s">
        <v>129</v>
      </c>
      <c r="B28" s="53" t="str">
        <f aca="false">IF($A28="","",IF(ISNUMBER(MATCH($A28,'Cotação de Materiais'!$A$4:$A$200,0)),"MAT",IF(ISNUMBER(MATCH($A28,'Mão de Obra e Serviços'!$A$4:$A$200,0)),"MO","CÓDIGO?")))</f>
        <v>MAT</v>
      </c>
      <c r="C28" s="54" t="str">
        <f aca="false">IF($A28="","",IFERROR(INDEX('Cotação de Materiais'!$C$4:$C$200,MATCH($A28,'Cotação de Materiais'!$A$4:$A$200,0)),IFERROR(INDEX('Mão de Obra e Serviços'!$B$4:$B$200,MATCH($A28,'Mão de Obra e Serviços'!$A$4:$A$200,0)),"")))</f>
        <v>Chapas de MDF Comum 10mm</v>
      </c>
      <c r="D28" s="52" t="s">
        <v>421</v>
      </c>
      <c r="E28" s="55" t="n">
        <v>2.93</v>
      </c>
      <c r="F28" s="56" t="n">
        <v>1</v>
      </c>
      <c r="G28" s="57" t="n">
        <f aca="false">IF($A28="","",E28*IF(F28="",1,F28))</f>
        <v>2.93</v>
      </c>
      <c r="H28" s="31" t="n">
        <f aca="false">IF($A28="","",IF(SUMIF($A$6:$A$600,$A28,$G$6:$G$600)=0,0,G28/SUMIF($A$6:$A$600,$A28,$G$6:$G$600)))</f>
        <v>0.126456624946051</v>
      </c>
      <c r="I28" s="30" t="n">
        <f aca="false">IF($A28="","",IFERROR(INDEX('Cotação de Materiais'!$H$4:$H$200,MATCH($A28,'Cotação de Materiais'!$A$4:$A$200,0)),IFERROR(INDEX('Mão de Obra e Serviços'!$G$4:$G$200,MATCH($A28,'Mão de Obra e Serviços'!$A$4:$A$200,0)),0)))</f>
        <v>1503.9</v>
      </c>
      <c r="K28" s="30" t="n">
        <f aca="false">IF($A28="","",I28*H28)</f>
        <v>190.178118256366</v>
      </c>
      <c r="L28" s="58" t="s">
        <v>420</v>
      </c>
      <c r="M28" s="54" t="str">
        <f aca="false">IF($A28="","",IF(B28="CÓDIGO?","CÓDIGO NÃO ACHADO",IF($D28="","FALTA ITEM DO ANEXO",IF($D28="INDIRETO","",IF(COUNTIFS('Anexo III'!$B$8:$B$400,$D28,'Anexo III'!$E$8:$E$400,"&gt;0")=0,"ITEM NÃO ACHADO NO ANEXO","")))))</f>
        <v/>
      </c>
    </row>
    <row r="29" customFormat="false" ht="15" hidden="false" customHeight="false" outlineLevel="0" collapsed="false">
      <c r="A29" s="52" t="s">
        <v>129</v>
      </c>
      <c r="B29" s="53" t="str">
        <f aca="false">IF($A29="","",IF(ISNUMBER(MATCH($A29,'Cotação de Materiais'!$A$4:$A$200,0)),"MAT",IF(ISNUMBER(MATCH($A29,'Mão de Obra e Serviços'!$A$4:$A$200,0)),"MO","CÓDIGO?")))</f>
        <v>MAT</v>
      </c>
      <c r="C29" s="54" t="str">
        <f aca="false">IF($A29="","",IFERROR(INDEX('Cotação de Materiais'!$C$4:$C$200,MATCH($A29,'Cotação de Materiais'!$A$4:$A$200,0)),IFERROR(INDEX('Mão de Obra e Serviços'!$B$4:$B$200,MATCH($A29,'Mão de Obra e Serviços'!$A$4:$A$200,0)),"")))</f>
        <v>Chapas de MDF Comum 10mm</v>
      </c>
      <c r="D29" s="52" t="s">
        <v>422</v>
      </c>
      <c r="E29" s="55" t="n">
        <v>2.93</v>
      </c>
      <c r="F29" s="56" t="n">
        <v>1</v>
      </c>
      <c r="G29" s="57" t="n">
        <f aca="false">IF($A29="","",E29*IF(F29="",1,F29))</f>
        <v>2.93</v>
      </c>
      <c r="H29" s="31" t="n">
        <f aca="false">IF($A29="","",IF(SUMIF($A$6:$A$600,$A29,$G$6:$G$600)=0,0,G29/SUMIF($A$6:$A$600,$A29,$G$6:$G$600)))</f>
        <v>0.126456624946051</v>
      </c>
      <c r="I29" s="30" t="n">
        <f aca="false">IF($A29="","",IFERROR(INDEX('Cotação de Materiais'!$H$4:$H$200,MATCH($A29,'Cotação de Materiais'!$A$4:$A$200,0)),IFERROR(INDEX('Mão de Obra e Serviços'!$G$4:$G$200,MATCH($A29,'Mão de Obra e Serviços'!$A$4:$A$200,0)),0)))</f>
        <v>1503.9</v>
      </c>
      <c r="K29" s="30" t="n">
        <f aca="false">IF($A29="","",I29*H29)</f>
        <v>190.178118256366</v>
      </c>
      <c r="L29" s="58" t="s">
        <v>420</v>
      </c>
      <c r="M29" s="54" t="str">
        <f aca="false">IF($A29="","",IF(B29="CÓDIGO?","CÓDIGO NÃO ACHADO",IF($D29="","FALTA ITEM DO ANEXO",IF($D29="INDIRETO","",IF(COUNTIFS('Anexo III'!$B$8:$B$400,$D29,'Anexo III'!$E$8:$E$400,"&gt;0")=0,"ITEM NÃO ACHADO NO ANEXO","")))))</f>
        <v/>
      </c>
    </row>
    <row r="30" customFormat="false" ht="15" hidden="false" customHeight="false" outlineLevel="0" collapsed="false">
      <c r="A30" s="52" t="s">
        <v>129</v>
      </c>
      <c r="B30" s="53" t="str">
        <f aca="false">IF($A30="","",IF(ISNUMBER(MATCH($A30,'Cotação de Materiais'!$A$4:$A$200,0)),"MAT",IF(ISNUMBER(MATCH($A30,'Mão de Obra e Serviços'!$A$4:$A$200,0)),"MO","CÓDIGO?")))</f>
        <v>MAT</v>
      </c>
      <c r="C30" s="54" t="str">
        <f aca="false">IF($A30="","",IFERROR(INDEX('Cotação de Materiais'!$C$4:$C$200,MATCH($A30,'Cotação de Materiais'!$A$4:$A$200,0)),IFERROR(INDEX('Mão de Obra e Serviços'!$B$4:$B$200,MATCH($A30,'Mão de Obra e Serviços'!$A$4:$A$200,0)),"")))</f>
        <v>Chapas de MDF Comum 10mm</v>
      </c>
      <c r="D30" s="52" t="s">
        <v>423</v>
      </c>
      <c r="E30" s="55" t="n">
        <v>2.43</v>
      </c>
      <c r="F30" s="56" t="n">
        <v>1</v>
      </c>
      <c r="G30" s="57" t="n">
        <f aca="false">IF($A30="","",E30*IF(F30="",1,F30))</f>
        <v>2.43</v>
      </c>
      <c r="H30" s="31" t="n">
        <f aca="false">IF($A30="","",IF(SUMIF($A$6:$A$600,$A30,$G$6:$G$600)=0,0,G30/SUMIF($A$6:$A$600,$A30,$G$6:$G$600)))</f>
        <v>0.104876996115667</v>
      </c>
      <c r="I30" s="30" t="n">
        <f aca="false">IF($A30="","",IFERROR(INDEX('Cotação de Materiais'!$H$4:$H$200,MATCH($A30,'Cotação de Materiais'!$A$4:$A$200,0)),IFERROR(INDEX('Mão de Obra e Serviços'!$G$4:$G$200,MATCH($A30,'Mão de Obra e Serviços'!$A$4:$A$200,0)),0)))</f>
        <v>1503.9</v>
      </c>
      <c r="K30" s="30" t="n">
        <f aca="false">IF($A30="","",I30*H30)</f>
        <v>157.724514458351</v>
      </c>
      <c r="L30" s="58" t="s">
        <v>420</v>
      </c>
      <c r="M30" s="54" t="str">
        <f aca="false">IF($A30="","",IF(B30="CÓDIGO?","CÓDIGO NÃO ACHADO",IF($D30="","FALTA ITEM DO ANEXO",IF($D30="INDIRETO","",IF(COUNTIFS('Anexo III'!$B$8:$B$400,$D30,'Anexo III'!$E$8:$E$400,"&gt;0")=0,"ITEM NÃO ACHADO NO ANEXO","")))))</f>
        <v/>
      </c>
    </row>
    <row r="31" customFormat="false" ht="15" hidden="false" customHeight="false" outlineLevel="0" collapsed="false">
      <c r="A31" s="52" t="s">
        <v>129</v>
      </c>
      <c r="B31" s="53" t="str">
        <f aca="false">IF($A31="","",IF(ISNUMBER(MATCH($A31,'Cotação de Materiais'!$A$4:$A$200,0)),"MAT",IF(ISNUMBER(MATCH($A31,'Mão de Obra e Serviços'!$A$4:$A$200,0)),"MO","CÓDIGO?")))</f>
        <v>MAT</v>
      </c>
      <c r="C31" s="54" t="str">
        <f aca="false">IF($A31="","",IFERROR(INDEX('Cotação de Materiais'!$C$4:$C$200,MATCH($A31,'Cotação de Materiais'!$A$4:$A$200,0)),IFERROR(INDEX('Mão de Obra e Serviços'!$B$4:$B$200,MATCH($A31,'Mão de Obra e Serviços'!$A$4:$A$200,0)),"")))</f>
        <v>Chapas de MDF Comum 10mm</v>
      </c>
      <c r="D31" s="52" t="s">
        <v>424</v>
      </c>
      <c r="E31" s="55" t="n">
        <v>8.79</v>
      </c>
      <c r="F31" s="56" t="n">
        <v>1</v>
      </c>
      <c r="G31" s="57" t="n">
        <f aca="false">IF($A31="","",E31*IF(F31="",1,F31))</f>
        <v>8.79</v>
      </c>
      <c r="H31" s="31" t="n">
        <f aca="false">IF($A31="","",IF(SUMIF($A$6:$A$600,$A31,$G$6:$G$600)=0,0,G31/SUMIF($A$6:$A$600,$A31,$G$6:$G$600)))</f>
        <v>0.379369874838153</v>
      </c>
      <c r="I31" s="30" t="n">
        <f aca="false">IF($A31="","",IFERROR(INDEX('Cotação de Materiais'!$H$4:$H$200,MATCH($A31,'Cotação de Materiais'!$A$4:$A$200,0)),IFERROR(INDEX('Mão de Obra e Serviços'!$G$4:$G$200,MATCH($A31,'Mão de Obra e Serviços'!$A$4:$A$200,0)),0)))</f>
        <v>1503.9</v>
      </c>
      <c r="K31" s="30" t="n">
        <f aca="false">IF($A31="","",I31*H31)</f>
        <v>570.534354769098</v>
      </c>
      <c r="L31" s="58" t="s">
        <v>420</v>
      </c>
      <c r="M31" s="54" t="str">
        <f aca="false">IF($A31="","",IF(B31="CÓDIGO?","CÓDIGO NÃO ACHADO",IF($D31="","FALTA ITEM DO ANEXO",IF($D31="INDIRETO","",IF(COUNTIFS('Anexo III'!$B$8:$B$400,$D31,'Anexo III'!$E$8:$E$400,"&gt;0")=0,"ITEM NÃO ACHADO NO ANEXO","")))))</f>
        <v/>
      </c>
    </row>
    <row r="32" customFormat="false" ht="15" hidden="false" customHeight="false" outlineLevel="0" collapsed="false">
      <c r="A32" s="52" t="s">
        <v>129</v>
      </c>
      <c r="B32" s="53" t="str">
        <f aca="false">IF($A32="","",IF(ISNUMBER(MATCH($A32,'Cotação de Materiais'!$A$4:$A$200,0)),"MAT",IF(ISNUMBER(MATCH($A32,'Mão de Obra e Serviços'!$A$4:$A$200,0)),"MO","CÓDIGO?")))</f>
        <v>MAT</v>
      </c>
      <c r="C32" s="54" t="str">
        <f aca="false">IF($A32="","",IFERROR(INDEX('Cotação de Materiais'!$C$4:$C$200,MATCH($A32,'Cotação de Materiais'!$A$4:$A$200,0)),IFERROR(INDEX('Mão de Obra e Serviços'!$B$4:$B$200,MATCH($A32,'Mão de Obra e Serviços'!$A$4:$A$200,0)),"")))</f>
        <v>Chapas de MDF Comum 10mm</v>
      </c>
      <c r="D32" s="52" t="s">
        <v>425</v>
      </c>
      <c r="E32" s="55" t="n">
        <v>0.23</v>
      </c>
      <c r="F32" s="56" t="n">
        <v>1</v>
      </c>
      <c r="G32" s="57" t="n">
        <f aca="false">IF($A32="","",E32*IF(F32="",1,F32))</f>
        <v>0.23</v>
      </c>
      <c r="H32" s="31" t="n">
        <f aca="false">IF($A32="","",IF(SUMIF($A$6:$A$600,$A32,$G$6:$G$600)=0,0,G32/SUMIF($A$6:$A$600,$A32,$G$6:$G$600)))</f>
        <v>0.00992662926197669</v>
      </c>
      <c r="I32" s="30" t="n">
        <f aca="false">IF($A32="","",IFERROR(INDEX('Cotação de Materiais'!$H$4:$H$200,MATCH($A32,'Cotação de Materiais'!$A$4:$A$200,0)),IFERROR(INDEX('Mão de Obra e Serviços'!$G$4:$G$200,MATCH($A32,'Mão de Obra e Serviços'!$A$4:$A$200,0)),0)))</f>
        <v>1503.9</v>
      </c>
      <c r="K32" s="30" t="n">
        <f aca="false">IF($A32="","",I32*H32)</f>
        <v>14.9286577470868</v>
      </c>
      <c r="L32" s="58" t="s">
        <v>420</v>
      </c>
      <c r="M32" s="54" t="str">
        <f aca="false">IF($A32="","",IF(B32="CÓDIGO?","CÓDIGO NÃO ACHADO",IF($D32="","FALTA ITEM DO ANEXO",IF($D32="INDIRETO","",IF(COUNTIFS('Anexo III'!$B$8:$B$400,$D32,'Anexo III'!$E$8:$E$400,"&gt;0")=0,"ITEM NÃO ACHADO NO ANEXO","")))))</f>
        <v/>
      </c>
    </row>
    <row r="33" customFormat="false" ht="15" hidden="false" customHeight="false" outlineLevel="0" collapsed="false">
      <c r="A33" s="52" t="s">
        <v>134</v>
      </c>
      <c r="B33" s="53" t="str">
        <f aca="false">IF($A33="","",IF(ISNUMBER(MATCH($A33,'Cotação de Materiais'!$A$4:$A$200,0)),"MAT",IF(ISNUMBER(MATCH($A33,'Mão de Obra e Serviços'!$A$4:$A$200,0)),"MO","CÓDIGO?")))</f>
        <v>MAT</v>
      </c>
      <c r="C33" s="54" t="str">
        <f aca="false">IF($A33="","",IFERROR(INDEX('Cotação de Materiais'!$C$4:$C$200,MATCH($A33,'Cotação de Materiais'!$A$4:$A$200,0)),IFERROR(INDEX('Mão de Obra e Serviços'!$B$4:$B$200,MATCH($A33,'Mão de Obra e Serviços'!$A$4:$A$200,0)),"")))</f>
        <v>Chapas de MDF Comum 6mm e 15mm</v>
      </c>
      <c r="D33" s="52" t="s">
        <v>426</v>
      </c>
      <c r="E33" s="55" t="n">
        <v>3.8</v>
      </c>
      <c r="F33" s="56" t="n">
        <v>1</v>
      </c>
      <c r="G33" s="57" t="n">
        <f aca="false">IF($A33="","",E33*IF(F33="",1,F33))</f>
        <v>3.8</v>
      </c>
      <c r="H33" s="31" t="n">
        <f aca="false">IF($A33="","",IF(SUMIF($A$6:$A$600,$A33,$G$6:$G$600)=0,0,G33/SUMIF($A$6:$A$600,$A33,$G$6:$G$600)))</f>
        <v>0.100529100529101</v>
      </c>
      <c r="I33" s="30" t="n">
        <f aca="false">IF($A33="","",IFERROR(INDEX('Cotação de Materiais'!$H$4:$H$200,MATCH($A33,'Cotação de Materiais'!$A$4:$A$200,0)),IFERROR(INDEX('Mão de Obra e Serviços'!$G$4:$G$200,MATCH($A33,'Mão de Obra e Serviços'!$A$4:$A$200,0)),0)))</f>
        <v>996</v>
      </c>
      <c r="K33" s="30" t="n">
        <f aca="false">IF($A33="","",I33*H33)</f>
        <v>100.126984126984</v>
      </c>
      <c r="L33" s="58" t="s">
        <v>427</v>
      </c>
      <c r="M33" s="54" t="str">
        <f aca="false">IF($A33="","",IF(B33="CÓDIGO?","CÓDIGO NÃO ACHADO",IF($D33="","FALTA ITEM DO ANEXO",IF($D33="INDIRETO","",IF(COUNTIFS('Anexo III'!$B$8:$B$400,$D33,'Anexo III'!$E$8:$E$400,"&gt;0")=0,"ITEM NÃO ACHADO NO ANEXO","")))))</f>
        <v/>
      </c>
    </row>
    <row r="34" customFormat="false" ht="15" hidden="false" customHeight="false" outlineLevel="0" collapsed="false">
      <c r="A34" s="52" t="s">
        <v>134</v>
      </c>
      <c r="B34" s="53" t="str">
        <f aca="false">IF($A34="","",IF(ISNUMBER(MATCH($A34,'Cotação de Materiais'!$A$4:$A$200,0)),"MAT",IF(ISNUMBER(MATCH($A34,'Mão de Obra e Serviços'!$A$4:$A$200,0)),"MO","CÓDIGO?")))</f>
        <v>MAT</v>
      </c>
      <c r="C34" s="54" t="str">
        <f aca="false">IF($A34="","",IFERROR(INDEX('Cotação de Materiais'!$C$4:$C$200,MATCH($A34,'Cotação de Materiais'!$A$4:$A$200,0)),IFERROR(INDEX('Mão de Obra e Serviços'!$B$4:$B$200,MATCH($A34,'Mão de Obra e Serviços'!$A$4:$A$200,0)),"")))</f>
        <v>Chapas de MDF Comum 6mm e 15mm</v>
      </c>
      <c r="D34" s="52" t="s">
        <v>428</v>
      </c>
      <c r="E34" s="55" t="n">
        <v>3.24</v>
      </c>
      <c r="F34" s="56" t="n">
        <v>1</v>
      </c>
      <c r="G34" s="57" t="n">
        <f aca="false">IF($A34="","",E34*IF(F34="",1,F34))</f>
        <v>3.24</v>
      </c>
      <c r="H34" s="31" t="n">
        <f aca="false">IF($A34="","",IF(SUMIF($A$6:$A$600,$A34,$G$6:$G$600)=0,0,G34/SUMIF($A$6:$A$600,$A34,$G$6:$G$600)))</f>
        <v>0.0857142857142857</v>
      </c>
      <c r="I34" s="30" t="n">
        <f aca="false">IF($A34="","",IFERROR(INDEX('Cotação de Materiais'!$H$4:$H$200,MATCH($A34,'Cotação de Materiais'!$A$4:$A$200,0)),IFERROR(INDEX('Mão de Obra e Serviços'!$G$4:$G$200,MATCH($A34,'Mão de Obra e Serviços'!$A$4:$A$200,0)),0)))</f>
        <v>996</v>
      </c>
      <c r="K34" s="30" t="n">
        <f aca="false">IF($A34="","",I34*H34)</f>
        <v>85.3714285714286</v>
      </c>
      <c r="L34" s="58" t="s">
        <v>427</v>
      </c>
      <c r="M34" s="54" t="str">
        <f aca="false">IF($A34="","",IF(B34="CÓDIGO?","CÓDIGO NÃO ACHADO",IF($D34="","FALTA ITEM DO ANEXO",IF($D34="INDIRETO","",IF(COUNTIFS('Anexo III'!$B$8:$B$400,$D34,'Anexo III'!$E$8:$E$400,"&gt;0")=0,"ITEM NÃO ACHADO NO ANEXO","")))))</f>
        <v/>
      </c>
    </row>
    <row r="35" customFormat="false" ht="15" hidden="false" customHeight="false" outlineLevel="0" collapsed="false">
      <c r="A35" s="52" t="s">
        <v>134</v>
      </c>
      <c r="B35" s="53" t="str">
        <f aca="false">IF($A35="","",IF(ISNUMBER(MATCH($A35,'Cotação de Materiais'!$A$4:$A$200,0)),"MAT",IF(ISNUMBER(MATCH($A35,'Mão de Obra e Serviços'!$A$4:$A$200,0)),"MO","CÓDIGO?")))</f>
        <v>MAT</v>
      </c>
      <c r="C35" s="54" t="str">
        <f aca="false">IF($A35="","",IFERROR(INDEX('Cotação de Materiais'!$C$4:$C$200,MATCH($A35,'Cotação de Materiais'!$A$4:$A$200,0)),IFERROR(INDEX('Mão de Obra e Serviços'!$B$4:$B$200,MATCH($A35,'Mão de Obra e Serviços'!$A$4:$A$200,0)),"")))</f>
        <v>Chapas de MDF Comum 6mm e 15mm</v>
      </c>
      <c r="D35" s="52" t="s">
        <v>429</v>
      </c>
      <c r="E35" s="55" t="n">
        <v>30.76</v>
      </c>
      <c r="F35" s="56" t="n">
        <v>1</v>
      </c>
      <c r="G35" s="57" t="n">
        <f aca="false">IF($A35="","",E35*IF(F35="",1,F35))</f>
        <v>30.76</v>
      </c>
      <c r="H35" s="31" t="n">
        <f aca="false">IF($A35="","",IF(SUMIF($A$6:$A$600,$A35,$G$6:$G$600)=0,0,G35/SUMIF($A$6:$A$600,$A35,$G$6:$G$600)))</f>
        <v>0.813756613756614</v>
      </c>
      <c r="I35" s="30" t="n">
        <f aca="false">IF($A35="","",IFERROR(INDEX('Cotação de Materiais'!$H$4:$H$200,MATCH($A35,'Cotação de Materiais'!$A$4:$A$200,0)),IFERROR(INDEX('Mão de Obra e Serviços'!$G$4:$G$200,MATCH($A35,'Mão de Obra e Serviços'!$A$4:$A$200,0)),0)))</f>
        <v>996</v>
      </c>
      <c r="K35" s="30" t="n">
        <f aca="false">IF($A35="","",I35*H35)</f>
        <v>810.501587301587</v>
      </c>
      <c r="L35" s="58" t="s">
        <v>427</v>
      </c>
      <c r="M35" s="54" t="str">
        <f aca="false">IF($A35="","",IF(B35="CÓDIGO?","CÓDIGO NÃO ACHADO",IF($D35="","FALTA ITEM DO ANEXO",IF($D35="INDIRETO","",IF(COUNTIFS('Anexo III'!$B$8:$B$400,$D35,'Anexo III'!$E$8:$E$400,"&gt;0")=0,"ITEM NÃO ACHADO NO ANEXO","")))))</f>
        <v/>
      </c>
    </row>
    <row r="36" customFormat="false" ht="15" hidden="false" customHeight="false" outlineLevel="0" collapsed="false">
      <c r="A36" s="52" t="s">
        <v>139</v>
      </c>
      <c r="B36" s="53" t="str">
        <f aca="false">IF($A36="","",IF(ISNUMBER(MATCH($A36,'Cotação de Materiais'!$A$4:$A$200,0)),"MAT",IF(ISNUMBER(MATCH($A36,'Mão de Obra e Serviços'!$A$4:$A$200,0)),"MO","CÓDIGO?")))</f>
        <v>MAT</v>
      </c>
      <c r="C36" s="54" t="str">
        <f aca="false">IF($A36="","",IFERROR(INDEX('Cotação de Materiais'!$C$4:$C$200,MATCH($A36,'Cotação de Materiais'!$A$4:$A$200,0)),IFERROR(INDEX('Mão de Obra e Serviços'!$B$4:$B$200,MATCH($A36,'Mão de Obra e Serviços'!$A$4:$A$200,0)),"")))</f>
        <v>Pontaletes de Madeira</v>
      </c>
      <c r="D36" s="52" t="s">
        <v>397</v>
      </c>
      <c r="E36" s="55" t="n">
        <v>14</v>
      </c>
      <c r="F36" s="56" t="n">
        <v>1</v>
      </c>
      <c r="G36" s="57" t="n">
        <f aca="false">IF($A36="","",E36*IF(F36="",1,F36))</f>
        <v>14</v>
      </c>
      <c r="H36" s="31" t="n">
        <f aca="false">IF($A36="","",IF(SUMIF($A$6:$A$600,$A36,$G$6:$G$600)=0,0,G36/SUMIF($A$6:$A$600,$A36,$G$6:$G$600)))</f>
        <v>0.0507319901434991</v>
      </c>
      <c r="I36" s="30" t="n">
        <f aca="false">IF($A36="","",IFERROR(INDEX('Cotação de Materiais'!$H$4:$H$200,MATCH($A36,'Cotação de Materiais'!$A$4:$A$200,0)),IFERROR(INDEX('Mão de Obra e Serviços'!$G$4:$G$200,MATCH($A36,'Mão de Obra e Serviços'!$A$4:$A$200,0)),0)))</f>
        <v>3240</v>
      </c>
      <c r="K36" s="30" t="n">
        <f aca="false">IF($A36="","",I36*H36)</f>
        <v>164.371648064937</v>
      </c>
      <c r="L36" s="58" t="s">
        <v>430</v>
      </c>
      <c r="M36" s="54" t="str">
        <f aca="false">IF($A36="","",IF(B36="CÓDIGO?","CÓDIGO NÃO ACHADO",IF($D36="","FALTA ITEM DO ANEXO",IF($D36="INDIRETO","",IF(COUNTIFS('Anexo III'!$B$8:$B$400,$D36,'Anexo III'!$E$8:$E$400,"&gt;0")=0,"ITEM NÃO ACHADO NO ANEXO","")))))</f>
        <v/>
      </c>
    </row>
    <row r="37" customFormat="false" ht="15" hidden="false" customHeight="false" outlineLevel="0" collapsed="false">
      <c r="A37" s="52" t="s">
        <v>139</v>
      </c>
      <c r="B37" s="53" t="str">
        <f aca="false">IF($A37="","",IF(ISNUMBER(MATCH($A37,'Cotação de Materiais'!$A$4:$A$200,0)),"MAT",IF(ISNUMBER(MATCH($A37,'Mão de Obra e Serviços'!$A$4:$A$200,0)),"MO","CÓDIGO?")))</f>
        <v>MAT</v>
      </c>
      <c r="C37" s="54" t="str">
        <f aca="false">IF($A37="","",IFERROR(INDEX('Cotação de Materiais'!$C$4:$C$200,MATCH($A37,'Cotação de Materiais'!$A$4:$A$200,0)),IFERROR(INDEX('Mão de Obra e Serviços'!$B$4:$B$200,MATCH($A37,'Mão de Obra e Serviços'!$A$4:$A$200,0)),"")))</f>
        <v>Pontaletes de Madeira</v>
      </c>
      <c r="D37" s="52" t="s">
        <v>399</v>
      </c>
      <c r="E37" s="55" t="n">
        <v>11.8</v>
      </c>
      <c r="F37" s="56" t="n">
        <v>1</v>
      </c>
      <c r="G37" s="57" t="n">
        <f aca="false">IF($A37="","",E37*IF(F37="",1,F37))</f>
        <v>11.8</v>
      </c>
      <c r="H37" s="31" t="n">
        <f aca="false">IF($A37="","",IF(SUMIF($A$6:$A$600,$A37,$G$6:$G$600)=0,0,G37/SUMIF($A$6:$A$600,$A37,$G$6:$G$600)))</f>
        <v>0.0427598202638064</v>
      </c>
      <c r="I37" s="30" t="n">
        <f aca="false">IF($A37="","",IFERROR(INDEX('Cotação de Materiais'!$H$4:$H$200,MATCH($A37,'Cotação de Materiais'!$A$4:$A$200,0)),IFERROR(INDEX('Mão de Obra e Serviços'!$G$4:$G$200,MATCH($A37,'Mão de Obra e Serviços'!$A$4:$A$200,0)),0)))</f>
        <v>3240</v>
      </c>
      <c r="K37" s="30" t="n">
        <f aca="false">IF($A37="","",I37*H37)</f>
        <v>138.541817654733</v>
      </c>
      <c r="L37" s="58" t="s">
        <v>430</v>
      </c>
      <c r="M37" s="54" t="str">
        <f aca="false">IF($A37="","",IF(B37="CÓDIGO?","CÓDIGO NÃO ACHADO",IF($D37="","FALTA ITEM DO ANEXO",IF($D37="INDIRETO","",IF(COUNTIFS('Anexo III'!$B$8:$B$400,$D37,'Anexo III'!$E$8:$E$400,"&gt;0")=0,"ITEM NÃO ACHADO NO ANEXO","")))))</f>
        <v/>
      </c>
    </row>
    <row r="38" customFormat="false" ht="15" hidden="false" customHeight="false" outlineLevel="0" collapsed="false">
      <c r="A38" s="52" t="s">
        <v>139</v>
      </c>
      <c r="B38" s="53" t="str">
        <f aca="false">IF($A38="","",IF(ISNUMBER(MATCH($A38,'Cotação de Materiais'!$A$4:$A$200,0)),"MAT",IF(ISNUMBER(MATCH($A38,'Mão de Obra e Serviços'!$A$4:$A$200,0)),"MO","CÓDIGO?")))</f>
        <v>MAT</v>
      </c>
      <c r="C38" s="54" t="str">
        <f aca="false">IF($A38="","",IFERROR(INDEX('Cotação de Materiais'!$C$4:$C$200,MATCH($A38,'Cotação de Materiais'!$A$4:$A$200,0)),IFERROR(INDEX('Mão de Obra e Serviços'!$B$4:$B$200,MATCH($A38,'Mão de Obra e Serviços'!$A$4:$A$200,0)),"")))</f>
        <v>Pontaletes de Madeira</v>
      </c>
      <c r="D38" s="52" t="s">
        <v>400</v>
      </c>
      <c r="E38" s="55" t="n">
        <v>32</v>
      </c>
      <c r="F38" s="56" t="n">
        <v>1</v>
      </c>
      <c r="G38" s="57" t="n">
        <f aca="false">IF($A38="","",E38*IF(F38="",1,F38))</f>
        <v>32</v>
      </c>
      <c r="H38" s="31" t="n">
        <f aca="false">IF($A38="","",IF(SUMIF($A$6:$A$600,$A38,$G$6:$G$600)=0,0,G38/SUMIF($A$6:$A$600,$A38,$G$6:$G$600)))</f>
        <v>0.115958834613712</v>
      </c>
      <c r="I38" s="30" t="n">
        <f aca="false">IF($A38="","",IFERROR(INDEX('Cotação de Materiais'!$H$4:$H$200,MATCH($A38,'Cotação de Materiais'!$A$4:$A$200,0)),IFERROR(INDEX('Mão de Obra e Serviços'!$G$4:$G$200,MATCH($A38,'Mão de Obra e Serviços'!$A$4:$A$200,0)),0)))</f>
        <v>3240</v>
      </c>
      <c r="K38" s="30" t="n">
        <f aca="false">IF($A38="","",I38*H38)</f>
        <v>375.706624148427</v>
      </c>
      <c r="L38" s="58" t="s">
        <v>430</v>
      </c>
      <c r="M38" s="54" t="str">
        <f aca="false">IF($A38="","",IF(B38="CÓDIGO?","CÓDIGO NÃO ACHADO",IF($D38="","FALTA ITEM DO ANEXO",IF($D38="INDIRETO","",IF(COUNTIFS('Anexo III'!$B$8:$B$400,$D38,'Anexo III'!$E$8:$E$400,"&gt;0")=0,"ITEM NÃO ACHADO NO ANEXO","")))))</f>
        <v/>
      </c>
    </row>
    <row r="39" customFormat="false" ht="15" hidden="false" customHeight="false" outlineLevel="0" collapsed="false">
      <c r="A39" s="52" t="s">
        <v>139</v>
      </c>
      <c r="B39" s="53" t="str">
        <f aca="false">IF($A39="","",IF(ISNUMBER(MATCH($A39,'Cotação de Materiais'!$A$4:$A$200,0)),"MAT",IF(ISNUMBER(MATCH($A39,'Mão de Obra e Serviços'!$A$4:$A$200,0)),"MO","CÓDIGO?")))</f>
        <v>MAT</v>
      </c>
      <c r="C39" s="54" t="str">
        <f aca="false">IF($A39="","",IFERROR(INDEX('Cotação de Materiais'!$C$4:$C$200,MATCH($A39,'Cotação de Materiais'!$A$4:$A$200,0)),IFERROR(INDEX('Mão de Obra e Serviços'!$B$4:$B$200,MATCH($A39,'Mão de Obra e Serviços'!$A$4:$A$200,0)),"")))</f>
        <v>Pontaletes de Madeira</v>
      </c>
      <c r="D39" s="52" t="s">
        <v>401</v>
      </c>
      <c r="E39" s="55" t="n">
        <v>25</v>
      </c>
      <c r="F39" s="56" t="n">
        <v>1</v>
      </c>
      <c r="G39" s="57" t="n">
        <f aca="false">IF($A39="","",E39*IF(F39="",1,F39))</f>
        <v>25</v>
      </c>
      <c r="H39" s="31" t="n">
        <f aca="false">IF($A39="","",IF(SUMIF($A$6:$A$600,$A39,$G$6:$G$600)=0,0,G39/SUMIF($A$6:$A$600,$A39,$G$6:$G$600)))</f>
        <v>0.0905928395419626</v>
      </c>
      <c r="I39" s="30" t="n">
        <f aca="false">IF($A39="","",IFERROR(INDEX('Cotação de Materiais'!$H$4:$H$200,MATCH($A39,'Cotação de Materiais'!$A$4:$A$200,0)),IFERROR(INDEX('Mão de Obra e Serviços'!$G$4:$G$200,MATCH($A39,'Mão de Obra e Serviços'!$A$4:$A$200,0)),0)))</f>
        <v>3240</v>
      </c>
      <c r="K39" s="30" t="n">
        <f aca="false">IF($A39="","",I39*H39)</f>
        <v>293.520800115959</v>
      </c>
      <c r="L39" s="58" t="s">
        <v>430</v>
      </c>
      <c r="M39" s="54" t="str">
        <f aca="false">IF($A39="","",IF(B39="CÓDIGO?","CÓDIGO NÃO ACHADO",IF($D39="","FALTA ITEM DO ANEXO",IF($D39="INDIRETO","",IF(COUNTIFS('Anexo III'!$B$8:$B$400,$D39,'Anexo III'!$E$8:$E$400,"&gt;0")=0,"ITEM NÃO ACHADO NO ANEXO","")))))</f>
        <v/>
      </c>
    </row>
    <row r="40" customFormat="false" ht="15" hidden="false" customHeight="false" outlineLevel="0" collapsed="false">
      <c r="A40" s="52" t="s">
        <v>139</v>
      </c>
      <c r="B40" s="53" t="str">
        <f aca="false">IF($A40="","",IF(ISNUMBER(MATCH($A40,'Cotação de Materiais'!$A$4:$A$200,0)),"MAT",IF(ISNUMBER(MATCH($A40,'Mão de Obra e Serviços'!$A$4:$A$200,0)),"MO","CÓDIGO?")))</f>
        <v>MAT</v>
      </c>
      <c r="C40" s="54" t="str">
        <f aca="false">IF($A40="","",IFERROR(INDEX('Cotação de Materiais'!$C$4:$C$200,MATCH($A40,'Cotação de Materiais'!$A$4:$A$200,0)),IFERROR(INDEX('Mão de Obra e Serviços'!$B$4:$B$200,MATCH($A40,'Mão de Obra e Serviços'!$A$4:$A$200,0)),"")))</f>
        <v>Pontaletes de Madeira</v>
      </c>
      <c r="D40" s="52" t="s">
        <v>402</v>
      </c>
      <c r="E40" s="55" t="n">
        <v>16.5</v>
      </c>
      <c r="F40" s="56" t="n">
        <v>1</v>
      </c>
      <c r="G40" s="57" t="n">
        <f aca="false">IF($A40="","",E40*IF(F40="",1,F40))</f>
        <v>16.5</v>
      </c>
      <c r="H40" s="31" t="n">
        <f aca="false">IF($A40="","",IF(SUMIF($A$6:$A$600,$A40,$G$6:$G$600)=0,0,G40/SUMIF($A$6:$A$600,$A40,$G$6:$G$600)))</f>
        <v>0.0597912740976953</v>
      </c>
      <c r="I40" s="30" t="n">
        <f aca="false">IF($A40="","",IFERROR(INDEX('Cotação de Materiais'!$H$4:$H$200,MATCH($A40,'Cotação de Materiais'!$A$4:$A$200,0)),IFERROR(INDEX('Mão de Obra e Serviços'!$G$4:$G$200,MATCH($A40,'Mão de Obra e Serviços'!$A$4:$A$200,0)),0)))</f>
        <v>3240</v>
      </c>
      <c r="K40" s="30" t="n">
        <f aca="false">IF($A40="","",I40*H40)</f>
        <v>193.723728076533</v>
      </c>
      <c r="L40" s="58" t="s">
        <v>430</v>
      </c>
      <c r="M40" s="54" t="str">
        <f aca="false">IF($A40="","",IF(B40="CÓDIGO?","CÓDIGO NÃO ACHADO",IF($D40="","FALTA ITEM DO ANEXO",IF($D40="INDIRETO","",IF(COUNTIFS('Anexo III'!$B$8:$B$400,$D40,'Anexo III'!$E$8:$E$400,"&gt;0")=0,"ITEM NÃO ACHADO NO ANEXO","")))))</f>
        <v/>
      </c>
    </row>
    <row r="41" customFormat="false" ht="15" hidden="false" customHeight="false" outlineLevel="0" collapsed="false">
      <c r="A41" s="52" t="s">
        <v>139</v>
      </c>
      <c r="B41" s="53" t="str">
        <f aca="false">IF($A41="","",IF(ISNUMBER(MATCH($A41,'Cotação de Materiais'!$A$4:$A$200,0)),"MAT",IF(ISNUMBER(MATCH($A41,'Mão de Obra e Serviços'!$A$4:$A$200,0)),"MO","CÓDIGO?")))</f>
        <v>MAT</v>
      </c>
      <c r="C41" s="54" t="str">
        <f aca="false">IF($A41="","",IFERROR(INDEX('Cotação de Materiais'!$C$4:$C$200,MATCH($A41,'Cotação de Materiais'!$A$4:$A$200,0)),IFERROR(INDEX('Mão de Obra e Serviços'!$B$4:$B$200,MATCH($A41,'Mão de Obra e Serviços'!$A$4:$A$200,0)),"")))</f>
        <v>Pontaletes de Madeira</v>
      </c>
      <c r="D41" s="52" t="s">
        <v>403</v>
      </c>
      <c r="E41" s="55" t="n">
        <v>3.8</v>
      </c>
      <c r="F41" s="56" t="n">
        <v>1</v>
      </c>
      <c r="G41" s="57" t="n">
        <f aca="false">IF($A41="","",E41*IF(F41="",1,F41))</f>
        <v>3.8</v>
      </c>
      <c r="H41" s="31" t="n">
        <f aca="false">IF($A41="","",IF(SUMIF($A$6:$A$600,$A41,$G$6:$G$600)=0,0,G41/SUMIF($A$6:$A$600,$A41,$G$6:$G$600)))</f>
        <v>0.0137701116103783</v>
      </c>
      <c r="I41" s="30" t="n">
        <f aca="false">IF($A41="","",IFERROR(INDEX('Cotação de Materiais'!$H$4:$H$200,MATCH($A41,'Cotação de Materiais'!$A$4:$A$200,0)),IFERROR(INDEX('Mão de Obra e Serviços'!$G$4:$G$200,MATCH($A41,'Mão de Obra e Serviços'!$A$4:$A$200,0)),0)))</f>
        <v>3240</v>
      </c>
      <c r="K41" s="30" t="n">
        <f aca="false">IF($A41="","",I41*H41)</f>
        <v>44.6151616176257</v>
      </c>
      <c r="L41" s="58" t="s">
        <v>430</v>
      </c>
      <c r="M41" s="54" t="str">
        <f aca="false">IF($A41="","",IF(B41="CÓDIGO?","CÓDIGO NÃO ACHADO",IF($D41="","FALTA ITEM DO ANEXO",IF($D41="INDIRETO","",IF(COUNTIFS('Anexo III'!$B$8:$B$400,$D41,'Anexo III'!$E$8:$E$400,"&gt;0")=0,"ITEM NÃO ACHADO NO ANEXO","")))))</f>
        <v/>
      </c>
    </row>
    <row r="42" customFormat="false" ht="15" hidden="false" customHeight="false" outlineLevel="0" collapsed="false">
      <c r="A42" s="52" t="s">
        <v>139</v>
      </c>
      <c r="B42" s="53" t="str">
        <f aca="false">IF($A42="","",IF(ISNUMBER(MATCH($A42,'Cotação de Materiais'!$A$4:$A$200,0)),"MAT",IF(ISNUMBER(MATCH($A42,'Mão de Obra e Serviços'!$A$4:$A$200,0)),"MO","CÓDIGO?")))</f>
        <v>MAT</v>
      </c>
      <c r="C42" s="54" t="str">
        <f aca="false">IF($A42="","",IFERROR(INDEX('Cotação de Materiais'!$C$4:$C$200,MATCH($A42,'Cotação de Materiais'!$A$4:$A$200,0)),IFERROR(INDEX('Mão de Obra e Serviços'!$B$4:$B$200,MATCH($A42,'Mão de Obra e Serviços'!$A$4:$A$200,0)),"")))</f>
        <v>Pontaletes de Madeira</v>
      </c>
      <c r="D42" s="52" t="s">
        <v>405</v>
      </c>
      <c r="E42" s="55" t="n">
        <v>35</v>
      </c>
      <c r="F42" s="56" t="n">
        <v>1</v>
      </c>
      <c r="G42" s="57" t="n">
        <f aca="false">IF($A42="","",E42*IF(F42="",1,F42))</f>
        <v>35</v>
      </c>
      <c r="H42" s="31" t="n">
        <f aca="false">IF($A42="","",IF(SUMIF($A$6:$A$600,$A42,$G$6:$G$600)=0,0,G42/SUMIF($A$6:$A$600,$A42,$G$6:$G$600)))</f>
        <v>0.126829975358748</v>
      </c>
      <c r="I42" s="30" t="n">
        <f aca="false">IF($A42="","",IFERROR(INDEX('Cotação de Materiais'!$H$4:$H$200,MATCH($A42,'Cotação de Materiais'!$A$4:$A$200,0)),IFERROR(INDEX('Mão de Obra e Serviços'!$G$4:$G$200,MATCH($A42,'Mão de Obra e Serviços'!$A$4:$A$200,0)),0)))</f>
        <v>3240</v>
      </c>
      <c r="K42" s="30" t="n">
        <f aca="false">IF($A42="","",I42*H42)</f>
        <v>410.929120162342</v>
      </c>
      <c r="L42" s="58" t="s">
        <v>430</v>
      </c>
      <c r="M42" s="54" t="str">
        <f aca="false">IF($A42="","",IF(B42="CÓDIGO?","CÓDIGO NÃO ACHADO",IF($D42="","FALTA ITEM DO ANEXO",IF($D42="INDIRETO","",IF(COUNTIFS('Anexo III'!$B$8:$B$400,$D42,'Anexo III'!$E$8:$E$400,"&gt;0")=0,"ITEM NÃO ACHADO NO ANEXO","")))))</f>
        <v/>
      </c>
    </row>
    <row r="43" customFormat="false" ht="15" hidden="false" customHeight="false" outlineLevel="0" collapsed="false">
      <c r="A43" s="52" t="s">
        <v>139</v>
      </c>
      <c r="B43" s="53" t="str">
        <f aca="false">IF($A43="","",IF(ISNUMBER(MATCH($A43,'Cotação de Materiais'!$A$4:$A$200,0)),"MAT",IF(ISNUMBER(MATCH($A43,'Mão de Obra e Serviços'!$A$4:$A$200,0)),"MO","CÓDIGO?")))</f>
        <v>MAT</v>
      </c>
      <c r="C43" s="54" t="str">
        <f aca="false">IF($A43="","",IFERROR(INDEX('Cotação de Materiais'!$C$4:$C$200,MATCH($A43,'Cotação de Materiais'!$A$4:$A$200,0)),IFERROR(INDEX('Mão de Obra e Serviços'!$B$4:$B$200,MATCH($A43,'Mão de Obra e Serviços'!$A$4:$A$200,0)),"")))</f>
        <v>Pontaletes de Madeira</v>
      </c>
      <c r="D43" s="52" t="s">
        <v>406</v>
      </c>
      <c r="E43" s="55" t="n">
        <v>97</v>
      </c>
      <c r="F43" s="56" t="n">
        <v>1</v>
      </c>
      <c r="G43" s="57" t="n">
        <f aca="false">IF($A43="","",E43*IF(F43="",1,F43))</f>
        <v>97</v>
      </c>
      <c r="H43" s="31" t="n">
        <f aca="false">IF($A43="","",IF(SUMIF($A$6:$A$600,$A43,$G$6:$G$600)=0,0,G43/SUMIF($A$6:$A$600,$A43,$G$6:$G$600)))</f>
        <v>0.351500217422815</v>
      </c>
      <c r="I43" s="30" t="n">
        <f aca="false">IF($A43="","",IFERROR(INDEX('Cotação de Materiais'!$H$4:$H$200,MATCH($A43,'Cotação de Materiais'!$A$4:$A$200,0)),IFERROR(INDEX('Mão de Obra e Serviços'!$G$4:$G$200,MATCH($A43,'Mão de Obra e Serviços'!$A$4:$A$200,0)),0)))</f>
        <v>3240</v>
      </c>
      <c r="K43" s="30" t="n">
        <f aca="false">IF($A43="","",I43*H43)</f>
        <v>1138.86070444992</v>
      </c>
      <c r="L43" s="58" t="s">
        <v>430</v>
      </c>
      <c r="M43" s="54" t="str">
        <f aca="false">IF($A43="","",IF(B43="CÓDIGO?","CÓDIGO NÃO ACHADO",IF($D43="","FALTA ITEM DO ANEXO",IF($D43="INDIRETO","",IF(COUNTIFS('Anexo III'!$B$8:$B$400,$D43,'Anexo III'!$E$8:$E$400,"&gt;0")=0,"ITEM NÃO ACHADO NO ANEXO","")))))</f>
        <v/>
      </c>
    </row>
    <row r="44" customFormat="false" ht="15" hidden="false" customHeight="false" outlineLevel="0" collapsed="false">
      <c r="A44" s="52" t="s">
        <v>139</v>
      </c>
      <c r="B44" s="53" t="str">
        <f aca="false">IF($A44="","",IF(ISNUMBER(MATCH($A44,'Cotação de Materiais'!$A$4:$A$200,0)),"MAT",IF(ISNUMBER(MATCH($A44,'Mão de Obra e Serviços'!$A$4:$A$200,0)),"MO","CÓDIGO?")))</f>
        <v>MAT</v>
      </c>
      <c r="C44" s="54" t="str">
        <f aca="false">IF($A44="","",IFERROR(INDEX('Cotação de Materiais'!$C$4:$C$200,MATCH($A44,'Cotação de Materiais'!$A$4:$A$200,0)),IFERROR(INDEX('Mão de Obra e Serviços'!$B$4:$B$200,MATCH($A44,'Mão de Obra e Serviços'!$A$4:$A$200,0)),"")))</f>
        <v>Pontaletes de Madeira</v>
      </c>
      <c r="D44" s="52" t="s">
        <v>428</v>
      </c>
      <c r="E44" s="55" t="n">
        <v>3.24</v>
      </c>
      <c r="F44" s="56" t="n">
        <v>1</v>
      </c>
      <c r="G44" s="57" t="n">
        <f aca="false">IF($A44="","",E44*IF(F44="",1,F44))</f>
        <v>3.24</v>
      </c>
      <c r="H44" s="31" t="n">
        <f aca="false">IF($A44="","",IF(SUMIF($A$6:$A$600,$A44,$G$6:$G$600)=0,0,G44/SUMIF($A$6:$A$600,$A44,$G$6:$G$600)))</f>
        <v>0.0117408320046384</v>
      </c>
      <c r="I44" s="30" t="n">
        <f aca="false">IF($A44="","",IFERROR(INDEX('Cotação de Materiais'!$H$4:$H$200,MATCH($A44,'Cotação de Materiais'!$A$4:$A$200,0)),IFERROR(INDEX('Mão de Obra e Serviços'!$G$4:$G$200,MATCH($A44,'Mão de Obra e Serviços'!$A$4:$A$200,0)),0)))</f>
        <v>3240</v>
      </c>
      <c r="K44" s="30" t="n">
        <f aca="false">IF($A44="","",I44*H44)</f>
        <v>38.0402956950283</v>
      </c>
      <c r="L44" s="58" t="s">
        <v>430</v>
      </c>
      <c r="M44" s="54" t="str">
        <f aca="false">IF($A44="","",IF(B44="CÓDIGO?","CÓDIGO NÃO ACHADO",IF($D44="","FALTA ITEM DO ANEXO",IF($D44="INDIRETO","",IF(COUNTIFS('Anexo III'!$B$8:$B$400,$D44,'Anexo III'!$E$8:$E$400,"&gt;0")=0,"ITEM NÃO ACHADO NO ANEXO","")))))</f>
        <v/>
      </c>
    </row>
    <row r="45" customFormat="false" ht="15" hidden="false" customHeight="false" outlineLevel="0" collapsed="false">
      <c r="A45" s="52" t="s">
        <v>139</v>
      </c>
      <c r="B45" s="53" t="str">
        <f aca="false">IF($A45="","",IF(ISNUMBER(MATCH($A45,'Cotação de Materiais'!$A$4:$A$200,0)),"MAT",IF(ISNUMBER(MATCH($A45,'Mão de Obra e Serviços'!$A$4:$A$200,0)),"MO","CÓDIGO?")))</f>
        <v>MAT</v>
      </c>
      <c r="C45" s="54" t="str">
        <f aca="false">IF($A45="","",IFERROR(INDEX('Cotação de Materiais'!$C$4:$C$200,MATCH($A45,'Cotação de Materiais'!$A$4:$A$200,0)),IFERROR(INDEX('Mão de Obra e Serviços'!$B$4:$B$200,MATCH($A45,'Mão de Obra e Serviços'!$A$4:$A$200,0)),"")))</f>
        <v>Pontaletes de Madeira</v>
      </c>
      <c r="D45" s="52" t="s">
        <v>429</v>
      </c>
      <c r="E45" s="55" t="n">
        <v>30.76</v>
      </c>
      <c r="F45" s="56" t="n">
        <v>1</v>
      </c>
      <c r="G45" s="57" t="n">
        <f aca="false">IF($A45="","",E45*IF(F45="",1,F45))</f>
        <v>30.76</v>
      </c>
      <c r="H45" s="31" t="n">
        <f aca="false">IF($A45="","",IF(SUMIF($A$6:$A$600,$A45,$G$6:$G$600)=0,0,G45/SUMIF($A$6:$A$600,$A45,$G$6:$G$600)))</f>
        <v>0.111465429772431</v>
      </c>
      <c r="I45" s="30" t="n">
        <f aca="false">IF($A45="","",IFERROR(INDEX('Cotação de Materiais'!$H$4:$H$200,MATCH($A45,'Cotação de Materiais'!$A$4:$A$200,0)),IFERROR(INDEX('Mão de Obra e Serviços'!$G$4:$G$200,MATCH($A45,'Mão de Obra e Serviços'!$A$4:$A$200,0)),0)))</f>
        <v>3240</v>
      </c>
      <c r="K45" s="30" t="n">
        <f aca="false">IF($A45="","",I45*H45)</f>
        <v>361.147992462676</v>
      </c>
      <c r="L45" s="58" t="s">
        <v>430</v>
      </c>
      <c r="M45" s="54" t="str">
        <f aca="false">IF($A45="","",IF(B45="CÓDIGO?","CÓDIGO NÃO ACHADO",IF($D45="","FALTA ITEM DO ANEXO",IF($D45="INDIRETO","",IF(COUNTIFS('Anexo III'!$B$8:$B$400,$D45,'Anexo III'!$E$8:$E$400,"&gt;0")=0,"ITEM NÃO ACHADO NO ANEXO","")))))</f>
        <v/>
      </c>
    </row>
    <row r="46" customFormat="false" ht="15" hidden="false" customHeight="false" outlineLevel="0" collapsed="false">
      <c r="A46" s="52" t="s">
        <v>139</v>
      </c>
      <c r="B46" s="53" t="str">
        <f aca="false">IF($A46="","",IF(ISNUMBER(MATCH($A46,'Cotação de Materiais'!$A$4:$A$200,0)),"MAT",IF(ISNUMBER(MATCH($A46,'Mão de Obra e Serviços'!$A$4:$A$200,0)),"MO","CÓDIGO?")))</f>
        <v>MAT</v>
      </c>
      <c r="C46" s="54" t="str">
        <f aca="false">IF($A46="","",IFERROR(INDEX('Cotação de Materiais'!$C$4:$C$200,MATCH($A46,'Cotação de Materiais'!$A$4:$A$200,0)),IFERROR(INDEX('Mão de Obra e Serviços'!$B$4:$B$200,MATCH($A46,'Mão de Obra e Serviços'!$A$4:$A$200,0)),"")))</f>
        <v>Pontaletes de Madeira</v>
      </c>
      <c r="D46" s="52" t="s">
        <v>411</v>
      </c>
      <c r="E46" s="55" t="n">
        <v>6.86</v>
      </c>
      <c r="F46" s="56" t="n">
        <v>1</v>
      </c>
      <c r="G46" s="57" t="n">
        <f aca="false">IF($A46="","",E46*IF(F46="",1,F46))</f>
        <v>6.86</v>
      </c>
      <c r="H46" s="31" t="n">
        <f aca="false">IF($A46="","",IF(SUMIF($A$6:$A$600,$A46,$G$6:$G$600)=0,0,G46/SUMIF($A$6:$A$600,$A46,$G$6:$G$600)))</f>
        <v>0.0248586751703145</v>
      </c>
      <c r="I46" s="30" t="n">
        <f aca="false">IF($A46="","",IFERROR(INDEX('Cotação de Materiais'!$H$4:$H$200,MATCH($A46,'Cotação de Materiais'!$A$4:$A$200,0)),IFERROR(INDEX('Mão de Obra e Serviços'!$G$4:$G$200,MATCH($A46,'Mão de Obra e Serviços'!$A$4:$A$200,0)),0)))</f>
        <v>3240</v>
      </c>
      <c r="K46" s="30" t="n">
        <f aca="false">IF($A46="","",I46*H46)</f>
        <v>80.5421075518191</v>
      </c>
      <c r="L46" s="58" t="s">
        <v>430</v>
      </c>
      <c r="M46" s="54" t="str">
        <f aca="false">IF($A46="","",IF(B46="CÓDIGO?","CÓDIGO NÃO ACHADO",IF($D46="","FALTA ITEM DO ANEXO",IF($D46="INDIRETO","",IF(COUNTIFS('Anexo III'!$B$8:$B$400,$D46,'Anexo III'!$E$8:$E$400,"&gt;0")=0,"ITEM NÃO ACHADO NO ANEXO","")))))</f>
        <v/>
      </c>
    </row>
    <row r="47" customFormat="false" ht="15" hidden="false" customHeight="false" outlineLevel="0" collapsed="false">
      <c r="A47" s="52" t="s">
        <v>145</v>
      </c>
      <c r="B47" s="53" t="str">
        <f aca="false">IF($A47="","",IF(ISNUMBER(MATCH($A47,'Cotação de Materiais'!$A$4:$A$200,0)),"MAT",IF(ISNUMBER(MATCH($A47,'Mão de Obra e Serviços'!$A$4:$A$200,0)),"MO","CÓDIGO?")))</f>
        <v>MAT</v>
      </c>
      <c r="C47" s="54" t="str">
        <f aca="false">IF($A47="","",IFERROR(INDEX('Cotação de Materiais'!$C$4:$C$200,MATCH($A47,'Cotação de Materiais'!$A$4:$A$200,0)),IFERROR(INDEX('Mão de Obra e Serviços'!$B$4:$B$200,MATCH($A47,'Mão de Obra e Serviços'!$A$4:$A$200,0)),"")))</f>
        <v>Perfis Tubulares S03</v>
      </c>
      <c r="D47" s="52" t="s">
        <v>431</v>
      </c>
      <c r="E47" s="55" t="n">
        <v>1</v>
      </c>
      <c r="F47" s="56" t="n">
        <v>1</v>
      </c>
      <c r="G47" s="57" t="n">
        <f aca="false">IF($A47="","",E47*IF(F47="",1,F47))</f>
        <v>1</v>
      </c>
      <c r="H47" s="31" t="n">
        <f aca="false">IF($A47="","",IF(SUMIF($A$6:$A$600,$A47,$G$6:$G$600)=0,0,G47/SUMIF($A$6:$A$600,$A47,$G$6:$G$600)))</f>
        <v>1</v>
      </c>
      <c r="I47" s="30" t="n">
        <f aca="false">IF($A47="","",IFERROR(INDEX('Cotação de Materiais'!$H$4:$H$200,MATCH($A47,'Cotação de Materiais'!$A$4:$A$200,0)),IFERROR(INDEX('Mão de Obra e Serviços'!$G$4:$G$200,MATCH($A47,'Mão de Obra e Serviços'!$A$4:$A$200,0)),0)))</f>
        <v>3290</v>
      </c>
      <c r="K47" s="30" t="n">
        <f aca="false">IF($A47="","",I47*H47)</f>
        <v>3290</v>
      </c>
      <c r="L47" s="58" t="s">
        <v>432</v>
      </c>
      <c r="M47" s="54" t="str">
        <f aca="false">IF($A47="","",IF(B47="CÓDIGO?","CÓDIGO NÃO ACHADO",IF($D47="","FALTA ITEM DO ANEXO",IF($D47="INDIRETO","",IF(COUNTIFS('Anexo III'!$B$8:$B$400,$D47,'Anexo III'!$E$8:$E$400,"&gt;0")=0,"ITEM NÃO ACHADO NO ANEXO","")))))</f>
        <v/>
      </c>
    </row>
    <row r="48" customFormat="false" ht="15" hidden="false" customHeight="false" outlineLevel="0" collapsed="false">
      <c r="A48" s="52" t="s">
        <v>150</v>
      </c>
      <c r="B48" s="53" t="str">
        <f aca="false">IF($A48="","",IF(ISNUMBER(MATCH($A48,'Cotação de Materiais'!$A$4:$A$200,0)),"MAT",IF(ISNUMBER(MATCH($A48,'Mão de Obra e Serviços'!$A$4:$A$200,0)),"MO","CÓDIGO?")))</f>
        <v>MAT</v>
      </c>
      <c r="C48" s="54" t="str">
        <f aca="false">IF($A48="","",IFERROR(INDEX('Cotação de Materiais'!$C$4:$C$200,MATCH($A48,'Cotação de Materiais'!$A$4:$A$200,0)),IFERROR(INDEX('Mão de Obra e Serviços'!$B$4:$B$200,MATCH($A48,'Mão de Obra e Serviços'!$A$4:$A$200,0)),"")))</f>
        <v>Tubos de Aço Estrutural</v>
      </c>
      <c r="D48" s="52" t="s">
        <v>433</v>
      </c>
      <c r="E48" s="55" t="n">
        <v>1</v>
      </c>
      <c r="F48" s="56" t="n">
        <v>1</v>
      </c>
      <c r="G48" s="57" t="n">
        <f aca="false">IF($A48="","",E48*IF(F48="",1,F48))</f>
        <v>1</v>
      </c>
      <c r="H48" s="31" t="n">
        <f aca="false">IF($A48="","",IF(SUMIF($A$6:$A$600,$A48,$G$6:$G$600)=0,0,G48/SUMIF($A$6:$A$600,$A48,$G$6:$G$600)))</f>
        <v>1</v>
      </c>
      <c r="I48" s="30" t="n">
        <f aca="false">IF($A48="","",IFERROR(INDEX('Cotação de Materiais'!$H$4:$H$200,MATCH($A48,'Cotação de Materiais'!$A$4:$A$200,0)),IFERROR(INDEX('Mão de Obra e Serviços'!$G$4:$G$200,MATCH($A48,'Mão de Obra e Serviços'!$A$4:$A$200,0)),0)))</f>
        <v>1146.25</v>
      </c>
      <c r="K48" s="30" t="n">
        <f aca="false">IF($A48="","",I48*H48)</f>
        <v>1146.25</v>
      </c>
      <c r="L48" s="58" t="s">
        <v>434</v>
      </c>
      <c r="M48" s="54" t="str">
        <f aca="false">IF($A48="","",IF(B48="CÓDIGO?","CÓDIGO NÃO ACHADO",IF($D48="","FALTA ITEM DO ANEXO",IF($D48="INDIRETO","",IF(COUNTIFS('Anexo III'!$B$8:$B$400,$D48,'Anexo III'!$E$8:$E$400,"&gt;0")=0,"ITEM NÃO ACHADO NO ANEXO","")))))</f>
        <v/>
      </c>
    </row>
    <row r="49" customFormat="false" ht="15" hidden="false" customHeight="false" outlineLevel="0" collapsed="false">
      <c r="A49" s="52" t="s">
        <v>155</v>
      </c>
      <c r="B49" s="53" t="str">
        <f aca="false">IF($A49="","",IF(ISNUMBER(MATCH($A49,'Cotação de Materiais'!$A$4:$A$200,0)),"MAT",IF(ISNUMBER(MATCH($A49,'Mão de Obra e Serviços'!$A$4:$A$200,0)),"MO","CÓDIGO?")))</f>
        <v>MAT</v>
      </c>
      <c r="C49" s="54" t="str">
        <f aca="false">IF($A49="","",IFERROR(INDEX('Cotação de Materiais'!$C$4:$C$200,MATCH($A49,'Cotação de Materiais'!$A$4:$A$200,0)),IFERROR(INDEX('Mão de Obra e Serviços'!$B$4:$B$200,MATCH($A49,'Mão de Obra e Serviços'!$A$4:$A$200,0)),"")))</f>
        <v>Molduras Metálicas S01</v>
      </c>
      <c r="D49" s="52" t="s">
        <v>435</v>
      </c>
      <c r="E49" s="55" t="n">
        <v>1</v>
      </c>
      <c r="F49" s="56" t="n">
        <v>1</v>
      </c>
      <c r="G49" s="57" t="n">
        <f aca="false">IF($A49="","",E49*IF(F49="",1,F49))</f>
        <v>1</v>
      </c>
      <c r="H49" s="31" t="n">
        <f aca="false">IF($A49="","",IF(SUMIF($A$6:$A$600,$A49,$G$6:$G$600)=0,0,G49/SUMIF($A$6:$A$600,$A49,$G$6:$G$600)))</f>
        <v>1</v>
      </c>
      <c r="I49" s="30" t="n">
        <f aca="false">IF($A49="","",IFERROR(INDEX('Cotação de Materiais'!$H$4:$H$200,MATCH($A49,'Cotação de Materiais'!$A$4:$A$200,0)),IFERROR(INDEX('Mão de Obra e Serviços'!$G$4:$G$200,MATCH($A49,'Mão de Obra e Serviços'!$A$4:$A$200,0)),0)))</f>
        <v>900</v>
      </c>
      <c r="K49" s="30" t="n">
        <f aca="false">IF($A49="","",I49*H49)</f>
        <v>900</v>
      </c>
      <c r="L49" s="58" t="s">
        <v>436</v>
      </c>
      <c r="M49" s="54" t="str">
        <f aca="false">IF($A49="","",IF(B49="CÓDIGO?","CÓDIGO NÃO ACHADO",IF($D49="","FALTA ITEM DO ANEXO",IF($D49="INDIRETO","",IF(COUNTIFS('Anexo III'!$B$8:$B$400,$D49,'Anexo III'!$E$8:$E$400,"&gt;0")=0,"ITEM NÃO ACHADO NO ANEXO","")))))</f>
        <v/>
      </c>
    </row>
    <row r="50" customFormat="false" ht="15" hidden="false" customHeight="false" outlineLevel="0" collapsed="false">
      <c r="A50" s="52" t="s">
        <v>161</v>
      </c>
      <c r="B50" s="53" t="str">
        <f aca="false">IF($A50="","",IF(ISNUMBER(MATCH($A50,'Cotação de Materiais'!$A$4:$A$200,0)),"MAT",IF(ISNUMBER(MATCH($A50,'Mão de Obra e Serviços'!$A$4:$A$200,0)),"MO","CÓDIGO?")))</f>
        <v>MAT</v>
      </c>
      <c r="C50" s="54" t="str">
        <f aca="false">IF($A50="","",IFERROR(INDEX('Cotação de Materiais'!$C$4:$C$200,MATCH($A50,'Cotação de Materiais'!$A$4:$A$200,0)),IFERROR(INDEX('Mão de Obra e Serviços'!$B$4:$B$200,MATCH($A50,'Mão de Obra e Serviços'!$A$4:$A$200,0)),"")))</f>
        <v>Mão-Francesa Metálica S02</v>
      </c>
      <c r="D50" s="52" t="s">
        <v>437</v>
      </c>
      <c r="E50" s="55" t="n">
        <v>1</v>
      </c>
      <c r="F50" s="56" t="n">
        <v>1</v>
      </c>
      <c r="G50" s="57" t="n">
        <f aca="false">IF($A50="","",E50*IF(F50="",1,F50))</f>
        <v>1</v>
      </c>
      <c r="H50" s="31" t="n">
        <f aca="false">IF($A50="","",IF(SUMIF($A$6:$A$600,$A50,$G$6:$G$600)=0,0,G50/SUMIF($A$6:$A$600,$A50,$G$6:$G$600)))</f>
        <v>1</v>
      </c>
      <c r="I50" s="30" t="n">
        <f aca="false">IF($A50="","",IFERROR(INDEX('Cotação de Materiais'!$H$4:$H$200,MATCH($A50,'Cotação de Materiais'!$A$4:$A$200,0)),IFERROR(INDEX('Mão de Obra e Serviços'!$G$4:$G$200,MATCH($A50,'Mão de Obra e Serviços'!$A$4:$A$200,0)),0)))</f>
        <v>560</v>
      </c>
      <c r="K50" s="30" t="n">
        <f aca="false">IF($A50="","",I50*H50)</f>
        <v>560</v>
      </c>
      <c r="L50" s="58" t="s">
        <v>438</v>
      </c>
      <c r="M50" s="54" t="str">
        <f aca="false">IF($A50="","",IF(B50="CÓDIGO?","CÓDIGO NÃO ACHADO",IF($D50="","FALTA ITEM DO ANEXO",IF($D50="INDIRETO","",IF(COUNTIFS('Anexo III'!$B$8:$B$400,$D50,'Anexo III'!$E$8:$E$400,"&gt;0")=0,"ITEM NÃO ACHADO NO ANEXO","")))))</f>
        <v/>
      </c>
    </row>
    <row r="51" customFormat="false" ht="15" hidden="false" customHeight="false" outlineLevel="0" collapsed="false">
      <c r="A51" s="52" t="s">
        <v>166</v>
      </c>
      <c r="B51" s="53" t="str">
        <f aca="false">IF($A51="","",IF(ISNUMBER(MATCH($A51,'Cotação de Materiais'!$A$4:$A$200,0)),"MAT",IF(ISNUMBER(MATCH($A51,'Mão de Obra e Serviços'!$A$4:$A$200,0)),"MO","CÓDIGO?")))</f>
        <v>MAT</v>
      </c>
      <c r="C51" s="54" t="str">
        <f aca="false">IF($A51="","",IFERROR(INDEX('Cotação de Materiais'!$C$4:$C$200,MATCH($A51,'Cotação de Materiais'!$A$4:$A$200,0)),IFERROR(INDEX('Mão de Obra e Serviços'!$B$4:$B$200,MATCH($A51,'Mão de Obra e Serviços'!$A$4:$A$200,0)),"")))</f>
        <v>Placas de Apoio de Aço</v>
      </c>
      <c r="D51" s="52" t="s">
        <v>433</v>
      </c>
      <c r="E51" s="55" t="n">
        <v>1</v>
      </c>
      <c r="F51" s="56" t="n">
        <v>1</v>
      </c>
      <c r="G51" s="57" t="n">
        <f aca="false">IF($A51="","",E51*IF(F51="",1,F51))</f>
        <v>1</v>
      </c>
      <c r="H51" s="31" t="n">
        <f aca="false">IF($A51="","",IF(SUMIF($A$6:$A$600,$A51,$G$6:$G$600)=0,0,G51/SUMIF($A$6:$A$600,$A51,$G$6:$G$600)))</f>
        <v>1</v>
      </c>
      <c r="I51" s="30" t="n">
        <f aca="false">IF($A51="","",IFERROR(INDEX('Cotação de Materiais'!$H$4:$H$200,MATCH($A51,'Cotação de Materiais'!$A$4:$A$200,0)),IFERROR(INDEX('Mão de Obra e Serviços'!$G$4:$G$200,MATCH($A51,'Mão de Obra e Serviços'!$A$4:$A$200,0)),0)))</f>
        <v>520</v>
      </c>
      <c r="K51" s="30" t="n">
        <f aca="false">IF($A51="","",I51*H51)</f>
        <v>520</v>
      </c>
      <c r="L51" s="58" t="s">
        <v>439</v>
      </c>
      <c r="M51" s="54" t="str">
        <f aca="false">IF($A51="","",IF(B51="CÓDIGO?","CÓDIGO NÃO ACHADO",IF($D51="","FALTA ITEM DO ANEXO",IF($D51="INDIRETO","",IF(COUNTIFS('Anexo III'!$B$8:$B$400,$D51,'Anexo III'!$E$8:$E$400,"&gt;0")=0,"ITEM NÃO ACHADO NO ANEXO","")))))</f>
        <v/>
      </c>
    </row>
    <row r="52" customFormat="false" ht="15" hidden="false" customHeight="false" outlineLevel="0" collapsed="false">
      <c r="A52" s="52" t="s">
        <v>171</v>
      </c>
      <c r="B52" s="53" t="str">
        <f aca="false">IF($A52="","",IF(ISNUMBER(MATCH($A52,'Cotação de Materiais'!$A$4:$A$200,0)),"MAT",IF(ISNUMBER(MATCH($A52,'Mão de Obra e Serviços'!$A$4:$A$200,0)),"MO","CÓDIGO?")))</f>
        <v>MAT</v>
      </c>
      <c r="C52" s="54" t="str">
        <f aca="false">IF($A52="","",IFERROR(INDEX('Cotação de Materiais'!$C$4:$C$200,MATCH($A52,'Cotação de Materiais'!$A$4:$A$200,0)),IFERROR(INDEX('Mão de Obra e Serviços'!$B$4:$B$200,MATCH($A52,'Mão de Obra e Serviços'!$A$4:$A$200,0)),"")))</f>
        <v>Perfis de Alumínio de Canto</v>
      </c>
      <c r="D52" s="52" t="s">
        <v>418</v>
      </c>
      <c r="E52" s="55" t="n">
        <v>1</v>
      </c>
      <c r="F52" s="56" t="n">
        <v>1</v>
      </c>
      <c r="G52" s="57" t="n">
        <f aca="false">IF($A52="","",E52*IF(F52="",1,F52))</f>
        <v>1</v>
      </c>
      <c r="H52" s="31" t="n">
        <f aca="false">IF($A52="","",IF(SUMIF($A$6:$A$600,$A52,$G$6:$G$600)=0,0,G52/SUMIF($A$6:$A$600,$A52,$G$6:$G$600)))</f>
        <v>1</v>
      </c>
      <c r="I52" s="30" t="n">
        <f aca="false">IF($A52="","",IFERROR(INDEX('Cotação de Materiais'!$H$4:$H$200,MATCH($A52,'Cotação de Materiais'!$A$4:$A$200,0)),IFERROR(INDEX('Mão de Obra e Serviços'!$G$4:$G$200,MATCH($A52,'Mão de Obra e Serviços'!$A$4:$A$200,0)),0)))</f>
        <v>130</v>
      </c>
      <c r="K52" s="30" t="n">
        <f aca="false">IF($A52="","",I52*H52)</f>
        <v>130</v>
      </c>
      <c r="L52" s="58" t="s">
        <v>440</v>
      </c>
      <c r="M52" s="54" t="str">
        <f aca="false">IF($A52="","",IF(B52="CÓDIGO?","CÓDIGO NÃO ACHADO",IF($D52="","FALTA ITEM DO ANEXO",IF($D52="INDIRETO","",IF(COUNTIFS('Anexo III'!$B$8:$B$400,$D52,'Anexo III'!$E$8:$E$400,"&gt;0")=0,"ITEM NÃO ACHADO NO ANEXO","")))))</f>
        <v/>
      </c>
    </row>
    <row r="53" customFormat="false" ht="15" hidden="false" customHeight="false" outlineLevel="0" collapsed="false">
      <c r="A53" s="52" t="s">
        <v>176</v>
      </c>
      <c r="B53" s="53" t="str">
        <f aca="false">IF($A53="","",IF(ISNUMBER(MATCH($A53,'Cotação de Materiais'!$A$4:$A$200,0)),"MAT",IF(ISNUMBER(MATCH($A53,'Mão de Obra e Serviços'!$A$4:$A$200,0)),"MO","CÓDIGO?")))</f>
        <v>MAT</v>
      </c>
      <c r="C53" s="54" t="str">
        <f aca="false">IF($A53="","",IFERROR(INDEX('Cotação de Materiais'!$C$4:$C$200,MATCH($A53,'Cotação de Materiais'!$A$4:$A$200,0)),IFERROR(INDEX('Mão de Obra e Serviços'!$B$4:$B$200,MATCH($A53,'Mão de Obra e Serviços'!$A$4:$A$200,0)),"")))</f>
        <v>Quadro QDLF-Temporário</v>
      </c>
      <c r="D53" s="52" t="s">
        <v>441</v>
      </c>
      <c r="E53" s="55" t="n">
        <v>1</v>
      </c>
      <c r="F53" s="56" t="n">
        <v>1</v>
      </c>
      <c r="G53" s="57" t="n">
        <f aca="false">IF($A53="","",E53*IF(F53="",1,F53))</f>
        <v>1</v>
      </c>
      <c r="H53" s="31" t="n">
        <f aca="false">IF($A53="","",IF(SUMIF($A$6:$A$600,$A53,$G$6:$G$600)=0,0,G53/SUMIF($A$6:$A$600,$A53,$G$6:$G$600)))</f>
        <v>1</v>
      </c>
      <c r="I53" s="30" t="n">
        <f aca="false">IF($A53="","",IFERROR(INDEX('Cotação de Materiais'!$H$4:$H$200,MATCH($A53,'Cotação de Materiais'!$A$4:$A$200,0)),IFERROR(INDEX('Mão de Obra e Serviços'!$G$4:$G$200,MATCH($A53,'Mão de Obra e Serviços'!$A$4:$A$200,0)),0)))</f>
        <v>1850</v>
      </c>
      <c r="K53" s="30" t="n">
        <f aca="false">IF($A53="","",I53*H53)</f>
        <v>1850</v>
      </c>
      <c r="L53" s="58" t="s">
        <v>442</v>
      </c>
      <c r="M53" s="54" t="str">
        <f aca="false">IF($A53="","",IF(B53="CÓDIGO?","CÓDIGO NÃO ACHADO",IF($D53="","FALTA ITEM DO ANEXO",IF($D53="INDIRETO","",IF(COUNTIFS('Anexo III'!$B$8:$B$400,$D53,'Anexo III'!$E$8:$E$400,"&gt;0")=0,"ITEM NÃO ACHADO NO ANEXO","")))))</f>
        <v/>
      </c>
    </row>
    <row r="54" customFormat="false" ht="15" hidden="false" customHeight="false" outlineLevel="0" collapsed="false">
      <c r="A54" s="52" t="s">
        <v>181</v>
      </c>
      <c r="B54" s="53" t="str">
        <f aca="false">IF($A54="","",IF(ISNUMBER(MATCH($A54,'Cotação de Materiais'!$A$4:$A$200,0)),"MAT",IF(ISNUMBER(MATCH($A54,'Mão de Obra e Serviços'!$A$4:$A$200,0)),"MO","CÓDIGO?")))</f>
        <v>MAT</v>
      </c>
      <c r="C54" s="54" t="str">
        <f aca="false">IF($A54="","",IFERROR(INDEX('Cotação de Materiais'!$C$4:$C$200,MATCH($A54,'Cotação de Materiais'!$A$4:$A$200,0)),IFERROR(INDEX('Mão de Obra e Serviços'!$B$4:$B$200,MATCH($A54,'Mão de Obra e Serviços'!$A$4:$A$200,0)),"")))</f>
        <v>Cabo Alimentador Geral</v>
      </c>
      <c r="D54" s="52" t="s">
        <v>443</v>
      </c>
      <c r="E54" s="55" t="n">
        <v>93</v>
      </c>
      <c r="F54" s="56" t="n">
        <v>1</v>
      </c>
      <c r="G54" s="57" t="n">
        <f aca="false">IF($A54="","",E54*IF(F54="",1,F54))</f>
        <v>93</v>
      </c>
      <c r="H54" s="31" t="n">
        <f aca="false">IF($A54="","",IF(SUMIF($A$6:$A$600,$A54,$G$6:$G$600)=0,0,G54/SUMIF($A$6:$A$600,$A54,$G$6:$G$600)))</f>
        <v>0.6</v>
      </c>
      <c r="I54" s="30" t="n">
        <f aca="false">IF($A54="","",IFERROR(INDEX('Cotação de Materiais'!$H$4:$H$200,MATCH($A54,'Cotação de Materiais'!$A$4:$A$200,0)),IFERROR(INDEX('Mão de Obra e Serviços'!$G$4:$G$200,MATCH($A54,'Mão de Obra e Serviços'!$A$4:$A$200,0)),0)))</f>
        <v>660.15</v>
      </c>
      <c r="K54" s="30" t="n">
        <f aca="false">IF($A54="","",I54*H54)</f>
        <v>396.09</v>
      </c>
      <c r="L54" s="58" t="s">
        <v>444</v>
      </c>
      <c r="M54" s="54" t="str">
        <f aca="false">IF($A54="","",IF(B54="CÓDIGO?","CÓDIGO NÃO ACHADO",IF($D54="","FALTA ITEM DO ANEXO",IF($D54="INDIRETO","",IF(COUNTIFS('Anexo III'!$B$8:$B$400,$D54,'Anexo III'!$E$8:$E$400,"&gt;0")=0,"ITEM NÃO ACHADO NO ANEXO","")))))</f>
        <v/>
      </c>
    </row>
    <row r="55" customFormat="false" ht="15" hidden="false" customHeight="false" outlineLevel="0" collapsed="false">
      <c r="A55" s="52" t="s">
        <v>181</v>
      </c>
      <c r="B55" s="53" t="str">
        <f aca="false">IF($A55="","",IF(ISNUMBER(MATCH($A55,'Cotação de Materiais'!$A$4:$A$200,0)),"MAT",IF(ISNUMBER(MATCH($A55,'Mão de Obra e Serviços'!$A$4:$A$200,0)),"MO","CÓDIGO?")))</f>
        <v>MAT</v>
      </c>
      <c r="C55" s="54" t="str">
        <f aca="false">IF($A55="","",IFERROR(INDEX('Cotação de Materiais'!$C$4:$C$200,MATCH($A55,'Cotação de Materiais'!$A$4:$A$200,0)),IFERROR(INDEX('Mão de Obra e Serviços'!$B$4:$B$200,MATCH($A55,'Mão de Obra e Serviços'!$A$4:$A$200,0)),"")))</f>
        <v>Cabo Alimentador Geral</v>
      </c>
      <c r="D55" s="52" t="s">
        <v>445</v>
      </c>
      <c r="E55" s="55" t="n">
        <v>31</v>
      </c>
      <c r="F55" s="56" t="n">
        <v>1</v>
      </c>
      <c r="G55" s="57" t="n">
        <f aca="false">IF($A55="","",E55*IF(F55="",1,F55))</f>
        <v>31</v>
      </c>
      <c r="H55" s="31" t="n">
        <f aca="false">IF($A55="","",IF(SUMIF($A$6:$A$600,$A55,$G$6:$G$600)=0,0,G55/SUMIF($A$6:$A$600,$A55,$G$6:$G$600)))</f>
        <v>0.2</v>
      </c>
      <c r="I55" s="30" t="n">
        <f aca="false">IF($A55="","",IFERROR(INDEX('Cotação de Materiais'!$H$4:$H$200,MATCH($A55,'Cotação de Materiais'!$A$4:$A$200,0)),IFERROR(INDEX('Mão de Obra e Serviços'!$G$4:$G$200,MATCH($A55,'Mão de Obra e Serviços'!$A$4:$A$200,0)),0)))</f>
        <v>660.15</v>
      </c>
      <c r="K55" s="30" t="n">
        <f aca="false">IF($A55="","",I55*H55)</f>
        <v>132.03</v>
      </c>
      <c r="L55" s="58" t="s">
        <v>444</v>
      </c>
      <c r="M55" s="54" t="str">
        <f aca="false">IF($A55="","",IF(B55="CÓDIGO?","CÓDIGO NÃO ACHADO",IF($D55="","FALTA ITEM DO ANEXO",IF($D55="INDIRETO","",IF(COUNTIFS('Anexo III'!$B$8:$B$400,$D55,'Anexo III'!$E$8:$E$400,"&gt;0")=0,"ITEM NÃO ACHADO NO ANEXO","")))))</f>
        <v/>
      </c>
    </row>
    <row r="56" customFormat="false" ht="15" hidden="false" customHeight="false" outlineLevel="0" collapsed="false">
      <c r="A56" s="52" t="s">
        <v>181</v>
      </c>
      <c r="B56" s="53" t="str">
        <f aca="false">IF($A56="","",IF(ISNUMBER(MATCH($A56,'Cotação de Materiais'!$A$4:$A$200,0)),"MAT",IF(ISNUMBER(MATCH($A56,'Mão de Obra e Serviços'!$A$4:$A$200,0)),"MO","CÓDIGO?")))</f>
        <v>MAT</v>
      </c>
      <c r="C56" s="54" t="str">
        <f aca="false">IF($A56="","",IFERROR(INDEX('Cotação de Materiais'!$C$4:$C$200,MATCH($A56,'Cotação de Materiais'!$A$4:$A$200,0)),IFERROR(INDEX('Mão de Obra e Serviços'!$B$4:$B$200,MATCH($A56,'Mão de Obra e Serviços'!$A$4:$A$200,0)),"")))</f>
        <v>Cabo Alimentador Geral</v>
      </c>
      <c r="D56" s="52" t="s">
        <v>446</v>
      </c>
      <c r="E56" s="55" t="n">
        <v>31</v>
      </c>
      <c r="F56" s="56" t="n">
        <v>1</v>
      </c>
      <c r="G56" s="57" t="n">
        <f aca="false">IF($A56="","",E56*IF(F56="",1,F56))</f>
        <v>31</v>
      </c>
      <c r="H56" s="31" t="n">
        <f aca="false">IF($A56="","",IF(SUMIF($A$6:$A$600,$A56,$G$6:$G$600)=0,0,G56/SUMIF($A$6:$A$600,$A56,$G$6:$G$600)))</f>
        <v>0.2</v>
      </c>
      <c r="I56" s="30" t="n">
        <f aca="false">IF($A56="","",IFERROR(INDEX('Cotação de Materiais'!$H$4:$H$200,MATCH($A56,'Cotação de Materiais'!$A$4:$A$200,0)),IFERROR(INDEX('Mão de Obra e Serviços'!$G$4:$G$200,MATCH($A56,'Mão de Obra e Serviços'!$A$4:$A$200,0)),0)))</f>
        <v>660.15</v>
      </c>
      <c r="K56" s="30" t="n">
        <f aca="false">IF($A56="","",I56*H56)</f>
        <v>132.03</v>
      </c>
      <c r="L56" s="58" t="s">
        <v>444</v>
      </c>
      <c r="M56" s="54" t="str">
        <f aca="false">IF($A56="","",IF(B56="CÓDIGO?","CÓDIGO NÃO ACHADO",IF($D56="","FALTA ITEM DO ANEXO",IF($D56="INDIRETO","",IF(COUNTIFS('Anexo III'!$B$8:$B$400,$D56,'Anexo III'!$E$8:$E$400,"&gt;0")=0,"ITEM NÃO ACHADO NO ANEXO","")))))</f>
        <v/>
      </c>
    </row>
    <row r="57" customFormat="false" ht="15" hidden="false" customHeight="false" outlineLevel="0" collapsed="false">
      <c r="A57" s="52" t="s">
        <v>186</v>
      </c>
      <c r="B57" s="53" t="str">
        <f aca="false">IF($A57="","",IF(ISNUMBER(MATCH($A57,'Cotação de Materiais'!$A$4:$A$200,0)),"MAT",IF(ISNUMBER(MATCH($A57,'Mão de Obra e Serviços'!$A$4:$A$200,0)),"MO","CÓDIGO?")))</f>
        <v>MAT</v>
      </c>
      <c r="C57" s="54" t="str">
        <f aca="false">IF($A57="","",IFERROR(INDEX('Cotação de Materiais'!$C$4:$C$200,MATCH($A57,'Cotação de Materiais'!$A$4:$A$200,0)),IFERROR(INDEX('Mão de Obra e Serviços'!$B$4:$B$200,MATCH($A57,'Mão de Obra e Serviços'!$A$4:$A$200,0)),"")))</f>
        <v>Disjuntores DIN e DDR</v>
      </c>
      <c r="D57" s="52" t="s">
        <v>441</v>
      </c>
      <c r="E57" s="55" t="n">
        <v>1</v>
      </c>
      <c r="F57" s="56" t="n">
        <v>1</v>
      </c>
      <c r="G57" s="57" t="n">
        <f aca="false">IF($A57="","",E57*IF(F57="",1,F57))</f>
        <v>1</v>
      </c>
      <c r="H57" s="31" t="n">
        <f aca="false">IF($A57="","",IF(SUMIF($A$6:$A$600,$A57,$G$6:$G$600)=0,0,G57/SUMIF($A$6:$A$600,$A57,$G$6:$G$600)))</f>
        <v>1</v>
      </c>
      <c r="I57" s="30" t="n">
        <f aca="false">IF($A57="","",IFERROR(INDEX('Cotação de Materiais'!$H$4:$H$200,MATCH($A57,'Cotação de Materiais'!$A$4:$A$200,0)),IFERROR(INDEX('Mão de Obra e Serviços'!$G$4:$G$200,MATCH($A57,'Mão de Obra e Serviços'!$A$4:$A$200,0)),0)))</f>
        <v>960</v>
      </c>
      <c r="K57" s="30" t="n">
        <f aca="false">IF($A57="","",I57*H57)</f>
        <v>960</v>
      </c>
      <c r="L57" s="58" t="s">
        <v>447</v>
      </c>
      <c r="M57" s="54" t="str">
        <f aca="false">IF($A57="","",IF(B57="CÓDIGO?","CÓDIGO NÃO ACHADO",IF($D57="","FALTA ITEM DO ANEXO",IF($D57="INDIRETO","",IF(COUNTIFS('Anexo III'!$B$8:$B$400,$D57,'Anexo III'!$E$8:$E$400,"&gt;0")=0,"ITEM NÃO ACHADO NO ANEXO","")))))</f>
        <v/>
      </c>
    </row>
    <row r="58" customFormat="false" ht="15" hidden="false" customHeight="false" outlineLevel="0" collapsed="false">
      <c r="A58" s="52" t="s">
        <v>191</v>
      </c>
      <c r="B58" s="53" t="str">
        <f aca="false">IF($A58="","",IF(ISNUMBER(MATCH($A58,'Cotação de Materiais'!$A$4:$A$200,0)),"MAT",IF(ISNUMBER(MATCH($A58,'Mão de Obra e Serviços'!$A$4:$A$200,0)),"MO","CÓDIGO?")))</f>
        <v>MAT</v>
      </c>
      <c r="C58" s="54" t="str">
        <f aca="false">IF($A58="","",IFERROR(INDEX('Cotação de Materiais'!$C$4:$C$200,MATCH($A58,'Cotação de Materiais'!$A$4:$A$200,0)),IFERROR(INDEX('Mão de Obra e Serviços'!$B$4:$B$200,MATCH($A58,'Mão de Obra e Serviços'!$A$4:$A$200,0)),"")))</f>
        <v>Cabos PP Antichama</v>
      </c>
      <c r="D58" s="52" t="s">
        <v>448</v>
      </c>
      <c r="E58" s="55" t="n">
        <v>1</v>
      </c>
      <c r="F58" s="56" t="n">
        <v>1</v>
      </c>
      <c r="G58" s="57" t="n">
        <f aca="false">IF($A58="","",E58*IF(F58="",1,F58))</f>
        <v>1</v>
      </c>
      <c r="H58" s="31" t="n">
        <f aca="false">IF($A58="","",IF(SUMIF($A$6:$A$600,$A58,$G$6:$G$600)=0,0,G58/SUMIF($A$6:$A$600,$A58,$G$6:$G$600)))</f>
        <v>1</v>
      </c>
      <c r="I58" s="30" t="n">
        <f aca="false">IF($A58="","",IFERROR(INDEX('Cotação de Materiais'!$H$4:$H$200,MATCH($A58,'Cotação de Materiais'!$A$4:$A$200,0)),IFERROR(INDEX('Mão de Obra e Serviços'!$G$4:$G$200,MATCH($A58,'Mão de Obra e Serviços'!$A$4:$A$200,0)),0)))</f>
        <v>3987.5</v>
      </c>
      <c r="K58" s="30" t="n">
        <f aca="false">IF($A58="","",I58*H58)</f>
        <v>3987.5</v>
      </c>
      <c r="L58" s="58" t="s">
        <v>449</v>
      </c>
      <c r="M58" s="54" t="str">
        <f aca="false">IF($A58="","",IF(B58="CÓDIGO?","CÓDIGO NÃO ACHADO",IF($D58="","FALTA ITEM DO ANEXO",IF($D58="INDIRETO","",IF(COUNTIFS('Anexo III'!$B$8:$B$400,$D58,'Anexo III'!$E$8:$E$400,"&gt;0")=0,"ITEM NÃO ACHADO NO ANEXO","")))))</f>
        <v/>
      </c>
    </row>
    <row r="59" customFormat="false" ht="15" hidden="false" customHeight="false" outlineLevel="0" collapsed="false">
      <c r="A59" s="52" t="s">
        <v>196</v>
      </c>
      <c r="B59" s="53" t="str">
        <f aca="false">IF($A59="","",IF(ISNUMBER(MATCH($A59,'Cotação de Materiais'!$A$4:$A$200,0)),"MAT",IF(ISNUMBER(MATCH($A59,'Mão de Obra e Serviços'!$A$4:$A$200,0)),"MO","CÓDIGO?")))</f>
        <v>MAT</v>
      </c>
      <c r="C59" s="54" t="str">
        <f aca="false">IF($A59="","",IFERROR(INDEX('Cotação de Materiais'!$C$4:$C$200,MATCH($A59,'Cotação de Materiais'!$A$4:$A$200,0)),IFERROR(INDEX('Mão de Obra e Serviços'!$B$4:$B$200,MATCH($A59,'Mão de Obra e Serviços'!$A$4:$A$200,0)),"")))</f>
        <v>Fita LED Backlight M01</v>
      </c>
      <c r="D59" s="52" t="s">
        <v>426</v>
      </c>
      <c r="E59" s="55" t="n">
        <v>1</v>
      </c>
      <c r="F59" s="56" t="n">
        <v>1</v>
      </c>
      <c r="G59" s="57" t="n">
        <f aca="false">IF($A59="","",E59*IF(F59="",1,F59))</f>
        <v>1</v>
      </c>
      <c r="H59" s="31" t="n">
        <f aca="false">IF($A59="","",IF(SUMIF($A$6:$A$600,$A59,$G$6:$G$600)=0,0,G59/SUMIF($A$6:$A$600,$A59,$G$6:$G$600)))</f>
        <v>1</v>
      </c>
      <c r="I59" s="30" t="n">
        <f aca="false">IF($A59="","",IFERROR(INDEX('Cotação de Materiais'!$H$4:$H$200,MATCH($A59,'Cotação de Materiais'!$A$4:$A$200,0)),IFERROR(INDEX('Mão de Obra e Serviços'!$G$4:$G$200,MATCH($A59,'Mão de Obra e Serviços'!$A$4:$A$200,0)),0)))</f>
        <v>76.12</v>
      </c>
      <c r="K59" s="30" t="n">
        <f aca="false">IF($A59="","",I59*H59)</f>
        <v>76.12</v>
      </c>
      <c r="L59" s="58" t="s">
        <v>450</v>
      </c>
      <c r="M59" s="54" t="str">
        <f aca="false">IF($A59="","",IF(B59="CÓDIGO?","CÓDIGO NÃO ACHADO",IF($D59="","FALTA ITEM DO ANEXO",IF($D59="INDIRETO","",IF(COUNTIFS('Anexo III'!$B$8:$B$400,$D59,'Anexo III'!$E$8:$E$400,"&gt;0")=0,"ITEM NÃO ACHADO NO ANEXO","")))))</f>
        <v/>
      </c>
    </row>
    <row r="60" customFormat="false" ht="15" hidden="false" customHeight="false" outlineLevel="0" collapsed="false">
      <c r="A60" s="52" t="s">
        <v>201</v>
      </c>
      <c r="B60" s="53" t="str">
        <f aca="false">IF($A60="","",IF(ISNUMBER(MATCH($A60,'Cotação de Materiais'!$A$4:$A$200,0)),"MAT",IF(ISNUMBER(MATCH($A60,'Mão de Obra e Serviços'!$A$4:$A$200,0)),"MO","CÓDIGO?")))</f>
        <v>MAT</v>
      </c>
      <c r="C60" s="54" t="str">
        <f aca="false">IF($A60="","",IFERROR(INDEX('Cotação de Materiais'!$C$4:$C$200,MATCH($A60,'Cotação de Materiais'!$A$4:$A$200,0)),IFERROR(INDEX('Mão de Obra e Serviços'!$B$4:$B$200,MATCH($A60,'Mão de Obra e Serviços'!$A$4:$A$200,0)),"")))</f>
        <v>Fita LED Vitrine M22</v>
      </c>
      <c r="D60" s="52" t="s">
        <v>418</v>
      </c>
      <c r="E60" s="55" t="n">
        <v>1</v>
      </c>
      <c r="F60" s="56" t="n">
        <v>1</v>
      </c>
      <c r="G60" s="57" t="n">
        <f aca="false">IF($A60="","",E60*IF(F60="",1,F60))</f>
        <v>1</v>
      </c>
      <c r="H60" s="31" t="n">
        <f aca="false">IF($A60="","",IF(SUMIF($A$6:$A$600,$A60,$G$6:$G$600)=0,0,G60/SUMIF($A$6:$A$600,$A60,$G$6:$G$600)))</f>
        <v>1</v>
      </c>
      <c r="I60" s="30" t="n">
        <f aca="false">IF($A60="","",IFERROR(INDEX('Cotação de Materiais'!$H$4:$H$200,MATCH($A60,'Cotação de Materiais'!$A$4:$A$200,0)),IFERROR(INDEX('Mão de Obra e Serviços'!$G$4:$G$200,MATCH($A60,'Mão de Obra e Serviços'!$A$4:$A$200,0)),0)))</f>
        <v>104.292</v>
      </c>
      <c r="K60" s="30" t="n">
        <f aca="false">IF($A60="","",I60*H60)</f>
        <v>104.292</v>
      </c>
      <c r="L60" s="58" t="s">
        <v>451</v>
      </c>
      <c r="M60" s="54" t="str">
        <f aca="false">IF($A60="","",IF(B60="CÓDIGO?","CÓDIGO NÃO ACHADO",IF($D60="","FALTA ITEM DO ANEXO",IF($D60="INDIRETO","",IF(COUNTIFS('Anexo III'!$B$8:$B$400,$D60,'Anexo III'!$E$8:$E$400,"&gt;0")=0,"ITEM NÃO ACHADO NO ANEXO","")))))</f>
        <v/>
      </c>
    </row>
    <row r="61" customFormat="false" ht="15" hidden="false" customHeight="false" outlineLevel="0" collapsed="false">
      <c r="A61" s="52" t="s">
        <v>206</v>
      </c>
      <c r="B61" s="53" t="str">
        <f aca="false">IF($A61="","",IF(ISNUMBER(MATCH($A61,'Cotação de Materiais'!$A$4:$A$200,0)),"MAT",IF(ISNUMBER(MATCH($A61,'Mão de Obra e Serviços'!$A$4:$A$200,0)),"MO","CÓDIGO?")))</f>
        <v>MAT</v>
      </c>
      <c r="C61" s="54" t="str">
        <f aca="false">IF($A61="","",IFERROR(INDEX('Cotação de Materiais'!$C$4:$C$200,MATCH($A61,'Cotação de Materiais'!$A$4:$A$200,0)),IFERROR(INDEX('Mão de Obra e Serviços'!$B$4:$B$200,MATCH($A61,'Mão de Obra e Serviços'!$A$4:$A$200,0)),"")))</f>
        <v>Fita Eletrificada de Piso</v>
      </c>
      <c r="D61" s="52" t="s">
        <v>426</v>
      </c>
      <c r="E61" s="55" t="n">
        <v>1</v>
      </c>
      <c r="F61" s="56" t="n">
        <v>1</v>
      </c>
      <c r="G61" s="57" t="n">
        <f aca="false">IF($A61="","",E61*IF(F61="",1,F61))</f>
        <v>1</v>
      </c>
      <c r="H61" s="31" t="n">
        <f aca="false">IF($A61="","",IF(SUMIF($A$6:$A$600,$A61,$G$6:$G$600)=0,0,G61/SUMIF($A$6:$A$600,$A61,$G$6:$G$600)))</f>
        <v>1</v>
      </c>
      <c r="I61" s="30" t="n">
        <f aca="false">IF($A61="","",IFERROR(INDEX('Cotação de Materiais'!$H$4:$H$200,MATCH($A61,'Cotação de Materiais'!$A$4:$A$200,0)),IFERROR(INDEX('Mão de Obra e Serviços'!$G$4:$G$200,MATCH($A61,'Mão de Obra e Serviços'!$A$4:$A$200,0)),0)))</f>
        <v>45.1</v>
      </c>
      <c r="K61" s="30" t="n">
        <f aca="false">IF($A61="","",I61*H61)</f>
        <v>45.1</v>
      </c>
      <c r="L61" s="58" t="s">
        <v>452</v>
      </c>
      <c r="M61" s="54" t="str">
        <f aca="false">IF($A61="","",IF(B61="CÓDIGO?","CÓDIGO NÃO ACHADO",IF($D61="","FALTA ITEM DO ANEXO",IF($D61="INDIRETO","",IF(COUNTIFS('Anexo III'!$B$8:$B$400,$D61,'Anexo III'!$E$8:$E$400,"&gt;0")=0,"ITEM NÃO ACHADO NO ANEXO","")))))</f>
        <v/>
      </c>
    </row>
    <row r="62" customFormat="false" ht="15" hidden="false" customHeight="false" outlineLevel="0" collapsed="false">
      <c r="A62" s="52" t="s">
        <v>212</v>
      </c>
      <c r="B62" s="53" t="str">
        <f aca="false">IF($A62="","",IF(ISNUMBER(MATCH($A62,'Cotação de Materiais'!$A$4:$A$200,0)),"MAT",IF(ISNUMBER(MATCH($A62,'Mão de Obra e Serviços'!$A$4:$A$200,0)),"MO","CÓDIGO?")))</f>
        <v>MAT</v>
      </c>
      <c r="C62" s="54" t="str">
        <f aca="false">IF($A62="","",IFERROR(INDEX('Cotação de Materiais'!$C$4:$C$200,MATCH($A62,'Cotação de Materiais'!$A$4:$A$200,0)),IFERROR(INDEX('Mão de Obra e Serviços'!$B$4:$B$200,MATCH($A62,'Mão de Obra e Serviços'!$A$4:$A$200,0)),"")))</f>
        <v>Eletrodutos e Calhas</v>
      </c>
      <c r="D62" s="52" t="s">
        <v>453</v>
      </c>
      <c r="E62" s="55" t="n">
        <v>443.1</v>
      </c>
      <c r="F62" s="56" t="n">
        <v>1</v>
      </c>
      <c r="G62" s="57" t="n">
        <f aca="false">IF($A62="","",E62*IF(F62="",1,F62))</f>
        <v>443.1</v>
      </c>
      <c r="H62" s="31" t="n">
        <f aca="false">IF($A62="","",IF(SUMIF($A$6:$A$600,$A62,$G$6:$G$600)=0,0,G62/SUMIF($A$6:$A$600,$A62,$G$6:$G$600)))</f>
        <v>0.29676511954993</v>
      </c>
      <c r="I62" s="30" t="n">
        <f aca="false">IF($A62="","",IFERROR(INDEX('Cotação de Materiais'!$H$4:$H$200,MATCH($A62,'Cotação de Materiais'!$A$4:$A$200,0)),IFERROR(INDEX('Mão de Obra e Serviços'!$G$4:$G$200,MATCH($A62,'Mão de Obra e Serviços'!$A$4:$A$200,0)),0)))</f>
        <v>1493.1</v>
      </c>
      <c r="K62" s="30" t="n">
        <f aca="false">IF($A62="","",I62*H62)</f>
        <v>443.1</v>
      </c>
      <c r="L62" s="58" t="s">
        <v>454</v>
      </c>
      <c r="M62" s="54" t="str">
        <f aca="false">IF($A62="","",IF(B62="CÓDIGO?","CÓDIGO NÃO ACHADO",IF($D62="","FALTA ITEM DO ANEXO",IF($D62="INDIRETO","",IF(COUNTIFS('Anexo III'!$B$8:$B$400,$D62,'Anexo III'!$E$8:$E$400,"&gt;0")=0,"ITEM NÃO ACHADO NO ANEXO","")))))</f>
        <v/>
      </c>
    </row>
    <row r="63" customFormat="false" ht="15" hidden="false" customHeight="false" outlineLevel="0" collapsed="false">
      <c r="A63" s="52" t="s">
        <v>212</v>
      </c>
      <c r="B63" s="53" t="str">
        <f aca="false">IF($A63="","",IF(ISNUMBER(MATCH($A63,'Cotação de Materiais'!$A$4:$A$200,0)),"MAT",IF(ISNUMBER(MATCH($A63,'Mão de Obra e Serviços'!$A$4:$A$200,0)),"MO","CÓDIGO?")))</f>
        <v>MAT</v>
      </c>
      <c r="C63" s="54" t="str">
        <f aca="false">IF($A63="","",IFERROR(INDEX('Cotação de Materiais'!$C$4:$C$200,MATCH($A63,'Cotação de Materiais'!$A$4:$A$200,0)),IFERROR(INDEX('Mão de Obra e Serviços'!$B$4:$B$200,MATCH($A63,'Mão de Obra e Serviços'!$A$4:$A$200,0)),"")))</f>
        <v>Eletrodutos e Calhas</v>
      </c>
      <c r="D63" s="52" t="s">
        <v>455</v>
      </c>
      <c r="E63" s="55" t="n">
        <v>1050</v>
      </c>
      <c r="F63" s="56" t="n">
        <v>1</v>
      </c>
      <c r="G63" s="57" t="n">
        <f aca="false">IF($A63="","",E63*IF(F63="",1,F63))</f>
        <v>1050</v>
      </c>
      <c r="H63" s="31" t="n">
        <f aca="false">IF($A63="","",IF(SUMIF($A$6:$A$600,$A63,$G$6:$G$600)=0,0,G63/SUMIF($A$6:$A$600,$A63,$G$6:$G$600)))</f>
        <v>0.70323488045007</v>
      </c>
      <c r="I63" s="30" t="n">
        <f aca="false">IF($A63="","",IFERROR(INDEX('Cotação de Materiais'!$H$4:$H$200,MATCH($A63,'Cotação de Materiais'!$A$4:$A$200,0)),IFERROR(INDEX('Mão de Obra e Serviços'!$G$4:$G$200,MATCH($A63,'Mão de Obra e Serviços'!$A$4:$A$200,0)),0)))</f>
        <v>1493.1</v>
      </c>
      <c r="K63" s="30" t="n">
        <f aca="false">IF($A63="","",I63*H63)</f>
        <v>1050</v>
      </c>
      <c r="L63" s="58" t="s">
        <v>454</v>
      </c>
      <c r="M63" s="54" t="str">
        <f aca="false">IF($A63="","",IF(B63="CÓDIGO?","CÓDIGO NÃO ACHADO",IF($D63="","FALTA ITEM DO ANEXO",IF($D63="INDIRETO","",IF(COUNTIFS('Anexo III'!$B$8:$B$400,$D63,'Anexo III'!$E$8:$E$400,"&gt;0")=0,"ITEM NÃO ACHADO NO ANEXO","")))))</f>
        <v/>
      </c>
    </row>
    <row r="64" customFormat="false" ht="15" hidden="false" customHeight="false" outlineLevel="0" collapsed="false">
      <c r="A64" s="52" t="s">
        <v>217</v>
      </c>
      <c r="B64" s="53" t="str">
        <f aca="false">IF($A64="","",IF(ISNUMBER(MATCH($A64,'Cotação de Materiais'!$A$4:$A$200,0)),"MAT",IF(ISNUMBER(MATCH($A64,'Mão de Obra e Serviços'!$A$4:$A$200,0)),"MO","CÓDIGO?")))</f>
        <v>MAT</v>
      </c>
      <c r="C64" s="54" t="str">
        <f aca="false">IF($A64="","",IFERROR(INDEX('Cotação de Materiais'!$C$4:$C$200,MATCH($A64,'Cotação de Materiais'!$A$4:$A$200,0)),IFERROR(INDEX('Mão de Obra e Serviços'!$B$4:$B$200,MATCH($A64,'Mão de Obra e Serviços'!$A$4:$A$200,0)),"")))</f>
        <v>Tinta Acrílica "Terra Roxa"</v>
      </c>
      <c r="D64" s="52" t="s">
        <v>397</v>
      </c>
      <c r="E64" s="55" t="n">
        <v>14</v>
      </c>
      <c r="F64" s="56" t="n">
        <v>1</v>
      </c>
      <c r="G64" s="57" t="n">
        <f aca="false">IF($A64="","",E64*IF(F64="",1,F64))</f>
        <v>14</v>
      </c>
      <c r="H64" s="31" t="n">
        <f aca="false">IF($A64="","",IF(SUMIF($A$6:$A$600,$A64,$G$6:$G$600)=0,0,G64/SUMIF($A$6:$A$600,$A64,$G$6:$G$600)))</f>
        <v>0.0656352555086732</v>
      </c>
      <c r="I64" s="30" t="n">
        <f aca="false">IF($A64="","",IFERROR(INDEX('Cotação de Materiais'!$H$4:$H$200,MATCH($A64,'Cotação de Materiais'!$A$4:$A$200,0)),IFERROR(INDEX('Mão de Obra e Serviços'!$G$4:$G$200,MATCH($A64,'Mão de Obra e Serviços'!$A$4:$A$200,0)),0)))</f>
        <v>1218.2</v>
      </c>
      <c r="K64" s="30" t="n">
        <f aca="false">IF($A64="","",I64*H64)</f>
        <v>79.9568682606657</v>
      </c>
      <c r="L64" s="58" t="s">
        <v>456</v>
      </c>
      <c r="M64" s="54" t="str">
        <f aca="false">IF($A64="","",IF(B64="CÓDIGO?","CÓDIGO NÃO ACHADO",IF($D64="","FALTA ITEM DO ANEXO",IF($D64="INDIRETO","",IF(COUNTIFS('Anexo III'!$B$8:$B$400,$D64,'Anexo III'!$E$8:$E$400,"&gt;0")=0,"ITEM NÃO ACHADO NO ANEXO","")))))</f>
        <v/>
      </c>
    </row>
    <row r="65" customFormat="false" ht="15" hidden="false" customHeight="false" outlineLevel="0" collapsed="false">
      <c r="A65" s="52" t="s">
        <v>217</v>
      </c>
      <c r="B65" s="53" t="str">
        <f aca="false">IF($A65="","",IF(ISNUMBER(MATCH($A65,'Cotação de Materiais'!$A$4:$A$200,0)),"MAT",IF(ISNUMBER(MATCH($A65,'Mão de Obra e Serviços'!$A$4:$A$200,0)),"MO","CÓDIGO?")))</f>
        <v>MAT</v>
      </c>
      <c r="C65" s="54" t="str">
        <f aca="false">IF($A65="","",IFERROR(INDEX('Cotação de Materiais'!$C$4:$C$200,MATCH($A65,'Cotação de Materiais'!$A$4:$A$200,0)),IFERROR(INDEX('Mão de Obra e Serviços'!$B$4:$B$200,MATCH($A65,'Mão de Obra e Serviços'!$A$4:$A$200,0)),"")))</f>
        <v>Tinta Acrílica "Terra Roxa"</v>
      </c>
      <c r="D65" s="52" t="s">
        <v>399</v>
      </c>
      <c r="E65" s="55" t="n">
        <v>11.8</v>
      </c>
      <c r="F65" s="56" t="n">
        <v>1</v>
      </c>
      <c r="G65" s="57" t="n">
        <f aca="false">IF($A65="","",E65*IF(F65="",1,F65))</f>
        <v>11.8</v>
      </c>
      <c r="H65" s="31" t="n">
        <f aca="false">IF($A65="","",IF(SUMIF($A$6:$A$600,$A65,$G$6:$G$600)=0,0,G65/SUMIF($A$6:$A$600,$A65,$G$6:$G$600)))</f>
        <v>0.0553211439287389</v>
      </c>
      <c r="I65" s="30" t="n">
        <f aca="false">IF($A65="","",IFERROR(INDEX('Cotação de Materiais'!$H$4:$H$200,MATCH($A65,'Cotação de Materiais'!$A$4:$A$200,0)),IFERROR(INDEX('Mão de Obra e Serviços'!$G$4:$G$200,MATCH($A65,'Mão de Obra e Serviços'!$A$4:$A$200,0)),0)))</f>
        <v>1218.2</v>
      </c>
      <c r="K65" s="30" t="n">
        <f aca="false">IF($A65="","",I65*H65)</f>
        <v>67.3922175339897</v>
      </c>
      <c r="L65" s="58" t="s">
        <v>456</v>
      </c>
      <c r="M65" s="54" t="str">
        <f aca="false">IF($A65="","",IF(B65="CÓDIGO?","CÓDIGO NÃO ACHADO",IF($D65="","FALTA ITEM DO ANEXO",IF($D65="INDIRETO","",IF(COUNTIFS('Anexo III'!$B$8:$B$400,$D65,'Anexo III'!$E$8:$E$400,"&gt;0")=0,"ITEM NÃO ACHADO NO ANEXO","")))))</f>
        <v/>
      </c>
    </row>
    <row r="66" customFormat="false" ht="15" hidden="false" customHeight="false" outlineLevel="0" collapsed="false">
      <c r="A66" s="52" t="s">
        <v>217</v>
      </c>
      <c r="B66" s="53" t="str">
        <f aca="false">IF($A66="","",IF(ISNUMBER(MATCH($A66,'Cotação de Materiais'!$A$4:$A$200,0)),"MAT",IF(ISNUMBER(MATCH($A66,'Mão de Obra e Serviços'!$A$4:$A$200,0)),"MO","CÓDIGO?")))</f>
        <v>MAT</v>
      </c>
      <c r="C66" s="54" t="str">
        <f aca="false">IF($A66="","",IFERROR(INDEX('Cotação de Materiais'!$C$4:$C$200,MATCH($A66,'Cotação de Materiais'!$A$4:$A$200,0)),IFERROR(INDEX('Mão de Obra e Serviços'!$B$4:$B$200,MATCH($A66,'Mão de Obra e Serviços'!$A$4:$A$200,0)),"")))</f>
        <v>Tinta Acrílica "Terra Roxa"</v>
      </c>
      <c r="D66" s="52" t="s">
        <v>400</v>
      </c>
      <c r="E66" s="55" t="n">
        <v>32</v>
      </c>
      <c r="F66" s="56" t="n">
        <v>1</v>
      </c>
      <c r="G66" s="57" t="n">
        <f aca="false">IF($A66="","",E66*IF(F66="",1,F66))</f>
        <v>32</v>
      </c>
      <c r="H66" s="31" t="n">
        <f aca="false">IF($A66="","",IF(SUMIF($A$6:$A$600,$A66,$G$6:$G$600)=0,0,G66/SUMIF($A$6:$A$600,$A66,$G$6:$G$600)))</f>
        <v>0.150023441162682</v>
      </c>
      <c r="I66" s="30" t="n">
        <f aca="false">IF($A66="","",IFERROR(INDEX('Cotação de Materiais'!$H$4:$H$200,MATCH($A66,'Cotação de Materiais'!$A$4:$A$200,0)),IFERROR(INDEX('Mão de Obra e Serviços'!$G$4:$G$200,MATCH($A66,'Mão de Obra e Serviços'!$A$4:$A$200,0)),0)))</f>
        <v>1218.2</v>
      </c>
      <c r="K66" s="30" t="n">
        <f aca="false">IF($A66="","",I66*H66)</f>
        <v>182.758556024379</v>
      </c>
      <c r="L66" s="58" t="s">
        <v>456</v>
      </c>
      <c r="M66" s="54" t="str">
        <f aca="false">IF($A66="","",IF(B66="CÓDIGO?","CÓDIGO NÃO ACHADO",IF($D66="","FALTA ITEM DO ANEXO",IF($D66="INDIRETO","",IF(COUNTIFS('Anexo III'!$B$8:$B$400,$D66,'Anexo III'!$E$8:$E$400,"&gt;0")=0,"ITEM NÃO ACHADO NO ANEXO","")))))</f>
        <v/>
      </c>
    </row>
    <row r="67" customFormat="false" ht="15" hidden="false" customHeight="false" outlineLevel="0" collapsed="false">
      <c r="A67" s="52" t="s">
        <v>217</v>
      </c>
      <c r="B67" s="53" t="str">
        <f aca="false">IF($A67="","",IF(ISNUMBER(MATCH($A67,'Cotação de Materiais'!$A$4:$A$200,0)),"MAT",IF(ISNUMBER(MATCH($A67,'Mão de Obra e Serviços'!$A$4:$A$200,0)),"MO","CÓDIGO?")))</f>
        <v>MAT</v>
      </c>
      <c r="C67" s="54" t="str">
        <f aca="false">IF($A67="","",IFERROR(INDEX('Cotação de Materiais'!$C$4:$C$200,MATCH($A67,'Cotação de Materiais'!$A$4:$A$200,0)),IFERROR(INDEX('Mão de Obra e Serviços'!$B$4:$B$200,MATCH($A67,'Mão de Obra e Serviços'!$A$4:$A$200,0)),"")))</f>
        <v>Tinta Acrílica "Terra Roxa"</v>
      </c>
      <c r="D67" s="52" t="s">
        <v>401</v>
      </c>
      <c r="E67" s="55" t="n">
        <v>25</v>
      </c>
      <c r="F67" s="56" t="n">
        <v>1</v>
      </c>
      <c r="G67" s="57" t="n">
        <f aca="false">IF($A67="","",E67*IF(F67="",1,F67))</f>
        <v>25</v>
      </c>
      <c r="H67" s="31" t="n">
        <f aca="false">IF($A67="","",IF(SUMIF($A$6:$A$600,$A67,$G$6:$G$600)=0,0,G67/SUMIF($A$6:$A$600,$A67,$G$6:$G$600)))</f>
        <v>0.117205813408345</v>
      </c>
      <c r="I67" s="30" t="n">
        <f aca="false">IF($A67="","",IFERROR(INDEX('Cotação de Materiais'!$H$4:$H$200,MATCH($A67,'Cotação de Materiais'!$A$4:$A$200,0)),IFERROR(INDEX('Mão de Obra e Serviços'!$G$4:$G$200,MATCH($A67,'Mão de Obra e Serviços'!$A$4:$A$200,0)),0)))</f>
        <v>1218.2</v>
      </c>
      <c r="K67" s="30" t="n">
        <f aca="false">IF($A67="","",I67*H67)</f>
        <v>142.780121894046</v>
      </c>
      <c r="L67" s="58" t="s">
        <v>456</v>
      </c>
      <c r="M67" s="54" t="str">
        <f aca="false">IF($A67="","",IF(B67="CÓDIGO?","CÓDIGO NÃO ACHADO",IF($D67="","FALTA ITEM DO ANEXO",IF($D67="INDIRETO","",IF(COUNTIFS('Anexo III'!$B$8:$B$400,$D67,'Anexo III'!$E$8:$E$400,"&gt;0")=0,"ITEM NÃO ACHADO NO ANEXO","")))))</f>
        <v/>
      </c>
    </row>
    <row r="68" customFormat="false" ht="15" hidden="false" customHeight="false" outlineLevel="0" collapsed="false">
      <c r="A68" s="52" t="s">
        <v>217</v>
      </c>
      <c r="B68" s="53" t="str">
        <f aca="false">IF($A68="","",IF(ISNUMBER(MATCH($A68,'Cotação de Materiais'!$A$4:$A$200,0)),"MAT",IF(ISNUMBER(MATCH($A68,'Mão de Obra e Serviços'!$A$4:$A$200,0)),"MO","CÓDIGO?")))</f>
        <v>MAT</v>
      </c>
      <c r="C68" s="54" t="str">
        <f aca="false">IF($A68="","",IFERROR(INDEX('Cotação de Materiais'!$C$4:$C$200,MATCH($A68,'Cotação de Materiais'!$A$4:$A$200,0)),IFERROR(INDEX('Mão de Obra e Serviços'!$B$4:$B$200,MATCH($A68,'Mão de Obra e Serviços'!$A$4:$A$200,0)),"")))</f>
        <v>Tinta Acrílica "Terra Roxa"</v>
      </c>
      <c r="D68" s="52" t="s">
        <v>402</v>
      </c>
      <c r="E68" s="55" t="n">
        <v>16.5</v>
      </c>
      <c r="F68" s="56" t="n">
        <v>1</v>
      </c>
      <c r="G68" s="57" t="n">
        <f aca="false">IF($A68="","",E68*IF(F68="",1,F68))</f>
        <v>16.5</v>
      </c>
      <c r="H68" s="31" t="n">
        <f aca="false">IF($A68="","",IF(SUMIF($A$6:$A$600,$A68,$G$6:$G$600)=0,0,G68/SUMIF($A$6:$A$600,$A68,$G$6:$G$600)))</f>
        <v>0.0773558368495077</v>
      </c>
      <c r="I68" s="30" t="n">
        <f aca="false">IF($A68="","",IFERROR(INDEX('Cotação de Materiais'!$H$4:$H$200,MATCH($A68,'Cotação de Materiais'!$A$4:$A$200,0)),IFERROR(INDEX('Mão de Obra e Serviços'!$G$4:$G$200,MATCH($A68,'Mão de Obra e Serviços'!$A$4:$A$200,0)),0)))</f>
        <v>1218.2</v>
      </c>
      <c r="K68" s="30" t="n">
        <f aca="false">IF($A68="","",I68*H68)</f>
        <v>94.2348804500703</v>
      </c>
      <c r="L68" s="58" t="s">
        <v>456</v>
      </c>
      <c r="M68" s="54" t="str">
        <f aca="false">IF($A68="","",IF(B68="CÓDIGO?","CÓDIGO NÃO ACHADO",IF($D68="","FALTA ITEM DO ANEXO",IF($D68="INDIRETO","",IF(COUNTIFS('Anexo III'!$B$8:$B$400,$D68,'Anexo III'!$E$8:$E$400,"&gt;0")=0,"ITEM NÃO ACHADO NO ANEXO","")))))</f>
        <v/>
      </c>
    </row>
    <row r="69" customFormat="false" ht="15" hidden="false" customHeight="false" outlineLevel="0" collapsed="false">
      <c r="A69" s="52" t="s">
        <v>217</v>
      </c>
      <c r="B69" s="53" t="str">
        <f aca="false">IF($A69="","",IF(ISNUMBER(MATCH($A69,'Cotação de Materiais'!$A$4:$A$200,0)),"MAT",IF(ISNUMBER(MATCH($A69,'Mão de Obra e Serviços'!$A$4:$A$200,0)),"MO","CÓDIGO?")))</f>
        <v>MAT</v>
      </c>
      <c r="C69" s="54" t="str">
        <f aca="false">IF($A69="","",IFERROR(INDEX('Cotação de Materiais'!$C$4:$C$200,MATCH($A69,'Cotação de Materiais'!$A$4:$A$200,0)),IFERROR(INDEX('Mão de Obra e Serviços'!$B$4:$B$200,MATCH($A69,'Mão de Obra e Serviços'!$A$4:$A$200,0)),"")))</f>
        <v>Tinta Acrílica "Terra Roxa"</v>
      </c>
      <c r="D69" s="52" t="s">
        <v>407</v>
      </c>
      <c r="E69" s="55" t="n">
        <v>38.58</v>
      </c>
      <c r="F69" s="56" t="n">
        <v>1</v>
      </c>
      <c r="G69" s="57" t="n">
        <f aca="false">IF($A69="","",E69*IF(F69="",1,F69))</f>
        <v>38.58</v>
      </c>
      <c r="H69" s="31" t="n">
        <f aca="false">IF($A69="","",IF(SUMIF($A$6:$A$600,$A69,$G$6:$G$600)=0,0,G69/SUMIF($A$6:$A$600,$A69,$G$6:$G$600)))</f>
        <v>0.180872011251758</v>
      </c>
      <c r="I69" s="30" t="n">
        <f aca="false">IF($A69="","",IFERROR(INDEX('Cotação de Materiais'!$H$4:$H$200,MATCH($A69,'Cotação de Materiais'!$A$4:$A$200,0)),IFERROR(INDEX('Mão de Obra e Serviços'!$G$4:$G$200,MATCH($A69,'Mão de Obra e Serviços'!$A$4:$A$200,0)),0)))</f>
        <v>1218.2</v>
      </c>
      <c r="K69" s="30" t="n">
        <f aca="false">IF($A69="","",I69*H69)</f>
        <v>220.338284106892</v>
      </c>
      <c r="L69" s="58" t="s">
        <v>456</v>
      </c>
      <c r="M69" s="54" t="str">
        <f aca="false">IF($A69="","",IF(B69="CÓDIGO?","CÓDIGO NÃO ACHADO",IF($D69="","FALTA ITEM DO ANEXO",IF($D69="INDIRETO","",IF(COUNTIFS('Anexo III'!$B$8:$B$400,$D69,'Anexo III'!$E$8:$E$400,"&gt;0")=0,"ITEM NÃO ACHADO NO ANEXO","")))))</f>
        <v/>
      </c>
    </row>
    <row r="70" customFormat="false" ht="15" hidden="false" customHeight="false" outlineLevel="0" collapsed="false">
      <c r="A70" s="52" t="s">
        <v>217</v>
      </c>
      <c r="B70" s="53" t="str">
        <f aca="false">IF($A70="","",IF(ISNUMBER(MATCH($A70,'Cotação de Materiais'!$A$4:$A$200,0)),"MAT",IF(ISNUMBER(MATCH($A70,'Mão de Obra e Serviços'!$A$4:$A$200,0)),"MO","CÓDIGO?")))</f>
        <v>MAT</v>
      </c>
      <c r="C70" s="54" t="str">
        <f aca="false">IF($A70="","",IFERROR(INDEX('Cotação de Materiais'!$C$4:$C$200,MATCH($A70,'Cotação de Materiais'!$A$4:$A$200,0)),IFERROR(INDEX('Mão de Obra e Serviços'!$B$4:$B$200,MATCH($A70,'Mão de Obra e Serviços'!$A$4:$A$200,0)),"")))</f>
        <v>Tinta Acrílica "Terra Roxa"</v>
      </c>
      <c r="D70" s="52" t="s">
        <v>408</v>
      </c>
      <c r="E70" s="55" t="n">
        <v>12.5</v>
      </c>
      <c r="F70" s="56" t="n">
        <v>1</v>
      </c>
      <c r="G70" s="57" t="n">
        <f aca="false">IF($A70="","",E70*IF(F70="",1,F70))</f>
        <v>12.5</v>
      </c>
      <c r="H70" s="31" t="n">
        <f aca="false">IF($A70="","",IF(SUMIF($A$6:$A$600,$A70,$G$6:$G$600)=0,0,G70/SUMIF($A$6:$A$600,$A70,$G$6:$G$600)))</f>
        <v>0.0586029067041725</v>
      </c>
      <c r="I70" s="30" t="n">
        <f aca="false">IF($A70="","",IFERROR(INDEX('Cotação de Materiais'!$H$4:$H$200,MATCH($A70,'Cotação de Materiais'!$A$4:$A$200,0)),IFERROR(INDEX('Mão de Obra e Serviços'!$G$4:$G$200,MATCH($A70,'Mão de Obra e Serviços'!$A$4:$A$200,0)),0)))</f>
        <v>1218.2</v>
      </c>
      <c r="K70" s="30" t="n">
        <f aca="false">IF($A70="","",I70*H70)</f>
        <v>71.390060947023</v>
      </c>
      <c r="L70" s="58" t="s">
        <v>456</v>
      </c>
      <c r="M70" s="54" t="str">
        <f aca="false">IF($A70="","",IF(B70="CÓDIGO?","CÓDIGO NÃO ACHADO",IF($D70="","FALTA ITEM DO ANEXO",IF($D70="INDIRETO","",IF(COUNTIFS('Anexo III'!$B$8:$B$400,$D70,'Anexo III'!$E$8:$E$400,"&gt;0")=0,"ITEM NÃO ACHADO NO ANEXO","")))))</f>
        <v/>
      </c>
    </row>
    <row r="71" customFormat="false" ht="15" hidden="false" customHeight="false" outlineLevel="0" collapsed="false">
      <c r="A71" s="52" t="s">
        <v>217</v>
      </c>
      <c r="B71" s="53" t="str">
        <f aca="false">IF($A71="","",IF(ISNUMBER(MATCH($A71,'Cotação de Materiais'!$A$4:$A$200,0)),"MAT",IF(ISNUMBER(MATCH($A71,'Mão de Obra e Serviços'!$A$4:$A$200,0)),"MO","CÓDIGO?")))</f>
        <v>MAT</v>
      </c>
      <c r="C71" s="54" t="str">
        <f aca="false">IF($A71="","",IFERROR(INDEX('Cotação de Materiais'!$C$4:$C$200,MATCH($A71,'Cotação de Materiais'!$A$4:$A$200,0)),IFERROR(INDEX('Mão de Obra e Serviços'!$B$4:$B$200,MATCH($A71,'Mão de Obra e Serviços'!$A$4:$A$200,0)),"")))</f>
        <v>Tinta Acrílica "Terra Roxa"</v>
      </c>
      <c r="D71" s="52" t="s">
        <v>409</v>
      </c>
      <c r="E71" s="55" t="n">
        <v>2.11</v>
      </c>
      <c r="F71" s="56" t="n">
        <v>1</v>
      </c>
      <c r="G71" s="57" t="n">
        <f aca="false">IF($A71="","",E71*IF(F71="",1,F71))</f>
        <v>2.11</v>
      </c>
      <c r="H71" s="31" t="n">
        <f aca="false">IF($A71="","",IF(SUMIF($A$6:$A$600,$A71,$G$6:$G$600)=0,0,G71/SUMIF($A$6:$A$600,$A71,$G$6:$G$600)))</f>
        <v>0.00989217065166432</v>
      </c>
      <c r="I71" s="30" t="n">
        <f aca="false">IF($A71="","",IFERROR(INDEX('Cotação de Materiais'!$H$4:$H$200,MATCH($A71,'Cotação de Materiais'!$A$4:$A$200,0)),IFERROR(INDEX('Mão de Obra e Serviços'!$G$4:$G$200,MATCH($A71,'Mão de Obra e Serviços'!$A$4:$A$200,0)),0)))</f>
        <v>1218.2</v>
      </c>
      <c r="K71" s="30" t="n">
        <f aca="false">IF($A71="","",I71*H71)</f>
        <v>12.0506422878575</v>
      </c>
      <c r="L71" s="58" t="s">
        <v>456</v>
      </c>
      <c r="M71" s="54" t="str">
        <f aca="false">IF($A71="","",IF(B71="CÓDIGO?","CÓDIGO NÃO ACHADO",IF($D71="","FALTA ITEM DO ANEXO",IF($D71="INDIRETO","",IF(COUNTIFS('Anexo III'!$B$8:$B$400,$D71,'Anexo III'!$E$8:$E$400,"&gt;0")=0,"ITEM NÃO ACHADO NO ANEXO","")))))</f>
        <v/>
      </c>
    </row>
    <row r="72" customFormat="false" ht="15" hidden="false" customHeight="false" outlineLevel="0" collapsed="false">
      <c r="A72" s="52" t="s">
        <v>217</v>
      </c>
      <c r="B72" s="53" t="str">
        <f aca="false">IF($A72="","",IF(ISNUMBER(MATCH($A72,'Cotação de Materiais'!$A$4:$A$200,0)),"MAT",IF(ISNUMBER(MATCH($A72,'Mão de Obra e Serviços'!$A$4:$A$200,0)),"MO","CÓDIGO?")))</f>
        <v>MAT</v>
      </c>
      <c r="C72" s="54" t="str">
        <f aca="false">IF($A72="","",IFERROR(INDEX('Cotação de Materiais'!$C$4:$C$200,MATCH($A72,'Cotação de Materiais'!$A$4:$A$200,0)),IFERROR(INDEX('Mão de Obra e Serviços'!$B$4:$B$200,MATCH($A72,'Mão de Obra e Serviços'!$A$4:$A$200,0)),"")))</f>
        <v>Tinta Acrílica "Terra Roxa"</v>
      </c>
      <c r="D72" s="52" t="s">
        <v>418</v>
      </c>
      <c r="E72" s="55" t="n">
        <v>32.41</v>
      </c>
      <c r="F72" s="56" t="n">
        <v>1</v>
      </c>
      <c r="G72" s="57" t="n">
        <f aca="false">IF($A72="","",E72*IF(F72="",1,F72))</f>
        <v>32.41</v>
      </c>
      <c r="H72" s="31" t="n">
        <f aca="false">IF($A72="","",IF(SUMIF($A$6:$A$600,$A72,$G$6:$G$600)=0,0,G72/SUMIF($A$6:$A$600,$A72,$G$6:$G$600)))</f>
        <v>0.151945616502579</v>
      </c>
      <c r="I72" s="30" t="n">
        <f aca="false">IF($A72="","",IFERROR(INDEX('Cotação de Materiais'!$H$4:$H$200,MATCH($A72,'Cotação de Materiais'!$A$4:$A$200,0)),IFERROR(INDEX('Mão de Obra e Serviços'!$G$4:$G$200,MATCH($A72,'Mão de Obra e Serviços'!$A$4:$A$200,0)),0)))</f>
        <v>1218.2</v>
      </c>
      <c r="K72" s="30" t="n">
        <f aca="false">IF($A72="","",I72*H72)</f>
        <v>185.100150023441</v>
      </c>
      <c r="L72" s="58" t="s">
        <v>456</v>
      </c>
      <c r="M72" s="54" t="str">
        <f aca="false">IF($A72="","",IF(B72="CÓDIGO?","CÓDIGO NÃO ACHADO",IF($D72="","FALTA ITEM DO ANEXO",IF($D72="INDIRETO","",IF(COUNTIFS('Anexo III'!$B$8:$B$400,$D72,'Anexo III'!$E$8:$E$400,"&gt;0")=0,"ITEM NÃO ACHADO NO ANEXO","")))))</f>
        <v/>
      </c>
    </row>
    <row r="73" customFormat="false" ht="15" hidden="false" customHeight="false" outlineLevel="0" collapsed="false">
      <c r="A73" s="52" t="s">
        <v>217</v>
      </c>
      <c r="B73" s="53" t="str">
        <f aca="false">IF($A73="","",IF(ISNUMBER(MATCH($A73,'Cotação de Materiais'!$A$4:$A$200,0)),"MAT",IF(ISNUMBER(MATCH($A73,'Mão de Obra e Serviços'!$A$4:$A$200,0)),"MO","CÓDIGO?")))</f>
        <v>MAT</v>
      </c>
      <c r="C73" s="54" t="str">
        <f aca="false">IF($A73="","",IFERROR(INDEX('Cotação de Materiais'!$C$4:$C$200,MATCH($A73,'Cotação de Materiais'!$A$4:$A$200,0)),IFERROR(INDEX('Mão de Obra e Serviços'!$B$4:$B$200,MATCH($A73,'Mão de Obra e Serviços'!$A$4:$A$200,0)),"")))</f>
        <v>Tinta Acrílica "Terra Roxa"</v>
      </c>
      <c r="D73" s="52" t="s">
        <v>457</v>
      </c>
      <c r="E73" s="55" t="n">
        <v>19.5</v>
      </c>
      <c r="F73" s="56" t="n">
        <v>1</v>
      </c>
      <c r="G73" s="57" t="n">
        <f aca="false">IF($A73="","",E73*IF(F73="",1,F73))</f>
        <v>19.5</v>
      </c>
      <c r="H73" s="31" t="n">
        <f aca="false">IF($A73="","",IF(SUMIF($A$6:$A$600,$A73,$G$6:$G$600)=0,0,G73/SUMIF($A$6:$A$600,$A73,$G$6:$G$600)))</f>
        <v>0.0914205344585092</v>
      </c>
      <c r="I73" s="30" t="n">
        <f aca="false">IF($A73="","",IFERROR(INDEX('Cotação de Materiais'!$H$4:$H$200,MATCH($A73,'Cotação de Materiais'!$A$4:$A$200,0)),IFERROR(INDEX('Mão de Obra e Serviços'!$G$4:$G$200,MATCH($A73,'Mão de Obra e Serviços'!$A$4:$A$200,0)),0)))</f>
        <v>1218.2</v>
      </c>
      <c r="K73" s="30" t="n">
        <f aca="false">IF($A73="","",I73*H73)</f>
        <v>111.368495077356</v>
      </c>
      <c r="L73" s="58" t="s">
        <v>456</v>
      </c>
      <c r="M73" s="54" t="str">
        <f aca="false">IF($A73="","",IF(B73="CÓDIGO?","CÓDIGO NÃO ACHADO",IF($D73="","FALTA ITEM DO ANEXO",IF($D73="INDIRETO","",IF(COUNTIFS('Anexo III'!$B$8:$B$400,$D73,'Anexo III'!$E$8:$E$400,"&gt;0")=0,"ITEM NÃO ACHADO NO ANEXO","")))))</f>
        <v/>
      </c>
    </row>
    <row r="74" customFormat="false" ht="15" hidden="false" customHeight="false" outlineLevel="0" collapsed="false">
      <c r="A74" s="52" t="s">
        <v>217</v>
      </c>
      <c r="B74" s="53" t="str">
        <f aca="false">IF($A74="","",IF(ISNUMBER(MATCH($A74,'Cotação de Materiais'!$A$4:$A$200,0)),"MAT",IF(ISNUMBER(MATCH($A74,'Mão de Obra e Serviços'!$A$4:$A$200,0)),"MO","CÓDIGO?")))</f>
        <v>MAT</v>
      </c>
      <c r="C74" s="54" t="str">
        <f aca="false">IF($A74="","",IFERROR(INDEX('Cotação de Materiais'!$C$4:$C$200,MATCH($A74,'Cotação de Materiais'!$A$4:$A$200,0)),IFERROR(INDEX('Mão de Obra e Serviços'!$B$4:$B$200,MATCH($A74,'Mão de Obra e Serviços'!$A$4:$A$200,0)),"")))</f>
        <v>Tinta Acrílica "Terra Roxa"</v>
      </c>
      <c r="D74" s="52" t="s">
        <v>458</v>
      </c>
      <c r="E74" s="55" t="n">
        <v>2.76</v>
      </c>
      <c r="F74" s="56" t="n">
        <v>1</v>
      </c>
      <c r="G74" s="57" t="n">
        <f aca="false">IF($A74="","",E74*IF(F74="",1,F74))</f>
        <v>2.76</v>
      </c>
      <c r="H74" s="31" t="n">
        <f aca="false">IF($A74="","",IF(SUMIF($A$6:$A$600,$A74,$G$6:$G$600)=0,0,G74/SUMIF($A$6:$A$600,$A74,$G$6:$G$600)))</f>
        <v>0.0129395218002813</v>
      </c>
      <c r="I74" s="30" t="n">
        <f aca="false">IF($A74="","",IFERROR(INDEX('Cotação de Materiais'!$H$4:$H$200,MATCH($A74,'Cotação de Materiais'!$A$4:$A$200,0)),IFERROR(INDEX('Mão de Obra e Serviços'!$G$4:$G$200,MATCH($A74,'Mão de Obra e Serviços'!$A$4:$A$200,0)),0)))</f>
        <v>1218.2</v>
      </c>
      <c r="K74" s="30" t="n">
        <f aca="false">IF($A74="","",I74*H74)</f>
        <v>15.7629254571027</v>
      </c>
      <c r="L74" s="58" t="s">
        <v>456</v>
      </c>
      <c r="M74" s="54" t="str">
        <f aca="false">IF($A74="","",IF(B74="CÓDIGO?","CÓDIGO NÃO ACHADO",IF($D74="","FALTA ITEM DO ANEXO",IF($D74="INDIRETO","",IF(COUNTIFS('Anexo III'!$B$8:$B$400,$D74,'Anexo III'!$E$8:$E$400,"&gt;0")=0,"ITEM NÃO ACHADO NO ANEXO","")))))</f>
        <v/>
      </c>
    </row>
    <row r="75" customFormat="false" ht="15" hidden="false" customHeight="false" outlineLevel="0" collapsed="false">
      <c r="A75" s="52" t="s">
        <v>217</v>
      </c>
      <c r="B75" s="53" t="str">
        <f aca="false">IF($A75="","",IF(ISNUMBER(MATCH($A75,'Cotação de Materiais'!$A$4:$A$200,0)),"MAT",IF(ISNUMBER(MATCH($A75,'Mão de Obra e Serviços'!$A$4:$A$200,0)),"MO","CÓDIGO?")))</f>
        <v>MAT</v>
      </c>
      <c r="C75" s="54" t="str">
        <f aca="false">IF($A75="","",IFERROR(INDEX('Cotação de Materiais'!$C$4:$C$200,MATCH($A75,'Cotação de Materiais'!$A$4:$A$200,0)),IFERROR(INDEX('Mão de Obra e Serviços'!$B$4:$B$200,MATCH($A75,'Mão de Obra e Serviços'!$A$4:$A$200,0)),"")))</f>
        <v>Tinta Acrílica "Terra Roxa"</v>
      </c>
      <c r="D75" s="52" t="s">
        <v>459</v>
      </c>
      <c r="E75" s="55" t="n">
        <v>6.14</v>
      </c>
      <c r="F75" s="56" t="n">
        <v>1</v>
      </c>
      <c r="G75" s="57" t="n">
        <f aca="false">IF($A75="","",E75*IF(F75="",1,F75))</f>
        <v>6.14</v>
      </c>
      <c r="H75" s="31" t="n">
        <f aca="false">IF($A75="","",IF(SUMIF($A$6:$A$600,$A75,$G$6:$G$600)=0,0,G75/SUMIF($A$6:$A$600,$A75,$G$6:$G$600)))</f>
        <v>0.0287857477730895</v>
      </c>
      <c r="I75" s="30" t="n">
        <f aca="false">IF($A75="","",IFERROR(INDEX('Cotação de Materiais'!$H$4:$H$200,MATCH($A75,'Cotação de Materiais'!$A$4:$A$200,0)),IFERROR(INDEX('Mão de Obra e Serviços'!$G$4:$G$200,MATCH($A75,'Mão de Obra e Serviços'!$A$4:$A$200,0)),0)))</f>
        <v>1218.2</v>
      </c>
      <c r="K75" s="30" t="n">
        <f aca="false">IF($A75="","",I75*H75)</f>
        <v>35.0667979371777</v>
      </c>
      <c r="L75" s="58" t="s">
        <v>456</v>
      </c>
      <c r="M75" s="54" t="str">
        <f aca="false">IF($A75="","",IF(B75="CÓDIGO?","CÓDIGO NÃO ACHADO",IF($D75="","FALTA ITEM DO ANEXO",IF($D75="INDIRETO","",IF(COUNTIFS('Anexo III'!$B$8:$B$400,$D75,'Anexo III'!$E$8:$E$400,"&gt;0")=0,"ITEM NÃO ACHADO NO ANEXO","")))))</f>
        <v/>
      </c>
    </row>
    <row r="76" customFormat="false" ht="15" hidden="false" customHeight="false" outlineLevel="0" collapsed="false">
      <c r="A76" s="52" t="s">
        <v>222</v>
      </c>
      <c r="B76" s="53" t="str">
        <f aca="false">IF($A76="","",IF(ISNUMBER(MATCH($A76,'Cotação de Materiais'!$A$4:$A$200,0)),"MAT",IF(ISNUMBER(MATCH($A76,'Mão de Obra e Serviços'!$A$4:$A$200,0)),"MO","CÓDIGO?")))</f>
        <v>MAT</v>
      </c>
      <c r="C76" s="54" t="str">
        <f aca="false">IF($A76="","",IFERROR(INDEX('Cotação de Materiais'!$C$4:$C$200,MATCH($A76,'Cotação de Materiais'!$A$4:$A$200,0)),IFERROR(INDEX('Mão de Obra e Serviços'!$B$4:$B$200,MATCH($A76,'Mão de Obra e Serviços'!$A$4:$A$200,0)),"")))</f>
        <v>Tinta Acrílica "Papel de Seda"</v>
      </c>
      <c r="D76" s="52" t="s">
        <v>403</v>
      </c>
      <c r="E76" s="55" t="n">
        <v>3.8</v>
      </c>
      <c r="F76" s="56" t="n">
        <v>1</v>
      </c>
      <c r="G76" s="57" t="n">
        <f aca="false">IF($A76="","",E76*IF(F76="",1,F76))</f>
        <v>3.8</v>
      </c>
      <c r="H76" s="31" t="n">
        <f aca="false">IF($A76="","",IF(SUMIF($A$6:$A$600,$A76,$G$6:$G$600)=0,0,G76/SUMIF($A$6:$A$600,$A76,$G$6:$G$600)))</f>
        <v>0.0154446431474557</v>
      </c>
      <c r="I76" s="30" t="n">
        <f aca="false">IF($A76="","",IFERROR(INDEX('Cotação de Materiais'!$H$4:$H$200,MATCH($A76,'Cotação de Materiais'!$A$4:$A$200,0)),IFERROR(INDEX('Mão de Obra e Serviços'!$G$4:$G$200,MATCH($A76,'Mão de Obra e Serviços'!$A$4:$A$200,0)),0)))</f>
        <v>1827.3</v>
      </c>
      <c r="K76" s="30" t="n">
        <f aca="false">IF($A76="","",I76*H76)</f>
        <v>28.2219964233458</v>
      </c>
      <c r="L76" s="58" t="s">
        <v>460</v>
      </c>
      <c r="M76" s="54" t="str">
        <f aca="false">IF($A76="","",IF(B76="CÓDIGO?","CÓDIGO NÃO ACHADO",IF($D76="","FALTA ITEM DO ANEXO",IF($D76="INDIRETO","",IF(COUNTIFS('Anexo III'!$B$8:$B$400,$D76,'Anexo III'!$E$8:$E$400,"&gt;0")=0,"ITEM NÃO ACHADO NO ANEXO","")))))</f>
        <v/>
      </c>
    </row>
    <row r="77" customFormat="false" ht="15" hidden="false" customHeight="false" outlineLevel="0" collapsed="false">
      <c r="A77" s="52" t="s">
        <v>222</v>
      </c>
      <c r="B77" s="53" t="str">
        <f aca="false">IF($A77="","",IF(ISNUMBER(MATCH($A77,'Cotação de Materiais'!$A$4:$A$200,0)),"MAT",IF(ISNUMBER(MATCH($A77,'Mão de Obra e Serviços'!$A$4:$A$200,0)),"MO","CÓDIGO?")))</f>
        <v>MAT</v>
      </c>
      <c r="C77" s="54" t="str">
        <f aca="false">IF($A77="","",IFERROR(INDEX('Cotação de Materiais'!$C$4:$C$200,MATCH($A77,'Cotação de Materiais'!$A$4:$A$200,0)),IFERROR(INDEX('Mão de Obra e Serviços'!$B$4:$B$200,MATCH($A77,'Mão de Obra e Serviços'!$A$4:$A$200,0)),"")))</f>
        <v>Tinta Acrílica "Papel de Seda"</v>
      </c>
      <c r="D77" s="52" t="s">
        <v>405</v>
      </c>
      <c r="E77" s="55" t="n">
        <v>35</v>
      </c>
      <c r="F77" s="56" t="n">
        <v>1</v>
      </c>
      <c r="G77" s="57" t="n">
        <f aca="false">IF($A77="","",E77*IF(F77="",1,F77))</f>
        <v>35</v>
      </c>
      <c r="H77" s="31" t="n">
        <f aca="false">IF($A77="","",IF(SUMIF($A$6:$A$600,$A77,$G$6:$G$600)=0,0,G77/SUMIF($A$6:$A$600,$A77,$G$6:$G$600)))</f>
        <v>0.142253292147618</v>
      </c>
      <c r="I77" s="30" t="n">
        <f aca="false">IF($A77="","",IFERROR(INDEX('Cotação de Materiais'!$H$4:$H$200,MATCH($A77,'Cotação de Materiais'!$A$4:$A$200,0)),IFERROR(INDEX('Mão de Obra e Serviços'!$G$4:$G$200,MATCH($A77,'Mão de Obra e Serviços'!$A$4:$A$200,0)),0)))</f>
        <v>1827.3</v>
      </c>
      <c r="K77" s="30" t="n">
        <f aca="false">IF($A77="","",I77*H77)</f>
        <v>259.939440741343</v>
      </c>
      <c r="L77" s="58" t="s">
        <v>460</v>
      </c>
      <c r="M77" s="54" t="str">
        <f aca="false">IF($A77="","",IF(B77="CÓDIGO?","CÓDIGO NÃO ACHADO",IF($D77="","FALTA ITEM DO ANEXO",IF($D77="INDIRETO","",IF(COUNTIFS('Anexo III'!$B$8:$B$400,$D77,'Anexo III'!$E$8:$E$400,"&gt;0")=0,"ITEM NÃO ACHADO NO ANEXO","")))))</f>
        <v/>
      </c>
    </row>
    <row r="78" customFormat="false" ht="15" hidden="false" customHeight="false" outlineLevel="0" collapsed="false">
      <c r="A78" s="52" t="s">
        <v>222</v>
      </c>
      <c r="B78" s="53" t="str">
        <f aca="false">IF($A78="","",IF(ISNUMBER(MATCH($A78,'Cotação de Materiais'!$A$4:$A$200,0)),"MAT",IF(ISNUMBER(MATCH($A78,'Mão de Obra e Serviços'!$A$4:$A$200,0)),"MO","CÓDIGO?")))</f>
        <v>MAT</v>
      </c>
      <c r="C78" s="54" t="str">
        <f aca="false">IF($A78="","",IFERROR(INDEX('Cotação de Materiais'!$C$4:$C$200,MATCH($A78,'Cotação de Materiais'!$A$4:$A$200,0)),IFERROR(INDEX('Mão de Obra e Serviços'!$B$4:$B$200,MATCH($A78,'Mão de Obra e Serviços'!$A$4:$A$200,0)),"")))</f>
        <v>Tinta Acrílica "Papel de Seda"</v>
      </c>
      <c r="D78" s="52" t="s">
        <v>406</v>
      </c>
      <c r="E78" s="55" t="n">
        <v>97</v>
      </c>
      <c r="F78" s="56" t="n">
        <v>1</v>
      </c>
      <c r="G78" s="57" t="n">
        <f aca="false">IF($A78="","",E78*IF(F78="",1,F78))</f>
        <v>97</v>
      </c>
      <c r="H78" s="31" t="n">
        <f aca="false">IF($A78="","",IF(SUMIF($A$6:$A$600,$A78,$G$6:$G$600)=0,0,G78/SUMIF($A$6:$A$600,$A78,$G$6:$G$600)))</f>
        <v>0.394244838237685</v>
      </c>
      <c r="I78" s="30" t="n">
        <f aca="false">IF($A78="","",IFERROR(INDEX('Cotação de Materiais'!$H$4:$H$200,MATCH($A78,'Cotação de Materiais'!$A$4:$A$200,0)),IFERROR(INDEX('Mão de Obra e Serviços'!$G$4:$G$200,MATCH($A78,'Mão de Obra e Serviços'!$A$4:$A$200,0)),0)))</f>
        <v>1827.3</v>
      </c>
      <c r="K78" s="30" t="n">
        <f aca="false">IF($A78="","",I78*H78)</f>
        <v>720.403592911722</v>
      </c>
      <c r="L78" s="58" t="s">
        <v>460</v>
      </c>
      <c r="M78" s="54" t="str">
        <f aca="false">IF($A78="","",IF(B78="CÓDIGO?","CÓDIGO NÃO ACHADO",IF($D78="","FALTA ITEM DO ANEXO",IF($D78="INDIRETO","",IF(COUNTIFS('Anexo III'!$B$8:$B$400,$D78,'Anexo III'!$E$8:$E$400,"&gt;0")=0,"ITEM NÃO ACHADO NO ANEXO","")))))</f>
        <v/>
      </c>
    </row>
    <row r="79" customFormat="false" ht="15" hidden="false" customHeight="false" outlineLevel="0" collapsed="false">
      <c r="A79" s="52" t="s">
        <v>222</v>
      </c>
      <c r="B79" s="53" t="str">
        <f aca="false">IF($A79="","",IF(ISNUMBER(MATCH($A79,'Cotação de Materiais'!$A$4:$A$200,0)),"MAT",IF(ISNUMBER(MATCH($A79,'Mão de Obra e Serviços'!$A$4:$A$200,0)),"MO","CÓDIGO?")))</f>
        <v>MAT</v>
      </c>
      <c r="C79" s="54" t="str">
        <f aca="false">IF($A79="","",IFERROR(INDEX('Cotação de Materiais'!$C$4:$C$200,MATCH($A79,'Cotação de Materiais'!$A$4:$A$200,0)),IFERROR(INDEX('Mão de Obra e Serviços'!$B$4:$B$200,MATCH($A79,'Mão de Obra e Serviços'!$A$4:$A$200,0)),"")))</f>
        <v>Tinta Acrílica "Papel de Seda"</v>
      </c>
      <c r="D79" s="52" t="s">
        <v>426</v>
      </c>
      <c r="E79" s="55" t="n">
        <v>9.75</v>
      </c>
      <c r="F79" s="56" t="n">
        <v>1</v>
      </c>
      <c r="G79" s="57" t="n">
        <f aca="false">IF($A79="","",E79*IF(F79="",1,F79))</f>
        <v>9.75</v>
      </c>
      <c r="H79" s="31" t="n">
        <f aca="false">IF($A79="","",IF(SUMIF($A$6:$A$600,$A79,$G$6:$G$600)=0,0,G79/SUMIF($A$6:$A$600,$A79,$G$6:$G$600)))</f>
        <v>0.0396277028125508</v>
      </c>
      <c r="I79" s="30" t="n">
        <f aca="false">IF($A79="","",IFERROR(INDEX('Cotação de Materiais'!$H$4:$H$200,MATCH($A79,'Cotação de Materiais'!$A$4:$A$200,0)),IFERROR(INDEX('Mão de Obra e Serviços'!$G$4:$G$200,MATCH($A79,'Mão de Obra e Serviços'!$A$4:$A$200,0)),0)))</f>
        <v>1827.3</v>
      </c>
      <c r="K79" s="30" t="n">
        <f aca="false">IF($A79="","",I79*H79)</f>
        <v>72.4117013493741</v>
      </c>
      <c r="L79" s="58" t="s">
        <v>460</v>
      </c>
      <c r="M79" s="54" t="str">
        <f aca="false">IF($A79="","",IF(B79="CÓDIGO?","CÓDIGO NÃO ACHADO",IF($D79="","FALTA ITEM DO ANEXO",IF($D79="INDIRETO","",IF(COUNTIFS('Anexo III'!$B$8:$B$400,$D79,'Anexo III'!$E$8:$E$400,"&gt;0")=0,"ITEM NÃO ACHADO NO ANEXO","")))))</f>
        <v/>
      </c>
    </row>
    <row r="80" customFormat="false" ht="15" hidden="false" customHeight="false" outlineLevel="0" collapsed="false">
      <c r="A80" s="52" t="s">
        <v>222</v>
      </c>
      <c r="B80" s="53" t="str">
        <f aca="false">IF($A80="","",IF(ISNUMBER(MATCH($A80,'Cotação de Materiais'!$A$4:$A$200,0)),"MAT",IF(ISNUMBER(MATCH($A80,'Mão de Obra e Serviços'!$A$4:$A$200,0)),"MO","CÓDIGO?")))</f>
        <v>MAT</v>
      </c>
      <c r="C80" s="54" t="str">
        <f aca="false">IF($A80="","",IFERROR(INDEX('Cotação de Materiais'!$C$4:$C$200,MATCH($A80,'Cotação de Materiais'!$A$4:$A$200,0)),IFERROR(INDEX('Mão de Obra e Serviços'!$B$4:$B$200,MATCH($A80,'Mão de Obra e Serviços'!$A$4:$A$200,0)),"")))</f>
        <v>Tinta Acrílica "Papel de Seda"</v>
      </c>
      <c r="D80" s="52" t="s">
        <v>428</v>
      </c>
      <c r="E80" s="55" t="n">
        <v>3.24</v>
      </c>
      <c r="F80" s="56" t="n">
        <v>1</v>
      </c>
      <c r="G80" s="57" t="n">
        <f aca="false">IF($A80="","",E80*IF(F80="",1,F80))</f>
        <v>3.24</v>
      </c>
      <c r="H80" s="31" t="n">
        <f aca="false">IF($A80="","",IF(SUMIF($A$6:$A$600,$A80,$G$6:$G$600)=0,0,G80/SUMIF($A$6:$A$600,$A80,$G$6:$G$600)))</f>
        <v>0.0131685904730938</v>
      </c>
      <c r="I80" s="30" t="n">
        <f aca="false">IF($A80="","",IFERROR(INDEX('Cotação de Materiais'!$H$4:$H$200,MATCH($A80,'Cotação de Materiais'!$A$4:$A$200,0)),IFERROR(INDEX('Mão de Obra e Serviços'!$G$4:$G$200,MATCH($A80,'Mão de Obra e Serviços'!$A$4:$A$200,0)),0)))</f>
        <v>1827.3</v>
      </c>
      <c r="K80" s="30" t="n">
        <f aca="false">IF($A80="","",I80*H80)</f>
        <v>24.0629653714843</v>
      </c>
      <c r="L80" s="58" t="s">
        <v>460</v>
      </c>
      <c r="M80" s="54" t="str">
        <f aca="false">IF($A80="","",IF(B80="CÓDIGO?","CÓDIGO NÃO ACHADO",IF($D80="","FALTA ITEM DO ANEXO",IF($D80="INDIRETO","",IF(COUNTIFS('Anexo III'!$B$8:$B$400,$D80,'Anexo III'!$E$8:$E$400,"&gt;0")=0,"ITEM NÃO ACHADO NO ANEXO","")))))</f>
        <v/>
      </c>
    </row>
    <row r="81" customFormat="false" ht="15" hidden="false" customHeight="false" outlineLevel="0" collapsed="false">
      <c r="A81" s="52" t="s">
        <v>222</v>
      </c>
      <c r="B81" s="53" t="str">
        <f aca="false">IF($A81="","",IF(ISNUMBER(MATCH($A81,'Cotação de Materiais'!$A$4:$A$200,0)),"MAT",IF(ISNUMBER(MATCH($A81,'Mão de Obra e Serviços'!$A$4:$A$200,0)),"MO","CÓDIGO?")))</f>
        <v>MAT</v>
      </c>
      <c r="C81" s="54" t="str">
        <f aca="false">IF($A81="","",IFERROR(INDEX('Cotação de Materiais'!$C$4:$C$200,MATCH($A81,'Cotação de Materiais'!$A$4:$A$200,0)),IFERROR(INDEX('Mão de Obra e Serviços'!$B$4:$B$200,MATCH($A81,'Mão de Obra e Serviços'!$A$4:$A$200,0)),"")))</f>
        <v>Tinta Acrílica "Papel de Seda"</v>
      </c>
      <c r="D81" s="52" t="s">
        <v>429</v>
      </c>
      <c r="E81" s="55" t="n">
        <v>30.76</v>
      </c>
      <c r="F81" s="56" t="n">
        <v>1</v>
      </c>
      <c r="G81" s="57" t="n">
        <f aca="false">IF($A81="","",E81*IF(F81="",1,F81))</f>
        <v>30.76</v>
      </c>
      <c r="H81" s="31" t="n">
        <f aca="false">IF($A81="","",IF(SUMIF($A$6:$A$600,$A81,$G$6:$G$600)=0,0,G81/SUMIF($A$6:$A$600,$A81,$G$6:$G$600)))</f>
        <v>0.125020321898878</v>
      </c>
      <c r="I81" s="30" t="n">
        <f aca="false">IF($A81="","",IFERROR(INDEX('Cotação de Materiais'!$H$4:$H$200,MATCH($A81,'Cotação de Materiais'!$A$4:$A$200,0)),IFERROR(INDEX('Mão de Obra e Serviços'!$G$4:$G$200,MATCH($A81,'Mão de Obra e Serviços'!$A$4:$A$200,0)),0)))</f>
        <v>1827.3</v>
      </c>
      <c r="K81" s="30" t="n">
        <f aca="false">IF($A81="","",I81*H81)</f>
        <v>228.44963420582</v>
      </c>
      <c r="L81" s="58" t="s">
        <v>460</v>
      </c>
      <c r="M81" s="54" t="str">
        <f aca="false">IF($A81="","",IF(B81="CÓDIGO?","CÓDIGO NÃO ACHADO",IF($D81="","FALTA ITEM DO ANEXO",IF($D81="INDIRETO","",IF(COUNTIFS('Anexo III'!$B$8:$B$400,$D81,'Anexo III'!$E$8:$E$400,"&gt;0")=0,"ITEM NÃO ACHADO NO ANEXO","")))))</f>
        <v/>
      </c>
    </row>
    <row r="82" customFormat="false" ht="15" hidden="false" customHeight="false" outlineLevel="0" collapsed="false">
      <c r="A82" s="52" t="s">
        <v>222</v>
      </c>
      <c r="B82" s="53" t="str">
        <f aca="false">IF($A82="","",IF(ISNUMBER(MATCH($A82,'Cotação de Materiais'!$A$4:$A$200,0)),"MAT",IF(ISNUMBER(MATCH($A82,'Mão de Obra e Serviços'!$A$4:$A$200,0)),"MO","CÓDIGO?")))</f>
        <v>MAT</v>
      </c>
      <c r="C82" s="54" t="str">
        <f aca="false">IF($A82="","",IFERROR(INDEX('Cotação de Materiais'!$C$4:$C$200,MATCH($A82,'Cotação de Materiais'!$A$4:$A$200,0)),IFERROR(INDEX('Mão de Obra e Serviços'!$B$4:$B$200,MATCH($A82,'Mão de Obra e Serviços'!$A$4:$A$200,0)),"")))</f>
        <v>Tinta Acrílica "Papel de Seda"</v>
      </c>
      <c r="D82" s="52" t="s">
        <v>410</v>
      </c>
      <c r="E82" s="55" t="n">
        <v>14.85</v>
      </c>
      <c r="F82" s="56" t="n">
        <v>1</v>
      </c>
      <c r="G82" s="57" t="n">
        <f aca="false">IF($A82="","",E82*IF(F82="",1,F82))</f>
        <v>14.85</v>
      </c>
      <c r="H82" s="31" t="n">
        <f aca="false">IF($A82="","",IF(SUMIF($A$6:$A$600,$A82,$G$6:$G$600)=0,0,G82/SUMIF($A$6:$A$600,$A82,$G$6:$G$600)))</f>
        <v>0.0603560396683466</v>
      </c>
      <c r="I82" s="30" t="n">
        <f aca="false">IF($A82="","",IFERROR(INDEX('Cotação de Materiais'!$H$4:$H$200,MATCH($A82,'Cotação de Materiais'!$A$4:$A$200,0)),IFERROR(INDEX('Mão de Obra e Serviços'!$G$4:$G$200,MATCH($A82,'Mão de Obra e Serviços'!$A$4:$A$200,0)),0)))</f>
        <v>1827.3</v>
      </c>
      <c r="K82" s="30" t="n">
        <f aca="false">IF($A82="","",I82*H82)</f>
        <v>110.28859128597</v>
      </c>
      <c r="L82" s="58" t="s">
        <v>460</v>
      </c>
      <c r="M82" s="54" t="str">
        <f aca="false">IF($A82="","",IF(B82="CÓDIGO?","CÓDIGO NÃO ACHADO",IF($D82="","FALTA ITEM DO ANEXO",IF($D82="INDIRETO","",IF(COUNTIFS('Anexo III'!$B$8:$B$400,$D82,'Anexo III'!$E$8:$E$400,"&gt;0")=0,"ITEM NÃO ACHADO NO ANEXO","")))))</f>
        <v/>
      </c>
    </row>
    <row r="83" customFormat="false" ht="15" hidden="false" customHeight="false" outlineLevel="0" collapsed="false">
      <c r="A83" s="52" t="s">
        <v>222</v>
      </c>
      <c r="B83" s="53" t="str">
        <f aca="false">IF($A83="","",IF(ISNUMBER(MATCH($A83,'Cotação de Materiais'!$A$4:$A$200,0)),"MAT",IF(ISNUMBER(MATCH($A83,'Mão de Obra e Serviços'!$A$4:$A$200,0)),"MO","CÓDIGO?")))</f>
        <v>MAT</v>
      </c>
      <c r="C83" s="54" t="str">
        <f aca="false">IF($A83="","",IFERROR(INDEX('Cotação de Materiais'!$C$4:$C$200,MATCH($A83,'Cotação de Materiais'!$A$4:$A$200,0)),IFERROR(INDEX('Mão de Obra e Serviços'!$B$4:$B$200,MATCH($A83,'Mão de Obra e Serviços'!$A$4:$A$200,0)),"")))</f>
        <v>Tinta Acrílica "Papel de Seda"</v>
      </c>
      <c r="D83" s="52" t="s">
        <v>411</v>
      </c>
      <c r="E83" s="55" t="n">
        <v>6.86</v>
      </c>
      <c r="F83" s="56" t="n">
        <v>1</v>
      </c>
      <c r="G83" s="57" t="n">
        <f aca="false">IF($A83="","",E83*IF(F83="",1,F83))</f>
        <v>6.86</v>
      </c>
      <c r="H83" s="31" t="n">
        <f aca="false">IF($A83="","",IF(SUMIF($A$6:$A$600,$A83,$G$6:$G$600)=0,0,G83/SUMIF($A$6:$A$600,$A83,$G$6:$G$600)))</f>
        <v>0.0278816452609332</v>
      </c>
      <c r="I83" s="30" t="n">
        <f aca="false">IF($A83="","",IFERROR(INDEX('Cotação de Materiais'!$H$4:$H$200,MATCH($A83,'Cotação de Materiais'!$A$4:$A$200,0)),IFERROR(INDEX('Mão de Obra e Serviços'!$G$4:$G$200,MATCH($A83,'Mão de Obra e Serviços'!$A$4:$A$200,0)),0)))</f>
        <v>1827.3</v>
      </c>
      <c r="K83" s="30" t="n">
        <f aca="false">IF($A83="","",I83*H83)</f>
        <v>50.9481303853032</v>
      </c>
      <c r="L83" s="58" t="s">
        <v>460</v>
      </c>
      <c r="M83" s="54" t="str">
        <f aca="false">IF($A83="","",IF(B83="CÓDIGO?","CÓDIGO NÃO ACHADO",IF($D83="","FALTA ITEM DO ANEXO",IF($D83="INDIRETO","",IF(COUNTIFS('Anexo III'!$B$8:$B$400,$D83,'Anexo III'!$E$8:$E$400,"&gt;0")=0,"ITEM NÃO ACHADO NO ANEXO","")))))</f>
        <v/>
      </c>
    </row>
    <row r="84" customFormat="false" ht="15" hidden="false" customHeight="false" outlineLevel="0" collapsed="false">
      <c r="A84" s="52" t="s">
        <v>222</v>
      </c>
      <c r="B84" s="53" t="str">
        <f aca="false">IF($A84="","",IF(ISNUMBER(MATCH($A84,'Cotação de Materiais'!$A$4:$A$200,0)),"MAT",IF(ISNUMBER(MATCH($A84,'Mão de Obra e Serviços'!$A$4:$A$200,0)),"MO","CÓDIGO?")))</f>
        <v>MAT</v>
      </c>
      <c r="C84" s="54" t="str">
        <f aca="false">IF($A84="","",IFERROR(INDEX('Cotação de Materiais'!$C$4:$C$200,MATCH($A84,'Cotação de Materiais'!$A$4:$A$200,0)),IFERROR(INDEX('Mão de Obra e Serviços'!$B$4:$B$200,MATCH($A84,'Mão de Obra e Serviços'!$A$4:$A$200,0)),"")))</f>
        <v>Tinta Acrílica "Papel de Seda"</v>
      </c>
      <c r="D84" s="52" t="s">
        <v>412</v>
      </c>
      <c r="E84" s="55" t="n">
        <v>5.45</v>
      </c>
      <c r="F84" s="56" t="n">
        <v>1</v>
      </c>
      <c r="G84" s="57" t="n">
        <f aca="false">IF($A84="","",E84*IF(F84="",1,F84))</f>
        <v>5.45</v>
      </c>
      <c r="H84" s="31" t="n">
        <f aca="false">IF($A84="","",IF(SUMIF($A$6:$A$600,$A84,$G$6:$G$600)=0,0,G84/SUMIF($A$6:$A$600,$A84,$G$6:$G$600)))</f>
        <v>0.022150869777272</v>
      </c>
      <c r="I84" s="30" t="n">
        <f aca="false">IF($A84="","",IFERROR(INDEX('Cotação de Materiais'!$H$4:$H$200,MATCH($A84,'Cotação de Materiais'!$A$4:$A$200,0)),IFERROR(INDEX('Mão de Obra e Serviços'!$G$4:$G$200,MATCH($A84,'Mão de Obra e Serviços'!$A$4:$A$200,0)),0)))</f>
        <v>1827.3</v>
      </c>
      <c r="K84" s="30" t="n">
        <f aca="false">IF($A84="","",I84*H84)</f>
        <v>40.4762843440091</v>
      </c>
      <c r="L84" s="58" t="s">
        <v>460</v>
      </c>
      <c r="M84" s="54" t="str">
        <f aca="false">IF($A84="","",IF(B84="CÓDIGO?","CÓDIGO NÃO ACHADO",IF($D84="","FALTA ITEM DO ANEXO",IF($D84="INDIRETO","",IF(COUNTIFS('Anexo III'!$B$8:$B$400,$D84,'Anexo III'!$E$8:$E$400,"&gt;0")=0,"ITEM NÃO ACHADO NO ANEXO","")))))</f>
        <v/>
      </c>
    </row>
    <row r="85" customFormat="false" ht="15" hidden="false" customHeight="false" outlineLevel="0" collapsed="false">
      <c r="A85" s="52" t="s">
        <v>222</v>
      </c>
      <c r="B85" s="53" t="str">
        <f aca="false">IF($A85="","",IF(ISNUMBER(MATCH($A85,'Cotação de Materiais'!$A$4:$A$200,0)),"MAT",IF(ISNUMBER(MATCH($A85,'Mão de Obra e Serviços'!$A$4:$A$200,0)),"MO","CÓDIGO?")))</f>
        <v>MAT</v>
      </c>
      <c r="C85" s="54" t="str">
        <f aca="false">IF($A85="","",IFERROR(INDEX('Cotação de Materiais'!$C$4:$C$200,MATCH($A85,'Cotação de Materiais'!$A$4:$A$200,0)),IFERROR(INDEX('Mão de Obra e Serviços'!$B$4:$B$200,MATCH($A85,'Mão de Obra e Serviços'!$A$4:$A$200,0)),"")))</f>
        <v>Tinta Acrílica "Papel de Seda"</v>
      </c>
      <c r="D85" s="52" t="s">
        <v>413</v>
      </c>
      <c r="E85" s="55" t="n">
        <v>2.86</v>
      </c>
      <c r="F85" s="56" t="n">
        <v>1</v>
      </c>
      <c r="G85" s="57" t="n">
        <f aca="false">IF($A85="","",E85*IF(F85="",1,F85))</f>
        <v>2.86</v>
      </c>
      <c r="H85" s="31" t="n">
        <f aca="false">IF($A85="","",IF(SUMIF($A$6:$A$600,$A85,$G$6:$G$600)=0,0,G85/SUMIF($A$6:$A$600,$A85,$G$6:$G$600)))</f>
        <v>0.0116241261583482</v>
      </c>
      <c r="I85" s="30" t="n">
        <f aca="false">IF($A85="","",IFERROR(INDEX('Cotação de Materiais'!$H$4:$H$200,MATCH($A85,'Cotação de Materiais'!$A$4:$A$200,0)),IFERROR(INDEX('Mão de Obra e Serviços'!$G$4:$G$200,MATCH($A85,'Mão de Obra e Serviços'!$A$4:$A$200,0)),0)))</f>
        <v>1827.3</v>
      </c>
      <c r="K85" s="30" t="n">
        <f aca="false">IF($A85="","",I85*H85)</f>
        <v>21.2407657291497</v>
      </c>
      <c r="L85" s="58" t="s">
        <v>460</v>
      </c>
      <c r="M85" s="54" t="str">
        <f aca="false">IF($A85="","",IF(B85="CÓDIGO?","CÓDIGO NÃO ACHADO",IF($D85="","FALTA ITEM DO ANEXO",IF($D85="INDIRETO","",IF(COUNTIFS('Anexo III'!$B$8:$B$400,$D85,'Anexo III'!$E$8:$E$400,"&gt;0")=0,"ITEM NÃO ACHADO NO ANEXO","")))))</f>
        <v/>
      </c>
    </row>
    <row r="86" customFormat="false" ht="15" hidden="false" customHeight="false" outlineLevel="0" collapsed="false">
      <c r="A86" s="52" t="s">
        <v>222</v>
      </c>
      <c r="B86" s="53" t="str">
        <f aca="false">IF($A86="","",IF(ISNUMBER(MATCH($A86,'Cotação de Materiais'!$A$4:$A$200,0)),"MAT",IF(ISNUMBER(MATCH($A86,'Mão de Obra e Serviços'!$A$4:$A$200,0)),"MO","CÓDIGO?")))</f>
        <v>MAT</v>
      </c>
      <c r="C86" s="54" t="str">
        <f aca="false">IF($A86="","",IFERROR(INDEX('Cotação de Materiais'!$C$4:$C$200,MATCH($A86,'Cotação de Materiais'!$A$4:$A$200,0)),IFERROR(INDEX('Mão de Obra e Serviços'!$B$4:$B$200,MATCH($A86,'Mão de Obra e Serviços'!$A$4:$A$200,0)),"")))</f>
        <v>Tinta Acrílica "Papel de Seda"</v>
      </c>
      <c r="D86" s="52" t="s">
        <v>414</v>
      </c>
      <c r="E86" s="55" t="n">
        <v>3.98</v>
      </c>
      <c r="F86" s="56" t="n">
        <v>1</v>
      </c>
      <c r="G86" s="57" t="n">
        <f aca="false">IF($A86="","",E86*IF(F86="",1,F86))</f>
        <v>3.98</v>
      </c>
      <c r="H86" s="31" t="n">
        <f aca="false">IF($A86="","",IF(SUMIF($A$6:$A$600,$A86,$G$6:$G$600)=0,0,G86/SUMIF($A$6:$A$600,$A86,$G$6:$G$600)))</f>
        <v>0.016176231507072</v>
      </c>
      <c r="I86" s="30" t="n">
        <f aca="false">IF($A86="","",IFERROR(INDEX('Cotação de Materiais'!$H$4:$H$200,MATCH($A86,'Cotação de Materiais'!$A$4:$A$200,0)),IFERROR(INDEX('Mão de Obra e Serviços'!$G$4:$G$200,MATCH($A86,'Mão de Obra e Serviços'!$A$4:$A$200,0)),0)))</f>
        <v>1827.3</v>
      </c>
      <c r="K86" s="30" t="n">
        <f aca="false">IF($A86="","",I86*H86)</f>
        <v>29.5588278328727</v>
      </c>
      <c r="L86" s="58" t="s">
        <v>460</v>
      </c>
      <c r="M86" s="54" t="str">
        <f aca="false">IF($A86="","",IF(B86="CÓDIGO?","CÓDIGO NÃO ACHADO",IF($D86="","FALTA ITEM DO ANEXO",IF($D86="INDIRETO","",IF(COUNTIFS('Anexo III'!$B$8:$B$400,$D86,'Anexo III'!$E$8:$E$400,"&gt;0")=0,"ITEM NÃO ACHADO NO ANEXO","")))))</f>
        <v/>
      </c>
    </row>
    <row r="87" customFormat="false" ht="15" hidden="false" customHeight="false" outlineLevel="0" collapsed="false">
      <c r="A87" s="52" t="s">
        <v>222</v>
      </c>
      <c r="B87" s="53" t="str">
        <f aca="false">IF($A87="","",IF(ISNUMBER(MATCH($A87,'Cotação de Materiais'!$A$4:$A$200,0)),"MAT",IF(ISNUMBER(MATCH($A87,'Mão de Obra e Serviços'!$A$4:$A$200,0)),"MO","CÓDIGO?")))</f>
        <v>MAT</v>
      </c>
      <c r="C87" s="54" t="str">
        <f aca="false">IF($A87="","",IFERROR(INDEX('Cotação de Materiais'!$C$4:$C$200,MATCH($A87,'Cotação de Materiais'!$A$4:$A$200,0)),IFERROR(INDEX('Mão de Obra e Serviços'!$B$4:$B$200,MATCH($A87,'Mão de Obra e Serviços'!$A$4:$A$200,0)),"")))</f>
        <v>Tinta Acrílica "Papel de Seda"</v>
      </c>
      <c r="D87" s="52" t="s">
        <v>415</v>
      </c>
      <c r="E87" s="55" t="n">
        <v>2.88</v>
      </c>
      <c r="F87" s="56" t="n">
        <v>1</v>
      </c>
      <c r="G87" s="57" t="n">
        <f aca="false">IF($A87="","",E87*IF(F87="",1,F87))</f>
        <v>2.88</v>
      </c>
      <c r="H87" s="31" t="n">
        <f aca="false">IF($A87="","",IF(SUMIF($A$6:$A$600,$A87,$G$6:$G$600)=0,0,G87/SUMIF($A$6:$A$600,$A87,$G$6:$G$600)))</f>
        <v>0.0117054137538612</v>
      </c>
      <c r="I87" s="30" t="n">
        <f aca="false">IF($A87="","",IFERROR(INDEX('Cotação de Materiais'!$H$4:$H$200,MATCH($A87,'Cotação de Materiais'!$A$4:$A$200,0)),IFERROR(INDEX('Mão de Obra e Serviços'!$G$4:$G$200,MATCH($A87,'Mão de Obra e Serviços'!$A$4:$A$200,0)),0)))</f>
        <v>1827.3</v>
      </c>
      <c r="K87" s="30" t="n">
        <f aca="false">IF($A87="","",I87*H87)</f>
        <v>21.3893025524305</v>
      </c>
      <c r="L87" s="58" t="s">
        <v>460</v>
      </c>
      <c r="M87" s="54" t="str">
        <f aca="false">IF($A87="","",IF(B87="CÓDIGO?","CÓDIGO NÃO ACHADO",IF($D87="","FALTA ITEM DO ANEXO",IF($D87="INDIRETO","",IF(COUNTIFS('Anexo III'!$B$8:$B$400,$D87,'Anexo III'!$E$8:$E$400,"&gt;0")=0,"ITEM NÃO ACHADO NO ANEXO","")))))</f>
        <v/>
      </c>
    </row>
    <row r="88" customFormat="false" ht="15" hidden="false" customHeight="false" outlineLevel="0" collapsed="false">
      <c r="A88" s="52" t="s">
        <v>222</v>
      </c>
      <c r="B88" s="53" t="str">
        <f aca="false">IF($A88="","",IF(ISNUMBER(MATCH($A88,'Cotação de Materiais'!$A$4:$A$200,0)),"MAT",IF(ISNUMBER(MATCH($A88,'Mão de Obra e Serviços'!$A$4:$A$200,0)),"MO","CÓDIGO?")))</f>
        <v>MAT</v>
      </c>
      <c r="C88" s="54" t="str">
        <f aca="false">IF($A88="","",IFERROR(INDEX('Cotação de Materiais'!$C$4:$C$200,MATCH($A88,'Cotação de Materiais'!$A$4:$A$200,0)),IFERROR(INDEX('Mão de Obra e Serviços'!$B$4:$B$200,MATCH($A88,'Mão de Obra e Serviços'!$A$4:$A$200,0)),"")))</f>
        <v>Tinta Acrílica "Papel de Seda"</v>
      </c>
      <c r="D88" s="52" t="s">
        <v>416</v>
      </c>
      <c r="E88" s="55" t="n">
        <v>17.78</v>
      </c>
      <c r="F88" s="56" t="n">
        <v>1</v>
      </c>
      <c r="G88" s="57" t="n">
        <f aca="false">IF($A88="","",E88*IF(F88="",1,F88))</f>
        <v>17.78</v>
      </c>
      <c r="H88" s="31" t="n">
        <f aca="false">IF($A88="","",IF(SUMIF($A$6:$A$600,$A88,$G$6:$G$600)=0,0,G88/SUMIF($A$6:$A$600,$A88,$G$6:$G$600)))</f>
        <v>0.0722646724109901</v>
      </c>
      <c r="I88" s="30" t="n">
        <f aca="false">IF($A88="","",IFERROR(INDEX('Cotação de Materiais'!$H$4:$H$200,MATCH($A88,'Cotação de Materiais'!$A$4:$A$200,0)),IFERROR(INDEX('Mão de Obra e Serviços'!$G$4:$G$200,MATCH($A88,'Mão de Obra e Serviços'!$A$4:$A$200,0)),0)))</f>
        <v>1827.3</v>
      </c>
      <c r="K88" s="30" t="n">
        <f aca="false">IF($A88="","",I88*H88)</f>
        <v>132.049235896602</v>
      </c>
      <c r="L88" s="58" t="s">
        <v>460</v>
      </c>
      <c r="M88" s="54" t="str">
        <f aca="false">IF($A88="","",IF(B88="CÓDIGO?","CÓDIGO NÃO ACHADO",IF($D88="","FALTA ITEM DO ANEXO",IF($D88="INDIRETO","",IF(COUNTIFS('Anexo III'!$B$8:$B$400,$D88,'Anexo III'!$E$8:$E$400,"&gt;0")=0,"ITEM NÃO ACHADO NO ANEXO","")))))</f>
        <v/>
      </c>
    </row>
    <row r="89" customFormat="false" ht="15" hidden="false" customHeight="false" outlineLevel="0" collapsed="false">
      <c r="A89" s="52" t="s">
        <v>222</v>
      </c>
      <c r="B89" s="53" t="str">
        <f aca="false">IF($A89="","",IF(ISNUMBER(MATCH($A89,'Cotação de Materiais'!$A$4:$A$200,0)),"MAT",IF(ISNUMBER(MATCH($A89,'Mão de Obra e Serviços'!$A$4:$A$200,0)),"MO","CÓDIGO?")))</f>
        <v>MAT</v>
      </c>
      <c r="C89" s="54" t="str">
        <f aca="false">IF($A89="","",IFERROR(INDEX('Cotação de Materiais'!$C$4:$C$200,MATCH($A89,'Cotação de Materiais'!$A$4:$A$200,0)),IFERROR(INDEX('Mão de Obra e Serviços'!$B$4:$B$200,MATCH($A89,'Mão de Obra e Serviços'!$A$4:$A$200,0)),"")))</f>
        <v>Tinta Acrílica "Papel de Seda"</v>
      </c>
      <c r="D89" s="52" t="s">
        <v>417</v>
      </c>
      <c r="E89" s="55" t="n">
        <v>11.83</v>
      </c>
      <c r="F89" s="56" t="n">
        <v>1</v>
      </c>
      <c r="G89" s="57" t="n">
        <f aca="false">IF($A89="","",E89*IF(F89="",1,F89))</f>
        <v>11.83</v>
      </c>
      <c r="H89" s="31" t="n">
        <f aca="false">IF($A89="","",IF(SUMIF($A$6:$A$600,$A89,$G$6:$G$600)=0,0,G89/SUMIF($A$6:$A$600,$A89,$G$6:$G$600)))</f>
        <v>0.048081612745895</v>
      </c>
      <c r="I89" s="30" t="n">
        <f aca="false">IF($A89="","",IFERROR(INDEX('Cotação de Materiais'!$H$4:$H$200,MATCH($A89,'Cotação de Materiais'!$A$4:$A$200,0)),IFERROR(INDEX('Mão de Obra e Serviços'!$G$4:$G$200,MATCH($A89,'Mão de Obra e Serviços'!$A$4:$A$200,0)),0)))</f>
        <v>1827.3</v>
      </c>
      <c r="K89" s="30" t="n">
        <f aca="false">IF($A89="","",I89*H89)</f>
        <v>87.8595309705739</v>
      </c>
      <c r="L89" s="58" t="s">
        <v>460</v>
      </c>
      <c r="M89" s="54" t="str">
        <f aca="false">IF($A89="","",IF(B89="CÓDIGO?","CÓDIGO NÃO ACHADO",IF($D89="","FALTA ITEM DO ANEXO",IF($D89="INDIRETO","",IF(COUNTIFS('Anexo III'!$B$8:$B$400,$D89,'Anexo III'!$E$8:$E$400,"&gt;0")=0,"ITEM NÃO ACHADO NO ANEXO","")))))</f>
        <v/>
      </c>
    </row>
    <row r="90" customFormat="false" ht="15" hidden="false" customHeight="false" outlineLevel="0" collapsed="false">
      <c r="A90" s="52" t="s">
        <v>226</v>
      </c>
      <c r="B90" s="53" t="str">
        <f aca="false">IF($A90="","",IF(ISNUMBER(MATCH($A90,'Cotação de Materiais'!$A$4:$A$200,0)),"MAT",IF(ISNUMBER(MATCH($A90,'Mão de Obra e Serviços'!$A$4:$A$200,0)),"MO","CÓDIGO?")))</f>
        <v>MAT</v>
      </c>
      <c r="C90" s="54" t="str">
        <f aca="false">IF($A90="","",IFERROR(INDEX('Cotação de Materiais'!$C$4:$C$200,MATCH($A90,'Cotação de Materiais'!$A$4:$A$200,0)),IFERROR(INDEX('Mão de Obra e Serviços'!$B$4:$B$200,MATCH($A90,'Mão de Obra e Serviços'!$A$4:$A$200,0)),"")))</f>
        <v>Tinta Acrílica Branca</v>
      </c>
      <c r="D90" s="52" t="s">
        <v>461</v>
      </c>
      <c r="E90" s="55" t="n">
        <v>250</v>
      </c>
      <c r="F90" s="56" t="n">
        <v>1</v>
      </c>
      <c r="G90" s="57" t="n">
        <f aca="false">IF($A90="","",E90*IF(F90="",1,F90))</f>
        <v>250</v>
      </c>
      <c r="H90" s="31" t="n">
        <f aca="false">IF($A90="","",IF(SUMIF($A$6:$A$600,$A90,$G$6:$G$600)=0,0,G90/SUMIF($A$6:$A$600,$A90,$G$6:$G$600)))</f>
        <v>0.97492493078033</v>
      </c>
      <c r="I90" s="30" t="n">
        <f aca="false">IF($A90="","",IFERROR(INDEX('Cotação de Materiais'!$H$4:$H$200,MATCH($A90,'Cotação de Materiais'!$A$4:$A$200,0)),IFERROR(INDEX('Mão de Obra e Serviços'!$G$4:$G$200,MATCH($A90,'Mão de Obra e Serviços'!$A$4:$A$200,0)),0)))</f>
        <v>3695.52</v>
      </c>
      <c r="K90" s="30" t="n">
        <f aca="false">IF($A90="","",I90*H90)</f>
        <v>3602.85458019732</v>
      </c>
      <c r="L90" s="58" t="s">
        <v>462</v>
      </c>
      <c r="M90" s="54" t="str">
        <f aca="false">IF($A90="","",IF(B90="CÓDIGO?","CÓDIGO NÃO ACHADO",IF($D90="","FALTA ITEM DO ANEXO",IF($D90="INDIRETO","",IF(COUNTIFS('Anexo III'!$B$8:$B$400,$D90,'Anexo III'!$E$8:$E$400,"&gt;0")=0,"ITEM NÃO ACHADO NO ANEXO","")))))</f>
        <v/>
      </c>
    </row>
    <row r="91" customFormat="false" ht="15" hidden="false" customHeight="false" outlineLevel="0" collapsed="false">
      <c r="A91" s="52" t="s">
        <v>226</v>
      </c>
      <c r="B91" s="53" t="str">
        <f aca="false">IF($A91="","",IF(ISNUMBER(MATCH($A91,'Cotação de Materiais'!$A$4:$A$200,0)),"MAT",IF(ISNUMBER(MATCH($A91,'Mão de Obra e Serviços'!$A$4:$A$200,0)),"MO","CÓDIGO?")))</f>
        <v>MAT</v>
      </c>
      <c r="C91" s="54" t="str">
        <f aca="false">IF($A91="","",IFERROR(INDEX('Cotação de Materiais'!$C$4:$C$200,MATCH($A91,'Cotação de Materiais'!$A$4:$A$200,0)),IFERROR(INDEX('Mão de Obra e Serviços'!$B$4:$B$200,MATCH($A91,'Mão de Obra e Serviços'!$A$4:$A$200,0)),"")))</f>
        <v>Tinta Acrílica Branca</v>
      </c>
      <c r="D91" s="52" t="s">
        <v>404</v>
      </c>
      <c r="E91" s="55" t="n">
        <v>5.2</v>
      </c>
      <c r="F91" s="56" t="n">
        <v>1</v>
      </c>
      <c r="G91" s="57" t="n">
        <f aca="false">IF($A91="","",E91*IF(F91="",1,F91))</f>
        <v>5.2</v>
      </c>
      <c r="H91" s="31" t="n">
        <f aca="false">IF($A91="","",IF(SUMIF($A$6:$A$600,$A91,$G$6:$G$600)=0,0,G91/SUMIF($A$6:$A$600,$A91,$G$6:$G$600)))</f>
        <v>0.0202784385602309</v>
      </c>
      <c r="I91" s="30" t="n">
        <f aca="false">IF($A91="","",IFERROR(INDEX('Cotação de Materiais'!$H$4:$H$200,MATCH($A91,'Cotação de Materiais'!$A$4:$A$200,0)),IFERROR(INDEX('Mão de Obra e Serviços'!$G$4:$G$200,MATCH($A91,'Mão de Obra e Serviços'!$A$4:$A$200,0)),0)))</f>
        <v>3695.52</v>
      </c>
      <c r="K91" s="30" t="n">
        <f aca="false">IF($A91="","",I91*H91)</f>
        <v>74.9393752681043</v>
      </c>
      <c r="L91" s="58" t="s">
        <v>462</v>
      </c>
      <c r="M91" s="54" t="str">
        <f aca="false">IF($A91="","",IF(B91="CÓDIGO?","CÓDIGO NÃO ACHADO",IF($D91="","FALTA ITEM DO ANEXO",IF($D91="INDIRETO","",IF(COUNTIFS('Anexo III'!$B$8:$B$400,$D91,'Anexo III'!$E$8:$E$400,"&gt;0")=0,"ITEM NÃO ACHADO NO ANEXO","")))))</f>
        <v/>
      </c>
    </row>
    <row r="92" customFormat="false" ht="15" hidden="false" customHeight="false" outlineLevel="0" collapsed="false">
      <c r="A92" s="52" t="s">
        <v>226</v>
      </c>
      <c r="B92" s="53" t="str">
        <f aca="false">IF($A92="","",IF(ISNUMBER(MATCH($A92,'Cotação de Materiais'!$A$4:$A$200,0)),"MAT",IF(ISNUMBER(MATCH($A92,'Mão de Obra e Serviços'!$A$4:$A$200,0)),"MO","CÓDIGO?")))</f>
        <v>MAT</v>
      </c>
      <c r="C92" s="54" t="str">
        <f aca="false">IF($A92="","",IFERROR(INDEX('Cotação de Materiais'!$C$4:$C$200,MATCH($A92,'Cotação de Materiais'!$A$4:$A$200,0)),IFERROR(INDEX('Mão de Obra e Serviços'!$B$4:$B$200,MATCH($A92,'Mão de Obra e Serviços'!$A$4:$A$200,0)),"")))</f>
        <v>Tinta Acrílica Branca</v>
      </c>
      <c r="D92" s="52" t="s">
        <v>426</v>
      </c>
      <c r="E92" s="55" t="n">
        <v>1</v>
      </c>
      <c r="F92" s="56" t="n">
        <v>1</v>
      </c>
      <c r="G92" s="57" t="n">
        <f aca="false">IF($A92="","",E92*IF(F92="",1,F92))</f>
        <v>1</v>
      </c>
      <c r="H92" s="31" t="n">
        <f aca="false">IF($A92="","",IF(SUMIF($A$6:$A$600,$A92,$G$6:$G$600)=0,0,G92/SUMIF($A$6:$A$600,$A92,$G$6:$G$600)))</f>
        <v>0.00389969972312132</v>
      </c>
      <c r="I92" s="30" t="n">
        <f aca="false">IF($A92="","",IFERROR(INDEX('Cotação de Materiais'!$H$4:$H$200,MATCH($A92,'Cotação de Materiais'!$A$4:$A$200,0)),IFERROR(INDEX('Mão de Obra e Serviços'!$G$4:$G$200,MATCH($A92,'Mão de Obra e Serviços'!$A$4:$A$200,0)),0)))</f>
        <v>3695.52</v>
      </c>
      <c r="K92" s="30" t="n">
        <f aca="false">IF($A92="","",I92*H92)</f>
        <v>14.4114183207893</v>
      </c>
      <c r="L92" s="58" t="s">
        <v>462</v>
      </c>
      <c r="M92" s="54" t="str">
        <f aca="false">IF($A92="","",IF(B92="CÓDIGO?","CÓDIGO NÃO ACHADO",IF($D92="","FALTA ITEM DO ANEXO",IF($D92="INDIRETO","",IF(COUNTIFS('Anexo III'!$B$8:$B$400,$D92,'Anexo III'!$E$8:$E$400,"&gt;0")=0,"ITEM NÃO ACHADO NO ANEXO","")))))</f>
        <v/>
      </c>
    </row>
    <row r="93" customFormat="false" ht="15" hidden="false" customHeight="false" outlineLevel="0" collapsed="false">
      <c r="A93" s="52" t="s">
        <v>226</v>
      </c>
      <c r="B93" s="53" t="str">
        <f aca="false">IF($A93="","",IF(ISNUMBER(MATCH($A93,'Cotação de Materiais'!$A$4:$A$200,0)),"MAT",IF(ISNUMBER(MATCH($A93,'Mão de Obra e Serviços'!$A$4:$A$200,0)),"MO","CÓDIGO?")))</f>
        <v>MAT</v>
      </c>
      <c r="C93" s="54" t="str">
        <f aca="false">IF($A93="","",IFERROR(INDEX('Cotação de Materiais'!$C$4:$C$200,MATCH($A93,'Cotação de Materiais'!$A$4:$A$200,0)),IFERROR(INDEX('Mão de Obra e Serviços'!$B$4:$B$200,MATCH($A93,'Mão de Obra e Serviços'!$A$4:$A$200,0)),"")))</f>
        <v>Tinta Acrílica Branca</v>
      </c>
      <c r="D93" s="52" t="s">
        <v>425</v>
      </c>
      <c r="E93" s="55" t="n">
        <v>0.23</v>
      </c>
      <c r="F93" s="56" t="n">
        <v>1</v>
      </c>
      <c r="G93" s="57" t="n">
        <f aca="false">IF($A93="","",E93*IF(F93="",1,F93))</f>
        <v>0.23</v>
      </c>
      <c r="H93" s="31" t="n">
        <f aca="false">IF($A93="","",IF(SUMIF($A$6:$A$600,$A93,$G$6:$G$600)=0,0,G93/SUMIF($A$6:$A$600,$A93,$G$6:$G$600)))</f>
        <v>0.000896930936317904</v>
      </c>
      <c r="I93" s="30" t="n">
        <f aca="false">IF($A93="","",IFERROR(INDEX('Cotação de Materiais'!$H$4:$H$200,MATCH($A93,'Cotação de Materiais'!$A$4:$A$200,0)),IFERROR(INDEX('Mão de Obra e Serviços'!$G$4:$G$200,MATCH($A93,'Mão de Obra e Serviços'!$A$4:$A$200,0)),0)))</f>
        <v>3695.52</v>
      </c>
      <c r="K93" s="30" t="n">
        <f aca="false">IF($A93="","",I93*H93)</f>
        <v>3.31462621378154</v>
      </c>
      <c r="L93" s="58" t="s">
        <v>462</v>
      </c>
      <c r="M93" s="54" t="str">
        <f aca="false">IF($A93="","",IF(B93="CÓDIGO?","CÓDIGO NÃO ACHADO",IF($D93="","FALTA ITEM DO ANEXO",IF($D93="INDIRETO","",IF(COUNTIFS('Anexo III'!$B$8:$B$400,$D93,'Anexo III'!$E$8:$E$400,"&gt;0")=0,"ITEM NÃO ACHADO NO ANEXO","")))))</f>
        <v/>
      </c>
    </row>
    <row r="94" customFormat="false" ht="15" hidden="false" customHeight="false" outlineLevel="0" collapsed="false">
      <c r="A94" s="52" t="s">
        <v>231</v>
      </c>
      <c r="B94" s="53" t="str">
        <f aca="false">IF($A94="","",IF(ISNUMBER(MATCH($A94,'Cotação de Materiais'!$A$4:$A$200,0)),"MAT",IF(ISNUMBER(MATCH($A94,'Mão de Obra e Serviços'!$A$4:$A$200,0)),"MO","CÓDIGO?")))</f>
        <v>MAT</v>
      </c>
      <c r="C94" s="54" t="str">
        <f aca="false">IF($A94="","",IFERROR(INDEX('Cotação de Materiais'!$C$4:$C$200,MATCH($A94,'Cotação de Materiais'!$A$4:$A$200,0)),IFERROR(INDEX('Mão de Obra e Serviços'!$B$4:$B$200,MATCH($A94,'Mão de Obra e Serviços'!$A$4:$A$200,0)),"")))</f>
        <v>Vidro Laminado M01</v>
      </c>
      <c r="D94" s="52" t="s">
        <v>426</v>
      </c>
      <c r="E94" s="55" t="n">
        <v>1</v>
      </c>
      <c r="F94" s="56" t="n">
        <v>1</v>
      </c>
      <c r="G94" s="57" t="n">
        <f aca="false">IF($A94="","",E94*IF(F94="",1,F94))</f>
        <v>1</v>
      </c>
      <c r="H94" s="31" t="n">
        <f aca="false">IF($A94="","",IF(SUMIF($A$6:$A$600,$A94,$G$6:$G$600)=0,0,G94/SUMIF($A$6:$A$600,$A94,$G$6:$G$600)))</f>
        <v>1</v>
      </c>
      <c r="I94" s="30" t="n">
        <f aca="false">IF($A94="","",IFERROR(INDEX('Cotação de Materiais'!$H$4:$H$200,MATCH($A94,'Cotação de Materiais'!$A$4:$A$200,0)),IFERROR(INDEX('Mão de Obra e Serviços'!$G$4:$G$200,MATCH($A94,'Mão de Obra e Serviços'!$A$4:$A$200,0)),0)))</f>
        <v>1376.71</v>
      </c>
      <c r="K94" s="30" t="n">
        <f aca="false">IF($A94="","",I94*H94)</f>
        <v>1376.71</v>
      </c>
      <c r="L94" s="58" t="s">
        <v>463</v>
      </c>
      <c r="M94" s="54" t="str">
        <f aca="false">IF($A94="","",IF(B94="CÓDIGO?","CÓDIGO NÃO ACHADO",IF($D94="","FALTA ITEM DO ANEXO",IF($D94="INDIRETO","",IF(COUNTIFS('Anexo III'!$B$8:$B$400,$D94,'Anexo III'!$E$8:$E$400,"&gt;0")=0,"ITEM NÃO ACHADO NO ANEXO","")))))</f>
        <v/>
      </c>
    </row>
    <row r="95" customFormat="false" ht="15" hidden="false" customHeight="false" outlineLevel="0" collapsed="false">
      <c r="A95" s="52" t="s">
        <v>237</v>
      </c>
      <c r="B95" s="53" t="str">
        <f aca="false">IF($A95="","",IF(ISNUMBER(MATCH($A95,'Cotação de Materiais'!$A$4:$A$200,0)),"MAT",IF(ISNUMBER(MATCH($A95,'Mão de Obra e Serviços'!$A$4:$A$200,0)),"MO","CÓDIGO?")))</f>
        <v>MAT</v>
      </c>
      <c r="C95" s="54" t="str">
        <f aca="false">IF($A95="","",IFERROR(INDEX('Cotação de Materiais'!$C$4:$C$200,MATCH($A95,'Cotação de Materiais'!$A$4:$A$200,0)),IFERROR(INDEX('Mão de Obra e Serviços'!$B$4:$B$200,MATCH($A95,'Mão de Obra e Serviços'!$A$4:$A$200,0)),"")))</f>
        <v>Aplicação de Película Refl. Prata-Bronze 05</v>
      </c>
      <c r="D95" s="52" t="s">
        <v>464</v>
      </c>
      <c r="E95" s="55" t="n">
        <v>1</v>
      </c>
      <c r="F95" s="56" t="n">
        <v>1</v>
      </c>
      <c r="G95" s="57" t="n">
        <f aca="false">IF($A95="","",E95*IF(F95="",1,F95))</f>
        <v>1</v>
      </c>
      <c r="H95" s="31" t="n">
        <f aca="false">IF($A95="","",IF(SUMIF($A$6:$A$600,$A95,$G$6:$G$600)=0,0,G95/SUMIF($A$6:$A$600,$A95,$G$6:$G$600)))</f>
        <v>1</v>
      </c>
      <c r="I95" s="30" t="n">
        <f aca="false">IF($A95="","",IFERROR(INDEX('Cotação de Materiais'!$H$4:$H$200,MATCH($A95,'Cotação de Materiais'!$A$4:$A$200,0)),IFERROR(INDEX('Mão de Obra e Serviços'!$G$4:$G$200,MATCH($A95,'Mão de Obra e Serviços'!$A$4:$A$200,0)),0)))</f>
        <v>8209.4592</v>
      </c>
      <c r="K95" s="30" t="n">
        <f aca="false">IF($A95="","",I95*H95)</f>
        <v>8209.4592</v>
      </c>
      <c r="L95" s="58" t="s">
        <v>465</v>
      </c>
      <c r="M95" s="54" t="str">
        <f aca="false">IF($A95="","",IF(B95="CÓDIGO?","CÓDIGO NÃO ACHADO",IF($D95="","FALTA ITEM DO ANEXO",IF($D95="INDIRETO","",IF(COUNTIFS('Anexo III'!$B$8:$B$400,$D95,'Anexo III'!$E$8:$E$400,"&gt;0")=0,"ITEM NÃO ACHADO NO ANEXO","")))))</f>
        <v/>
      </c>
    </row>
    <row r="96" customFormat="false" ht="15" hidden="false" customHeight="false" outlineLevel="0" collapsed="false">
      <c r="A96" s="52" t="s">
        <v>242</v>
      </c>
      <c r="B96" s="53" t="str">
        <f aca="false">IF($A96="","",IF(ISNUMBER(MATCH($A96,'Cotação de Materiais'!$A$4:$A$200,0)),"MAT",IF(ISNUMBER(MATCH($A96,'Mão de Obra e Serviços'!$A$4:$A$200,0)),"MO","CÓDIGO?")))</f>
        <v>MAT</v>
      </c>
      <c r="C96" s="54" t="str">
        <f aca="false">IF($A96="","",IFERROR(INDEX('Cotação de Materiais'!$C$4:$C$200,MATCH($A96,'Cotação de Materiais'!$A$4:$A$200,0)),IFERROR(INDEX('Mão de Obra e Serviços'!$B$4:$B$200,MATCH($A96,'Mão de Obra e Serviços'!$A$4:$A$200,0)),"")))</f>
        <v>Remoção de Película Anterior</v>
      </c>
      <c r="D96" s="52" t="s">
        <v>464</v>
      </c>
      <c r="E96" s="55" t="n">
        <v>1</v>
      </c>
      <c r="F96" s="56" t="n">
        <v>1</v>
      </c>
      <c r="G96" s="57" t="n">
        <f aca="false">IF($A96="","",E96*IF(F96="",1,F96))</f>
        <v>1</v>
      </c>
      <c r="H96" s="31" t="n">
        <f aca="false">IF($A96="","",IF(SUMIF($A$6:$A$600,$A96,$G$6:$G$600)=0,0,G96/SUMIF($A$6:$A$600,$A96,$G$6:$G$600)))</f>
        <v>1</v>
      </c>
      <c r="I96" s="30" t="n">
        <f aca="false">IF($A96="","",IFERROR(INDEX('Cotação de Materiais'!$H$4:$H$200,MATCH($A96,'Cotação de Materiais'!$A$4:$A$200,0)),IFERROR(INDEX('Mão de Obra e Serviços'!$G$4:$G$200,MATCH($A96,'Mão de Obra e Serviços'!$A$4:$A$200,0)),0)))</f>
        <v>3429.12</v>
      </c>
      <c r="K96" s="30" t="n">
        <f aca="false">IF($A96="","",I96*H96)</f>
        <v>3429.12</v>
      </c>
      <c r="L96" s="58" t="s">
        <v>465</v>
      </c>
      <c r="M96" s="54" t="str">
        <f aca="false">IF($A96="","",IF(B96="CÓDIGO?","CÓDIGO NÃO ACHADO",IF($D96="","FALTA ITEM DO ANEXO",IF($D96="INDIRETO","",IF(COUNTIFS('Anexo III'!$B$8:$B$400,$D96,'Anexo III'!$E$8:$E$400,"&gt;0")=0,"ITEM NÃO ACHADO NO ANEXO","")))))</f>
        <v/>
      </c>
    </row>
    <row r="97" customFormat="false" ht="15" hidden="false" customHeight="false" outlineLevel="0" collapsed="false">
      <c r="A97" s="52" t="s">
        <v>247</v>
      </c>
      <c r="B97" s="53" t="str">
        <f aca="false">IF($A97="","",IF(ISNUMBER(MATCH($A97,'Cotação de Materiais'!$A$4:$A$200,0)),"MAT",IF(ISNUMBER(MATCH($A97,'Mão de Obra e Serviços'!$A$4:$A$200,0)),"MO","CÓDIGO?")))</f>
        <v>MAT</v>
      </c>
      <c r="C97" s="54" t="str">
        <f aca="false">IF($A97="","",IFERROR(INDEX('Cotação de Materiais'!$C$4:$C$200,MATCH($A97,'Cotação de Materiais'!$A$4:$A$200,0)),IFERROR(INDEX('Mão de Obra e Serviços'!$B$4:$B$200,MATCH($A97,'Mão de Obra e Serviços'!$A$4:$A$200,0)),"")))</f>
        <v>Remoção de Película ao Final da Exposição</v>
      </c>
      <c r="D97" s="52" t="s">
        <v>464</v>
      </c>
      <c r="E97" s="55" t="n">
        <v>1</v>
      </c>
      <c r="F97" s="56" t="n">
        <v>1</v>
      </c>
      <c r="G97" s="57" t="n">
        <f aca="false">IF($A97="","",E97*IF(F97="",1,F97))</f>
        <v>1</v>
      </c>
      <c r="H97" s="31" t="n">
        <f aca="false">IF($A97="","",IF(SUMIF($A$6:$A$600,$A97,$G$6:$G$600)=0,0,G97/SUMIF($A$6:$A$600,$A97,$G$6:$G$600)))</f>
        <v>1</v>
      </c>
      <c r="I97" s="30" t="n">
        <f aca="false">IF($A97="","",IFERROR(INDEX('Cotação de Materiais'!$H$4:$H$200,MATCH($A97,'Cotação de Materiais'!$A$4:$A$200,0)),IFERROR(INDEX('Mão de Obra e Serviços'!$G$4:$G$200,MATCH($A97,'Mão de Obra e Serviços'!$A$4:$A$200,0)),0)))</f>
        <v>2042.88</v>
      </c>
      <c r="K97" s="30" t="n">
        <f aca="false">IF($A97="","",I97*H97)</f>
        <v>2042.88</v>
      </c>
      <c r="L97" s="58" t="s">
        <v>465</v>
      </c>
      <c r="M97" s="54" t="str">
        <f aca="false">IF($A97="","",IF(B97="CÓDIGO?","CÓDIGO NÃO ACHADO",IF($D97="","FALTA ITEM DO ANEXO",IF($D97="INDIRETO","",IF(COUNTIFS('Anexo III'!$B$8:$B$400,$D97,'Anexo III'!$E$8:$E$400,"&gt;0")=0,"ITEM NÃO ACHADO NO ANEXO","")))))</f>
        <v/>
      </c>
    </row>
    <row r="98" customFormat="false" ht="15" hidden="false" customHeight="false" outlineLevel="0" collapsed="false">
      <c r="A98" s="52" t="s">
        <v>252</v>
      </c>
      <c r="B98" s="53" t="str">
        <f aca="false">IF($A98="","",IF(ISNUMBER(MATCH($A98,'Cotação de Materiais'!$A$4:$A$200,0)),"MAT",IF(ISNUMBER(MATCH($A98,'Mão de Obra e Serviços'!$A$4:$A$200,0)),"MO","CÓDIGO?")))</f>
        <v>MAT</v>
      </c>
      <c r="C98" s="54" t="str">
        <f aca="false">IF($A98="","",IFERROR(INDEX('Cotação de Materiais'!$C$4:$C$200,MATCH($A98,'Cotação de Materiais'!$A$4:$A$200,0)),IFERROR(INDEX('Mão de Obra e Serviços'!$B$4:$B$200,MATCH($A98,'Mão de Obra e Serviços'!$A$4:$A$200,0)),"")))</f>
        <v>Retardante de Chamas CKC-2020</v>
      </c>
      <c r="D98" s="52" t="s">
        <v>397</v>
      </c>
      <c r="E98" s="55" t="n">
        <v>14</v>
      </c>
      <c r="F98" s="56" t="n">
        <v>1</v>
      </c>
      <c r="G98" s="57" t="n">
        <f aca="false">IF($A98="","",E98*IF(F98="",1,F98))</f>
        <v>14</v>
      </c>
      <c r="H98" s="31" t="n">
        <f aca="false">IF($A98="","",IF(SUMIF($A$6:$A$600,$A98,$G$6:$G$600)=0,0,G98/SUMIF($A$6:$A$600,$A98,$G$6:$G$600)))</f>
        <v>0.030517045949952</v>
      </c>
      <c r="I98" s="30" t="n">
        <f aca="false">IF($A98="","",IFERROR(INDEX('Cotação de Materiais'!$H$4:$H$200,MATCH($A98,'Cotação de Materiais'!$A$4:$A$200,0)),IFERROR(INDEX('Mão de Obra e Serviços'!$G$4:$G$200,MATCH($A98,'Mão de Obra e Serviços'!$A$4:$A$200,0)),0)))</f>
        <v>8760</v>
      </c>
      <c r="K98" s="30" t="n">
        <f aca="false">IF($A98="","",I98*H98)</f>
        <v>267.32932252158</v>
      </c>
      <c r="L98" s="58" t="s">
        <v>466</v>
      </c>
      <c r="M98" s="54" t="str">
        <f aca="false">IF($A98="","",IF(B98="CÓDIGO?","CÓDIGO NÃO ACHADO",IF($D98="","FALTA ITEM DO ANEXO",IF($D98="INDIRETO","",IF(COUNTIFS('Anexo III'!$B$8:$B$400,$D98,'Anexo III'!$E$8:$E$400,"&gt;0")=0,"ITEM NÃO ACHADO NO ANEXO","")))))</f>
        <v/>
      </c>
    </row>
    <row r="99" customFormat="false" ht="15" hidden="false" customHeight="false" outlineLevel="0" collapsed="false">
      <c r="A99" s="52" t="s">
        <v>252</v>
      </c>
      <c r="B99" s="53" t="str">
        <f aca="false">IF($A99="","",IF(ISNUMBER(MATCH($A99,'Cotação de Materiais'!$A$4:$A$200,0)),"MAT",IF(ISNUMBER(MATCH($A99,'Mão de Obra e Serviços'!$A$4:$A$200,0)),"MO","CÓDIGO?")))</f>
        <v>MAT</v>
      </c>
      <c r="C99" s="54" t="str">
        <f aca="false">IF($A99="","",IFERROR(INDEX('Cotação de Materiais'!$C$4:$C$200,MATCH($A99,'Cotação de Materiais'!$A$4:$A$200,0)),IFERROR(INDEX('Mão de Obra e Serviços'!$B$4:$B$200,MATCH($A99,'Mão de Obra e Serviços'!$A$4:$A$200,0)),"")))</f>
        <v>Retardante de Chamas CKC-2020</v>
      </c>
      <c r="D99" s="52" t="s">
        <v>399</v>
      </c>
      <c r="E99" s="55" t="n">
        <v>11.8</v>
      </c>
      <c r="F99" s="56" t="n">
        <v>1</v>
      </c>
      <c r="G99" s="57" t="n">
        <f aca="false">IF($A99="","",E99*IF(F99="",1,F99))</f>
        <v>11.8</v>
      </c>
      <c r="H99" s="31" t="n">
        <f aca="false">IF($A99="","",IF(SUMIF($A$6:$A$600,$A99,$G$6:$G$600)=0,0,G99/SUMIF($A$6:$A$600,$A99,$G$6:$G$600)))</f>
        <v>0.0257215101578167</v>
      </c>
      <c r="I99" s="30" t="n">
        <f aca="false">IF($A99="","",IFERROR(INDEX('Cotação de Materiais'!$H$4:$H$200,MATCH($A99,'Cotação de Materiais'!$A$4:$A$200,0)),IFERROR(INDEX('Mão de Obra e Serviços'!$G$4:$G$200,MATCH($A99,'Mão de Obra e Serviços'!$A$4:$A$200,0)),0)))</f>
        <v>8760</v>
      </c>
      <c r="K99" s="30" t="n">
        <f aca="false">IF($A99="","",I99*H99)</f>
        <v>225.320428982475</v>
      </c>
      <c r="L99" s="58" t="s">
        <v>466</v>
      </c>
      <c r="M99" s="54" t="str">
        <f aca="false">IF($A99="","",IF(B99="CÓDIGO?","CÓDIGO NÃO ACHADO",IF($D99="","FALTA ITEM DO ANEXO",IF($D99="INDIRETO","",IF(COUNTIFS('Anexo III'!$B$8:$B$400,$D99,'Anexo III'!$E$8:$E$400,"&gt;0")=0,"ITEM NÃO ACHADO NO ANEXO","")))))</f>
        <v/>
      </c>
    </row>
    <row r="100" customFormat="false" ht="15" hidden="false" customHeight="false" outlineLevel="0" collapsed="false">
      <c r="A100" s="52" t="s">
        <v>252</v>
      </c>
      <c r="B100" s="53" t="str">
        <f aca="false">IF($A100="","",IF(ISNUMBER(MATCH($A100,'Cotação de Materiais'!$A$4:$A$200,0)),"MAT",IF(ISNUMBER(MATCH($A100,'Mão de Obra e Serviços'!$A$4:$A$200,0)),"MO","CÓDIGO?")))</f>
        <v>MAT</v>
      </c>
      <c r="C100" s="54" t="str">
        <f aca="false">IF($A100="","",IFERROR(INDEX('Cotação de Materiais'!$C$4:$C$200,MATCH($A100,'Cotação de Materiais'!$A$4:$A$200,0)),IFERROR(INDEX('Mão de Obra e Serviços'!$B$4:$B$200,MATCH($A100,'Mão de Obra e Serviços'!$A$4:$A$200,0)),"")))</f>
        <v>Retardante de Chamas CKC-2020</v>
      </c>
      <c r="D100" s="52" t="s">
        <v>400</v>
      </c>
      <c r="E100" s="55" t="n">
        <v>32</v>
      </c>
      <c r="F100" s="56" t="n">
        <v>1</v>
      </c>
      <c r="G100" s="57" t="n">
        <f aca="false">IF($A100="","",E100*IF(F100="",1,F100))</f>
        <v>32</v>
      </c>
      <c r="H100" s="31" t="n">
        <f aca="false">IF($A100="","",IF(SUMIF($A$6:$A$600,$A100,$G$6:$G$600)=0,0,G100/SUMIF($A$6:$A$600,$A100,$G$6:$G$600)))</f>
        <v>0.0697532478856047</v>
      </c>
      <c r="I100" s="30" t="n">
        <f aca="false">IF($A100="","",IFERROR(INDEX('Cotação de Materiais'!$H$4:$H$200,MATCH($A100,'Cotação de Materiais'!$A$4:$A$200,0)),IFERROR(INDEX('Mão de Obra e Serviços'!$G$4:$G$200,MATCH($A100,'Mão de Obra e Serviços'!$A$4:$A$200,0)),0)))</f>
        <v>8760</v>
      </c>
      <c r="K100" s="30" t="n">
        <f aca="false">IF($A100="","",I100*H100)</f>
        <v>611.038451477897</v>
      </c>
      <c r="L100" s="58" t="s">
        <v>466</v>
      </c>
      <c r="M100" s="54" t="str">
        <f aca="false">IF($A100="","",IF(B100="CÓDIGO?","CÓDIGO NÃO ACHADO",IF($D100="","FALTA ITEM DO ANEXO",IF($D100="INDIRETO","",IF(COUNTIFS('Anexo III'!$B$8:$B$400,$D100,'Anexo III'!$E$8:$E$400,"&gt;0")=0,"ITEM NÃO ACHADO NO ANEXO","")))))</f>
        <v/>
      </c>
    </row>
    <row r="101" customFormat="false" ht="15" hidden="false" customHeight="false" outlineLevel="0" collapsed="false">
      <c r="A101" s="52" t="s">
        <v>252</v>
      </c>
      <c r="B101" s="53" t="str">
        <f aca="false">IF($A101="","",IF(ISNUMBER(MATCH($A101,'Cotação de Materiais'!$A$4:$A$200,0)),"MAT",IF(ISNUMBER(MATCH($A101,'Mão de Obra e Serviços'!$A$4:$A$200,0)),"MO","CÓDIGO?")))</f>
        <v>MAT</v>
      </c>
      <c r="C101" s="54" t="str">
        <f aca="false">IF($A101="","",IFERROR(INDEX('Cotação de Materiais'!$C$4:$C$200,MATCH($A101,'Cotação de Materiais'!$A$4:$A$200,0)),IFERROR(INDEX('Mão de Obra e Serviços'!$B$4:$B$200,MATCH($A101,'Mão de Obra e Serviços'!$A$4:$A$200,0)),"")))</f>
        <v>Retardante de Chamas CKC-2020</v>
      </c>
      <c r="D101" s="52" t="s">
        <v>401</v>
      </c>
      <c r="E101" s="55" t="n">
        <v>25</v>
      </c>
      <c r="F101" s="56" t="n">
        <v>1</v>
      </c>
      <c r="G101" s="57" t="n">
        <f aca="false">IF($A101="","",E101*IF(F101="",1,F101))</f>
        <v>25</v>
      </c>
      <c r="H101" s="31" t="n">
        <f aca="false">IF($A101="","",IF(SUMIF($A$6:$A$600,$A101,$G$6:$G$600)=0,0,G101/SUMIF($A$6:$A$600,$A101,$G$6:$G$600)))</f>
        <v>0.0544947249106287</v>
      </c>
      <c r="I101" s="30" t="n">
        <f aca="false">IF($A101="","",IFERROR(INDEX('Cotação de Materiais'!$H$4:$H$200,MATCH($A101,'Cotação de Materiais'!$A$4:$A$200,0)),IFERROR(INDEX('Mão de Obra e Serviços'!$G$4:$G$200,MATCH($A101,'Mão de Obra e Serviços'!$A$4:$A$200,0)),0)))</f>
        <v>8760</v>
      </c>
      <c r="K101" s="30" t="n">
        <f aca="false">IF($A101="","",I101*H101)</f>
        <v>477.373790217107</v>
      </c>
      <c r="L101" s="58" t="s">
        <v>466</v>
      </c>
      <c r="M101" s="54" t="str">
        <f aca="false">IF($A101="","",IF(B101="CÓDIGO?","CÓDIGO NÃO ACHADO",IF($D101="","FALTA ITEM DO ANEXO",IF($D101="INDIRETO","",IF(COUNTIFS('Anexo III'!$B$8:$B$400,$D101,'Anexo III'!$E$8:$E$400,"&gt;0")=0,"ITEM NÃO ACHADO NO ANEXO","")))))</f>
        <v/>
      </c>
    </row>
    <row r="102" customFormat="false" ht="15" hidden="false" customHeight="false" outlineLevel="0" collapsed="false">
      <c r="A102" s="52" t="s">
        <v>252</v>
      </c>
      <c r="B102" s="53" t="str">
        <f aca="false">IF($A102="","",IF(ISNUMBER(MATCH($A102,'Cotação de Materiais'!$A$4:$A$200,0)),"MAT",IF(ISNUMBER(MATCH($A102,'Mão de Obra e Serviços'!$A$4:$A$200,0)),"MO","CÓDIGO?")))</f>
        <v>MAT</v>
      </c>
      <c r="C102" s="54" t="str">
        <f aca="false">IF($A102="","",IFERROR(INDEX('Cotação de Materiais'!$C$4:$C$200,MATCH($A102,'Cotação de Materiais'!$A$4:$A$200,0)),IFERROR(INDEX('Mão de Obra e Serviços'!$B$4:$B$200,MATCH($A102,'Mão de Obra e Serviços'!$A$4:$A$200,0)),"")))</f>
        <v>Retardante de Chamas CKC-2020</v>
      </c>
      <c r="D102" s="52" t="s">
        <v>402</v>
      </c>
      <c r="E102" s="55" t="n">
        <v>16.5</v>
      </c>
      <c r="F102" s="56" t="n">
        <v>1</v>
      </c>
      <c r="G102" s="57" t="n">
        <f aca="false">IF($A102="","",E102*IF(F102="",1,F102))</f>
        <v>16.5</v>
      </c>
      <c r="H102" s="31" t="n">
        <f aca="false">IF($A102="","",IF(SUMIF($A$6:$A$600,$A102,$G$6:$G$600)=0,0,G102/SUMIF($A$6:$A$600,$A102,$G$6:$G$600)))</f>
        <v>0.0359665184410149</v>
      </c>
      <c r="I102" s="30" t="n">
        <f aca="false">IF($A102="","",IFERROR(INDEX('Cotação de Materiais'!$H$4:$H$200,MATCH($A102,'Cotação de Materiais'!$A$4:$A$200,0)),IFERROR(INDEX('Mão de Obra e Serviços'!$G$4:$G$200,MATCH($A102,'Mão de Obra e Serviços'!$A$4:$A$200,0)),0)))</f>
        <v>8760</v>
      </c>
      <c r="K102" s="30" t="n">
        <f aca="false">IF($A102="","",I102*H102)</f>
        <v>315.066701543291</v>
      </c>
      <c r="L102" s="58" t="s">
        <v>466</v>
      </c>
      <c r="M102" s="54" t="str">
        <f aca="false">IF($A102="","",IF(B102="CÓDIGO?","CÓDIGO NÃO ACHADO",IF($D102="","FALTA ITEM DO ANEXO",IF($D102="INDIRETO","",IF(COUNTIFS('Anexo III'!$B$8:$B$400,$D102,'Anexo III'!$E$8:$E$400,"&gt;0")=0,"ITEM NÃO ACHADO NO ANEXO","")))))</f>
        <v/>
      </c>
    </row>
    <row r="103" customFormat="false" ht="15" hidden="false" customHeight="false" outlineLevel="0" collapsed="false">
      <c r="A103" s="52" t="s">
        <v>252</v>
      </c>
      <c r="B103" s="53" t="str">
        <f aca="false">IF($A103="","",IF(ISNUMBER(MATCH($A103,'Cotação de Materiais'!$A$4:$A$200,0)),"MAT",IF(ISNUMBER(MATCH($A103,'Mão de Obra e Serviços'!$A$4:$A$200,0)),"MO","CÓDIGO?")))</f>
        <v>MAT</v>
      </c>
      <c r="C103" s="54" t="str">
        <f aca="false">IF($A103="","",IFERROR(INDEX('Cotação de Materiais'!$C$4:$C$200,MATCH($A103,'Cotação de Materiais'!$A$4:$A$200,0)),IFERROR(INDEX('Mão de Obra e Serviços'!$B$4:$B$200,MATCH($A103,'Mão de Obra e Serviços'!$A$4:$A$200,0)),"")))</f>
        <v>Retardante de Chamas CKC-2020</v>
      </c>
      <c r="D103" s="52" t="s">
        <v>403</v>
      </c>
      <c r="E103" s="55" t="n">
        <v>3.8</v>
      </c>
      <c r="F103" s="56" t="n">
        <v>1</v>
      </c>
      <c r="G103" s="57" t="n">
        <f aca="false">IF($A103="","",E103*IF(F103="",1,F103))</f>
        <v>3.8</v>
      </c>
      <c r="H103" s="31" t="n">
        <f aca="false">IF($A103="","",IF(SUMIF($A$6:$A$600,$A103,$G$6:$G$600)=0,0,G103/SUMIF($A$6:$A$600,$A103,$G$6:$G$600)))</f>
        <v>0.00828319818641556</v>
      </c>
      <c r="I103" s="30" t="n">
        <f aca="false">IF($A103="","",IFERROR(INDEX('Cotação de Materiais'!$H$4:$H$200,MATCH($A103,'Cotação de Materiais'!$A$4:$A$200,0)),IFERROR(INDEX('Mão de Obra e Serviços'!$G$4:$G$200,MATCH($A103,'Mão de Obra e Serviços'!$A$4:$A$200,0)),0)))</f>
        <v>8760</v>
      </c>
      <c r="K103" s="30" t="n">
        <f aca="false">IF($A103="","",I103*H103)</f>
        <v>72.5608161130003</v>
      </c>
      <c r="L103" s="58" t="s">
        <v>466</v>
      </c>
      <c r="M103" s="54" t="str">
        <f aca="false">IF($A103="","",IF(B103="CÓDIGO?","CÓDIGO NÃO ACHADO",IF($D103="","FALTA ITEM DO ANEXO",IF($D103="INDIRETO","",IF(COUNTIFS('Anexo III'!$B$8:$B$400,$D103,'Anexo III'!$E$8:$E$400,"&gt;0")=0,"ITEM NÃO ACHADO NO ANEXO","")))))</f>
        <v/>
      </c>
    </row>
    <row r="104" customFormat="false" ht="15" hidden="false" customHeight="false" outlineLevel="0" collapsed="false">
      <c r="A104" s="52" t="s">
        <v>252</v>
      </c>
      <c r="B104" s="53" t="str">
        <f aca="false">IF($A104="","",IF(ISNUMBER(MATCH($A104,'Cotação de Materiais'!$A$4:$A$200,0)),"MAT",IF(ISNUMBER(MATCH($A104,'Mão de Obra e Serviços'!$A$4:$A$200,0)),"MO","CÓDIGO?")))</f>
        <v>MAT</v>
      </c>
      <c r="C104" s="54" t="str">
        <f aca="false">IF($A104="","",IFERROR(INDEX('Cotação de Materiais'!$C$4:$C$200,MATCH($A104,'Cotação de Materiais'!$A$4:$A$200,0)),IFERROR(INDEX('Mão de Obra e Serviços'!$B$4:$B$200,MATCH($A104,'Mão de Obra e Serviços'!$A$4:$A$200,0)),"")))</f>
        <v>Retardante de Chamas CKC-2020</v>
      </c>
      <c r="D104" s="52" t="s">
        <v>404</v>
      </c>
      <c r="E104" s="55" t="n">
        <v>5.2</v>
      </c>
      <c r="F104" s="56" t="n">
        <v>1</v>
      </c>
      <c r="G104" s="57" t="n">
        <f aca="false">IF($A104="","",E104*IF(F104="",1,F104))</f>
        <v>5.2</v>
      </c>
      <c r="H104" s="31" t="n">
        <f aca="false">IF($A104="","",IF(SUMIF($A$6:$A$600,$A104,$G$6:$G$600)=0,0,G104/SUMIF($A$6:$A$600,$A104,$G$6:$G$600)))</f>
        <v>0.0113349027814108</v>
      </c>
      <c r="I104" s="30" t="n">
        <f aca="false">IF($A104="","",IFERROR(INDEX('Cotação de Materiais'!$H$4:$H$200,MATCH($A104,'Cotação de Materiais'!$A$4:$A$200,0)),IFERROR(INDEX('Mão de Obra e Serviços'!$G$4:$G$200,MATCH($A104,'Mão de Obra e Serviços'!$A$4:$A$200,0)),0)))</f>
        <v>8760</v>
      </c>
      <c r="K104" s="30" t="n">
        <f aca="false">IF($A104="","",I104*H104)</f>
        <v>99.2937483651583</v>
      </c>
      <c r="L104" s="58" t="s">
        <v>466</v>
      </c>
      <c r="M104" s="54" t="str">
        <f aca="false">IF($A104="","",IF(B104="CÓDIGO?","CÓDIGO NÃO ACHADO",IF($D104="","FALTA ITEM DO ANEXO",IF($D104="INDIRETO","",IF(COUNTIFS('Anexo III'!$B$8:$B$400,$D104,'Anexo III'!$E$8:$E$400,"&gt;0")=0,"ITEM NÃO ACHADO NO ANEXO","")))))</f>
        <v/>
      </c>
    </row>
    <row r="105" customFormat="false" ht="15" hidden="false" customHeight="false" outlineLevel="0" collapsed="false">
      <c r="A105" s="52" t="s">
        <v>252</v>
      </c>
      <c r="B105" s="53" t="str">
        <f aca="false">IF($A105="","",IF(ISNUMBER(MATCH($A105,'Cotação de Materiais'!$A$4:$A$200,0)),"MAT",IF(ISNUMBER(MATCH($A105,'Mão de Obra e Serviços'!$A$4:$A$200,0)),"MO","CÓDIGO?")))</f>
        <v>MAT</v>
      </c>
      <c r="C105" s="54" t="str">
        <f aca="false">IF($A105="","",IFERROR(INDEX('Cotação de Materiais'!$C$4:$C$200,MATCH($A105,'Cotação de Materiais'!$A$4:$A$200,0)),IFERROR(INDEX('Mão de Obra e Serviços'!$B$4:$B$200,MATCH($A105,'Mão de Obra e Serviços'!$A$4:$A$200,0)),"")))</f>
        <v>Retardante de Chamas CKC-2020</v>
      </c>
      <c r="D105" s="52" t="s">
        <v>405</v>
      </c>
      <c r="E105" s="55" t="n">
        <v>35</v>
      </c>
      <c r="F105" s="56" t="n">
        <v>1</v>
      </c>
      <c r="G105" s="57" t="n">
        <f aca="false">IF($A105="","",E105*IF(F105="",1,F105))</f>
        <v>35</v>
      </c>
      <c r="H105" s="31" t="n">
        <f aca="false">IF($A105="","",IF(SUMIF($A$6:$A$600,$A105,$G$6:$G$600)=0,0,G105/SUMIF($A$6:$A$600,$A105,$G$6:$G$600)))</f>
        <v>0.0762926148748801</v>
      </c>
      <c r="I105" s="30" t="n">
        <f aca="false">IF($A105="","",IFERROR(INDEX('Cotação de Materiais'!$H$4:$H$200,MATCH($A105,'Cotação de Materiais'!$A$4:$A$200,0)),IFERROR(INDEX('Mão de Obra e Serviços'!$G$4:$G$200,MATCH($A105,'Mão de Obra e Serviços'!$A$4:$A$200,0)),0)))</f>
        <v>8760</v>
      </c>
      <c r="K105" s="30" t="n">
        <f aca="false">IF($A105="","",I105*H105)</f>
        <v>668.32330630395</v>
      </c>
      <c r="L105" s="58" t="s">
        <v>466</v>
      </c>
      <c r="M105" s="54" t="str">
        <f aca="false">IF($A105="","",IF(B105="CÓDIGO?","CÓDIGO NÃO ACHADO",IF($D105="","FALTA ITEM DO ANEXO",IF($D105="INDIRETO","",IF(COUNTIFS('Anexo III'!$B$8:$B$400,$D105,'Anexo III'!$E$8:$E$400,"&gt;0")=0,"ITEM NÃO ACHADO NO ANEXO","")))))</f>
        <v/>
      </c>
    </row>
    <row r="106" customFormat="false" ht="15" hidden="false" customHeight="false" outlineLevel="0" collapsed="false">
      <c r="A106" s="52" t="s">
        <v>252</v>
      </c>
      <c r="B106" s="53" t="str">
        <f aca="false">IF($A106="","",IF(ISNUMBER(MATCH($A106,'Cotação de Materiais'!$A$4:$A$200,0)),"MAT",IF(ISNUMBER(MATCH($A106,'Mão de Obra e Serviços'!$A$4:$A$200,0)),"MO","CÓDIGO?")))</f>
        <v>MAT</v>
      </c>
      <c r="C106" s="54" t="str">
        <f aca="false">IF($A106="","",IFERROR(INDEX('Cotação de Materiais'!$C$4:$C$200,MATCH($A106,'Cotação de Materiais'!$A$4:$A$200,0)),IFERROR(INDEX('Mão de Obra e Serviços'!$B$4:$B$200,MATCH($A106,'Mão de Obra e Serviços'!$A$4:$A$200,0)),"")))</f>
        <v>Retardante de Chamas CKC-2020</v>
      </c>
      <c r="D106" s="52" t="s">
        <v>406</v>
      </c>
      <c r="E106" s="55" t="n">
        <v>97</v>
      </c>
      <c r="F106" s="56" t="n">
        <v>1</v>
      </c>
      <c r="G106" s="57" t="n">
        <f aca="false">IF($A106="","",E106*IF(F106="",1,F106))</f>
        <v>97</v>
      </c>
      <c r="H106" s="31" t="n">
        <f aca="false">IF($A106="","",IF(SUMIF($A$6:$A$600,$A106,$G$6:$G$600)=0,0,G106/SUMIF($A$6:$A$600,$A106,$G$6:$G$600)))</f>
        <v>0.211439532653239</v>
      </c>
      <c r="I106" s="30" t="n">
        <f aca="false">IF($A106="","",IFERROR(INDEX('Cotação de Materiais'!$H$4:$H$200,MATCH($A106,'Cotação de Materiais'!$A$4:$A$200,0)),IFERROR(INDEX('Mão de Obra e Serviços'!$G$4:$G$200,MATCH($A106,'Mão de Obra e Serviços'!$A$4:$A$200,0)),0)))</f>
        <v>8760</v>
      </c>
      <c r="K106" s="30" t="n">
        <f aca="false">IF($A106="","",I106*H106)</f>
        <v>1852.21030604238</v>
      </c>
      <c r="L106" s="58" t="s">
        <v>466</v>
      </c>
      <c r="M106" s="54" t="str">
        <f aca="false">IF($A106="","",IF(B106="CÓDIGO?","CÓDIGO NÃO ACHADO",IF($D106="","FALTA ITEM DO ANEXO",IF($D106="INDIRETO","",IF(COUNTIFS('Anexo III'!$B$8:$B$400,$D106,'Anexo III'!$E$8:$E$400,"&gt;0")=0,"ITEM NÃO ACHADO NO ANEXO","")))))</f>
        <v/>
      </c>
    </row>
    <row r="107" customFormat="false" ht="15" hidden="false" customHeight="false" outlineLevel="0" collapsed="false">
      <c r="A107" s="52" t="s">
        <v>252</v>
      </c>
      <c r="B107" s="53" t="str">
        <f aca="false">IF($A107="","",IF(ISNUMBER(MATCH($A107,'Cotação de Materiais'!$A$4:$A$200,0)),"MAT",IF(ISNUMBER(MATCH($A107,'Mão de Obra e Serviços'!$A$4:$A$200,0)),"MO","CÓDIGO?")))</f>
        <v>MAT</v>
      </c>
      <c r="C107" s="54" t="str">
        <f aca="false">IF($A107="","",IFERROR(INDEX('Cotação de Materiais'!$C$4:$C$200,MATCH($A107,'Cotação de Materiais'!$A$4:$A$200,0)),IFERROR(INDEX('Mão de Obra e Serviços'!$B$4:$B$200,MATCH($A107,'Mão de Obra e Serviços'!$A$4:$A$200,0)),"")))</f>
        <v>Retardante de Chamas CKC-2020</v>
      </c>
      <c r="D107" s="52" t="s">
        <v>407</v>
      </c>
      <c r="E107" s="55" t="n">
        <v>38.58</v>
      </c>
      <c r="F107" s="56" t="n">
        <v>1</v>
      </c>
      <c r="G107" s="57" t="n">
        <f aca="false">IF($A107="","",E107*IF(F107="",1,F107))</f>
        <v>38.58</v>
      </c>
      <c r="H107" s="31" t="n">
        <f aca="false">IF($A107="","",IF(SUMIF($A$6:$A$600,$A107,$G$6:$G$600)=0,0,G107/SUMIF($A$6:$A$600,$A107,$G$6:$G$600)))</f>
        <v>0.0840962594820821</v>
      </c>
      <c r="I107" s="30" t="n">
        <f aca="false">IF($A107="","",IFERROR(INDEX('Cotação de Materiais'!$H$4:$H$200,MATCH($A107,'Cotação de Materiais'!$A$4:$A$200,0)),IFERROR(INDEX('Mão de Obra e Serviços'!$G$4:$G$200,MATCH($A107,'Mão de Obra e Serviços'!$A$4:$A$200,0)),0)))</f>
        <v>8760</v>
      </c>
      <c r="K107" s="30" t="n">
        <f aca="false">IF($A107="","",I107*H107)</f>
        <v>736.683233063039</v>
      </c>
      <c r="L107" s="58" t="s">
        <v>466</v>
      </c>
      <c r="M107" s="54" t="str">
        <f aca="false">IF($A107="","",IF(B107="CÓDIGO?","CÓDIGO NÃO ACHADO",IF($D107="","FALTA ITEM DO ANEXO",IF($D107="INDIRETO","",IF(COUNTIFS('Anexo III'!$B$8:$B$400,$D107,'Anexo III'!$E$8:$E$400,"&gt;0")=0,"ITEM NÃO ACHADO NO ANEXO","")))))</f>
        <v/>
      </c>
    </row>
    <row r="108" customFormat="false" ht="15" hidden="false" customHeight="false" outlineLevel="0" collapsed="false">
      <c r="A108" s="52" t="s">
        <v>252</v>
      </c>
      <c r="B108" s="53" t="str">
        <f aca="false">IF($A108="","",IF(ISNUMBER(MATCH($A108,'Cotação de Materiais'!$A$4:$A$200,0)),"MAT",IF(ISNUMBER(MATCH($A108,'Mão de Obra e Serviços'!$A$4:$A$200,0)),"MO","CÓDIGO?")))</f>
        <v>MAT</v>
      </c>
      <c r="C108" s="54" t="str">
        <f aca="false">IF($A108="","",IFERROR(INDEX('Cotação de Materiais'!$C$4:$C$200,MATCH($A108,'Cotação de Materiais'!$A$4:$A$200,0)),IFERROR(INDEX('Mão de Obra e Serviços'!$B$4:$B$200,MATCH($A108,'Mão de Obra e Serviços'!$A$4:$A$200,0)),"")))</f>
        <v>Retardante de Chamas CKC-2020</v>
      </c>
      <c r="D108" s="52" t="s">
        <v>408</v>
      </c>
      <c r="E108" s="55" t="n">
        <v>12.5</v>
      </c>
      <c r="F108" s="56" t="n">
        <v>1</v>
      </c>
      <c r="G108" s="57" t="n">
        <f aca="false">IF($A108="","",E108*IF(F108="",1,F108))</f>
        <v>12.5</v>
      </c>
      <c r="H108" s="31" t="n">
        <f aca="false">IF($A108="","",IF(SUMIF($A$6:$A$600,$A108,$G$6:$G$600)=0,0,G108/SUMIF($A$6:$A$600,$A108,$G$6:$G$600)))</f>
        <v>0.0272473624553143</v>
      </c>
      <c r="I108" s="30" t="n">
        <f aca="false">IF($A108="","",IFERROR(INDEX('Cotação de Materiais'!$H$4:$H$200,MATCH($A108,'Cotação de Materiais'!$A$4:$A$200,0)),IFERROR(INDEX('Mão de Obra e Serviços'!$G$4:$G$200,MATCH($A108,'Mão de Obra e Serviços'!$A$4:$A$200,0)),0)))</f>
        <v>8760</v>
      </c>
      <c r="K108" s="30" t="n">
        <f aca="false">IF($A108="","",I108*H108)</f>
        <v>238.686895108554</v>
      </c>
      <c r="L108" s="58" t="s">
        <v>466</v>
      </c>
      <c r="M108" s="54" t="str">
        <f aca="false">IF($A108="","",IF(B108="CÓDIGO?","CÓDIGO NÃO ACHADO",IF($D108="","FALTA ITEM DO ANEXO",IF($D108="INDIRETO","",IF(COUNTIFS('Anexo III'!$B$8:$B$400,$D108,'Anexo III'!$E$8:$E$400,"&gt;0")=0,"ITEM NÃO ACHADO NO ANEXO","")))))</f>
        <v/>
      </c>
    </row>
    <row r="109" customFormat="false" ht="15" hidden="false" customHeight="false" outlineLevel="0" collapsed="false">
      <c r="A109" s="52" t="s">
        <v>252</v>
      </c>
      <c r="B109" s="53" t="str">
        <f aca="false">IF($A109="","",IF(ISNUMBER(MATCH($A109,'Cotação de Materiais'!$A$4:$A$200,0)),"MAT",IF(ISNUMBER(MATCH($A109,'Mão de Obra e Serviços'!$A$4:$A$200,0)),"MO","CÓDIGO?")))</f>
        <v>MAT</v>
      </c>
      <c r="C109" s="54" t="str">
        <f aca="false">IF($A109="","",IFERROR(INDEX('Cotação de Materiais'!$C$4:$C$200,MATCH($A109,'Cotação de Materiais'!$A$4:$A$200,0)),IFERROR(INDEX('Mão de Obra e Serviços'!$B$4:$B$200,MATCH($A109,'Mão de Obra e Serviços'!$A$4:$A$200,0)),"")))</f>
        <v>Retardante de Chamas CKC-2020</v>
      </c>
      <c r="D109" s="52" t="s">
        <v>409</v>
      </c>
      <c r="E109" s="55" t="n">
        <v>2.11</v>
      </c>
      <c r="F109" s="56" t="n">
        <v>1</v>
      </c>
      <c r="G109" s="57" t="n">
        <f aca="false">IF($A109="","",E109*IF(F109="",1,F109))</f>
        <v>2.11</v>
      </c>
      <c r="H109" s="31" t="n">
        <f aca="false">IF($A109="","",IF(SUMIF($A$6:$A$600,$A109,$G$6:$G$600)=0,0,G109/SUMIF($A$6:$A$600,$A109,$G$6:$G$600)))</f>
        <v>0.00459935478245706</v>
      </c>
      <c r="I109" s="30" t="n">
        <f aca="false">IF($A109="","",IFERROR(INDEX('Cotação de Materiais'!$H$4:$H$200,MATCH($A109,'Cotação de Materiais'!$A$4:$A$200,0)),IFERROR(INDEX('Mão de Obra e Serviços'!$G$4:$G$200,MATCH($A109,'Mão de Obra e Serviços'!$A$4:$A$200,0)),0)))</f>
        <v>8760</v>
      </c>
      <c r="K109" s="30" t="n">
        <f aca="false">IF($A109="","",I109*H109)</f>
        <v>40.2903478943238</v>
      </c>
      <c r="L109" s="58" t="s">
        <v>466</v>
      </c>
      <c r="M109" s="54" t="str">
        <f aca="false">IF($A109="","",IF(B109="CÓDIGO?","CÓDIGO NÃO ACHADO",IF($D109="","FALTA ITEM DO ANEXO",IF($D109="INDIRETO","",IF(COUNTIFS('Anexo III'!$B$8:$B$400,$D109,'Anexo III'!$E$8:$E$400,"&gt;0")=0,"ITEM NÃO ACHADO NO ANEXO","")))))</f>
        <v/>
      </c>
    </row>
    <row r="110" customFormat="false" ht="15" hidden="false" customHeight="false" outlineLevel="0" collapsed="false">
      <c r="A110" s="52" t="s">
        <v>252</v>
      </c>
      <c r="B110" s="53" t="str">
        <f aca="false">IF($A110="","",IF(ISNUMBER(MATCH($A110,'Cotação de Materiais'!$A$4:$A$200,0)),"MAT",IF(ISNUMBER(MATCH($A110,'Mão de Obra e Serviços'!$A$4:$A$200,0)),"MO","CÓDIGO?")))</f>
        <v>MAT</v>
      </c>
      <c r="C110" s="54" t="str">
        <f aca="false">IF($A110="","",IFERROR(INDEX('Cotação de Materiais'!$C$4:$C$200,MATCH($A110,'Cotação de Materiais'!$A$4:$A$200,0)),IFERROR(INDEX('Mão de Obra e Serviços'!$B$4:$B$200,MATCH($A110,'Mão de Obra e Serviços'!$A$4:$A$200,0)),"")))</f>
        <v>Retardante de Chamas CKC-2020</v>
      </c>
      <c r="D110" s="52" t="s">
        <v>410</v>
      </c>
      <c r="E110" s="55" t="n">
        <v>14.85</v>
      </c>
      <c r="F110" s="56" t="n">
        <v>1</v>
      </c>
      <c r="G110" s="57" t="n">
        <f aca="false">IF($A110="","",E110*IF(F110="",1,F110))</f>
        <v>14.85</v>
      </c>
      <c r="H110" s="31" t="n">
        <f aca="false">IF($A110="","",IF(SUMIF($A$6:$A$600,$A110,$G$6:$G$600)=0,0,G110/SUMIF($A$6:$A$600,$A110,$G$6:$G$600)))</f>
        <v>0.0323698665969134</v>
      </c>
      <c r="I110" s="30" t="n">
        <f aca="false">IF($A110="","",IFERROR(INDEX('Cotação de Materiais'!$H$4:$H$200,MATCH($A110,'Cotação de Materiais'!$A$4:$A$200,0)),IFERROR(INDEX('Mão de Obra e Serviços'!$G$4:$G$200,MATCH($A110,'Mão de Obra e Serviços'!$A$4:$A$200,0)),0)))</f>
        <v>8760</v>
      </c>
      <c r="K110" s="30" t="n">
        <f aca="false">IF($A110="","",I110*H110)</f>
        <v>283.560031388962</v>
      </c>
      <c r="L110" s="58" t="s">
        <v>466</v>
      </c>
      <c r="M110" s="54" t="str">
        <f aca="false">IF($A110="","",IF(B110="CÓDIGO?","CÓDIGO NÃO ACHADO",IF($D110="","FALTA ITEM DO ANEXO",IF($D110="INDIRETO","",IF(COUNTIFS('Anexo III'!$B$8:$B$400,$D110,'Anexo III'!$E$8:$E$400,"&gt;0")=0,"ITEM NÃO ACHADO NO ANEXO","")))))</f>
        <v/>
      </c>
    </row>
    <row r="111" customFormat="false" ht="15" hidden="false" customHeight="false" outlineLevel="0" collapsed="false">
      <c r="A111" s="52" t="s">
        <v>252</v>
      </c>
      <c r="B111" s="53" t="str">
        <f aca="false">IF($A111="","",IF(ISNUMBER(MATCH($A111,'Cotação de Materiais'!$A$4:$A$200,0)),"MAT",IF(ISNUMBER(MATCH($A111,'Mão de Obra e Serviços'!$A$4:$A$200,0)),"MO","CÓDIGO?")))</f>
        <v>MAT</v>
      </c>
      <c r="C111" s="54" t="str">
        <f aca="false">IF($A111="","",IFERROR(INDEX('Cotação de Materiais'!$C$4:$C$200,MATCH($A111,'Cotação de Materiais'!$A$4:$A$200,0)),IFERROR(INDEX('Mão de Obra e Serviços'!$B$4:$B$200,MATCH($A111,'Mão de Obra e Serviços'!$A$4:$A$200,0)),"")))</f>
        <v>Retardante de Chamas CKC-2020</v>
      </c>
      <c r="D111" s="52" t="s">
        <v>411</v>
      </c>
      <c r="E111" s="55" t="n">
        <v>6.86</v>
      </c>
      <c r="F111" s="56" t="n">
        <v>1</v>
      </c>
      <c r="G111" s="57" t="n">
        <f aca="false">IF($A111="","",E111*IF(F111="",1,F111))</f>
        <v>6.86</v>
      </c>
      <c r="H111" s="31" t="n">
        <f aca="false">IF($A111="","",IF(SUMIF($A$6:$A$600,$A111,$G$6:$G$600)=0,0,G111/SUMIF($A$6:$A$600,$A111,$G$6:$G$600)))</f>
        <v>0.0149533525154765</v>
      </c>
      <c r="I111" s="30" t="n">
        <f aca="false">IF($A111="","",IFERROR(INDEX('Cotação de Materiais'!$H$4:$H$200,MATCH($A111,'Cotação de Materiais'!$A$4:$A$200,0)),IFERROR(INDEX('Mão de Obra e Serviços'!$G$4:$G$200,MATCH($A111,'Mão de Obra e Serviços'!$A$4:$A$200,0)),0)))</f>
        <v>8760</v>
      </c>
      <c r="K111" s="30" t="n">
        <f aca="false">IF($A111="","",I111*H111)</f>
        <v>130.991368035574</v>
      </c>
      <c r="L111" s="58" t="s">
        <v>466</v>
      </c>
      <c r="M111" s="54" t="str">
        <f aca="false">IF($A111="","",IF(B111="CÓDIGO?","CÓDIGO NÃO ACHADO",IF($D111="","FALTA ITEM DO ANEXO",IF($D111="INDIRETO","",IF(COUNTIFS('Anexo III'!$B$8:$B$400,$D111,'Anexo III'!$E$8:$E$400,"&gt;0")=0,"ITEM NÃO ACHADO NO ANEXO","")))))</f>
        <v/>
      </c>
    </row>
    <row r="112" customFormat="false" ht="15" hidden="false" customHeight="false" outlineLevel="0" collapsed="false">
      <c r="A112" s="52" t="s">
        <v>252</v>
      </c>
      <c r="B112" s="53" t="str">
        <f aca="false">IF($A112="","",IF(ISNUMBER(MATCH($A112,'Cotação de Materiais'!$A$4:$A$200,0)),"MAT",IF(ISNUMBER(MATCH($A112,'Mão de Obra e Serviços'!$A$4:$A$200,0)),"MO","CÓDIGO?")))</f>
        <v>MAT</v>
      </c>
      <c r="C112" s="54" t="str">
        <f aca="false">IF($A112="","",IFERROR(INDEX('Cotação de Materiais'!$C$4:$C$200,MATCH($A112,'Cotação de Materiais'!$A$4:$A$200,0)),IFERROR(INDEX('Mão de Obra e Serviços'!$B$4:$B$200,MATCH($A112,'Mão de Obra e Serviços'!$A$4:$A$200,0)),"")))</f>
        <v>Retardante de Chamas CKC-2020</v>
      </c>
      <c r="D112" s="52" t="s">
        <v>412</v>
      </c>
      <c r="E112" s="55" t="n">
        <v>5.45</v>
      </c>
      <c r="F112" s="56" t="n">
        <v>1</v>
      </c>
      <c r="G112" s="57" t="n">
        <f aca="false">IF($A112="","",E112*IF(F112="",1,F112))</f>
        <v>5.45</v>
      </c>
      <c r="H112" s="31" t="n">
        <f aca="false">IF($A112="","",IF(SUMIF($A$6:$A$600,$A112,$G$6:$G$600)=0,0,G112/SUMIF($A$6:$A$600,$A112,$G$6:$G$600)))</f>
        <v>0.011879850030517</v>
      </c>
      <c r="I112" s="30" t="n">
        <f aca="false">IF($A112="","",IFERROR(INDEX('Cotação de Materiais'!$H$4:$H$200,MATCH($A112,'Cotação de Materiais'!$A$4:$A$200,0)),IFERROR(INDEX('Mão de Obra e Serviços'!$G$4:$G$200,MATCH($A112,'Mão de Obra e Serviços'!$A$4:$A$200,0)),0)))</f>
        <v>8760</v>
      </c>
      <c r="K112" s="30" t="n">
        <f aca="false">IF($A112="","",I112*H112)</f>
        <v>104.067486267329</v>
      </c>
      <c r="L112" s="58" t="s">
        <v>466</v>
      </c>
      <c r="M112" s="54" t="str">
        <f aca="false">IF($A112="","",IF(B112="CÓDIGO?","CÓDIGO NÃO ACHADO",IF($D112="","FALTA ITEM DO ANEXO",IF($D112="INDIRETO","",IF(COUNTIFS('Anexo III'!$B$8:$B$400,$D112,'Anexo III'!$E$8:$E$400,"&gt;0")=0,"ITEM NÃO ACHADO NO ANEXO","")))))</f>
        <v/>
      </c>
    </row>
    <row r="113" customFormat="false" ht="15" hidden="false" customHeight="false" outlineLevel="0" collapsed="false">
      <c r="A113" s="52" t="s">
        <v>252</v>
      </c>
      <c r="B113" s="53" t="str">
        <f aca="false">IF($A113="","",IF(ISNUMBER(MATCH($A113,'Cotação de Materiais'!$A$4:$A$200,0)),"MAT",IF(ISNUMBER(MATCH($A113,'Mão de Obra e Serviços'!$A$4:$A$200,0)),"MO","CÓDIGO?")))</f>
        <v>MAT</v>
      </c>
      <c r="C113" s="54" t="str">
        <f aca="false">IF($A113="","",IFERROR(INDEX('Cotação de Materiais'!$C$4:$C$200,MATCH($A113,'Cotação de Materiais'!$A$4:$A$200,0)),IFERROR(INDEX('Mão de Obra e Serviços'!$B$4:$B$200,MATCH($A113,'Mão de Obra e Serviços'!$A$4:$A$200,0)),"")))</f>
        <v>Retardante de Chamas CKC-2020</v>
      </c>
      <c r="D113" s="52" t="s">
        <v>413</v>
      </c>
      <c r="E113" s="55" t="n">
        <v>2.86</v>
      </c>
      <c r="F113" s="56" t="n">
        <v>1</v>
      </c>
      <c r="G113" s="57" t="n">
        <f aca="false">IF($A113="","",E113*IF(F113="",1,F113))</f>
        <v>2.86</v>
      </c>
      <c r="H113" s="31" t="n">
        <f aca="false">IF($A113="","",IF(SUMIF($A$6:$A$600,$A113,$G$6:$G$600)=0,0,G113/SUMIF($A$6:$A$600,$A113,$G$6:$G$600)))</f>
        <v>0.00623419652977592</v>
      </c>
      <c r="I113" s="30" t="n">
        <f aca="false">IF($A113="","",IFERROR(INDEX('Cotação de Materiais'!$H$4:$H$200,MATCH($A113,'Cotação de Materiais'!$A$4:$A$200,0)),IFERROR(INDEX('Mão de Obra e Serviços'!$G$4:$G$200,MATCH($A113,'Mão de Obra e Serviços'!$A$4:$A$200,0)),0)))</f>
        <v>8760</v>
      </c>
      <c r="K113" s="30" t="n">
        <f aca="false">IF($A113="","",I113*H113)</f>
        <v>54.611561600837</v>
      </c>
      <c r="L113" s="58" t="s">
        <v>466</v>
      </c>
      <c r="M113" s="54" t="str">
        <f aca="false">IF($A113="","",IF(B113="CÓDIGO?","CÓDIGO NÃO ACHADO",IF($D113="","FALTA ITEM DO ANEXO",IF($D113="INDIRETO","",IF(COUNTIFS('Anexo III'!$B$8:$B$400,$D113,'Anexo III'!$E$8:$E$400,"&gt;0")=0,"ITEM NÃO ACHADO NO ANEXO","")))))</f>
        <v/>
      </c>
    </row>
    <row r="114" customFormat="false" ht="15" hidden="false" customHeight="false" outlineLevel="0" collapsed="false">
      <c r="A114" s="52" t="s">
        <v>252</v>
      </c>
      <c r="B114" s="53" t="str">
        <f aca="false">IF($A114="","",IF(ISNUMBER(MATCH($A114,'Cotação de Materiais'!$A$4:$A$200,0)),"MAT",IF(ISNUMBER(MATCH($A114,'Mão de Obra e Serviços'!$A$4:$A$200,0)),"MO","CÓDIGO?")))</f>
        <v>MAT</v>
      </c>
      <c r="C114" s="54" t="str">
        <f aca="false">IF($A114="","",IFERROR(INDEX('Cotação de Materiais'!$C$4:$C$200,MATCH($A114,'Cotação de Materiais'!$A$4:$A$200,0)),IFERROR(INDEX('Mão de Obra e Serviços'!$B$4:$B$200,MATCH($A114,'Mão de Obra e Serviços'!$A$4:$A$200,0)),"")))</f>
        <v>Retardante de Chamas CKC-2020</v>
      </c>
      <c r="D114" s="52" t="s">
        <v>414</v>
      </c>
      <c r="E114" s="55" t="n">
        <v>3.98</v>
      </c>
      <c r="F114" s="56" t="n">
        <v>1</v>
      </c>
      <c r="G114" s="57" t="n">
        <f aca="false">IF($A114="","",E114*IF(F114="",1,F114))</f>
        <v>3.98</v>
      </c>
      <c r="H114" s="31" t="n">
        <f aca="false">IF($A114="","",IF(SUMIF($A$6:$A$600,$A114,$G$6:$G$600)=0,0,G114/SUMIF($A$6:$A$600,$A114,$G$6:$G$600)))</f>
        <v>0.00867556020577208</v>
      </c>
      <c r="I114" s="30" t="n">
        <f aca="false">IF($A114="","",IFERROR(INDEX('Cotação de Materiais'!$H$4:$H$200,MATCH($A114,'Cotação de Materiais'!$A$4:$A$200,0)),IFERROR(INDEX('Mão de Obra e Serviços'!$G$4:$G$200,MATCH($A114,'Mão de Obra e Serviços'!$A$4:$A$200,0)),0)))</f>
        <v>8760</v>
      </c>
      <c r="K114" s="30" t="n">
        <f aca="false">IF($A114="","",I114*H114)</f>
        <v>75.9979074025634</v>
      </c>
      <c r="L114" s="58" t="s">
        <v>466</v>
      </c>
      <c r="M114" s="54" t="str">
        <f aca="false">IF($A114="","",IF(B114="CÓDIGO?","CÓDIGO NÃO ACHADO",IF($D114="","FALTA ITEM DO ANEXO",IF($D114="INDIRETO","",IF(COUNTIFS('Anexo III'!$B$8:$B$400,$D114,'Anexo III'!$E$8:$E$400,"&gt;0")=0,"ITEM NÃO ACHADO NO ANEXO","")))))</f>
        <v/>
      </c>
    </row>
    <row r="115" customFormat="false" ht="15" hidden="false" customHeight="false" outlineLevel="0" collapsed="false">
      <c r="A115" s="52" t="s">
        <v>252</v>
      </c>
      <c r="B115" s="53" t="str">
        <f aca="false">IF($A115="","",IF(ISNUMBER(MATCH($A115,'Cotação de Materiais'!$A$4:$A$200,0)),"MAT",IF(ISNUMBER(MATCH($A115,'Mão de Obra e Serviços'!$A$4:$A$200,0)),"MO","CÓDIGO?")))</f>
        <v>MAT</v>
      </c>
      <c r="C115" s="54" t="str">
        <f aca="false">IF($A115="","",IFERROR(INDEX('Cotação de Materiais'!$C$4:$C$200,MATCH($A115,'Cotação de Materiais'!$A$4:$A$200,0)),IFERROR(INDEX('Mão de Obra e Serviços'!$B$4:$B$200,MATCH($A115,'Mão de Obra e Serviços'!$A$4:$A$200,0)),"")))</f>
        <v>Retardante de Chamas CKC-2020</v>
      </c>
      <c r="D115" s="52" t="s">
        <v>415</v>
      </c>
      <c r="E115" s="55" t="n">
        <v>2.88</v>
      </c>
      <c r="F115" s="56" t="n">
        <v>1</v>
      </c>
      <c r="G115" s="57" t="n">
        <f aca="false">IF($A115="","",E115*IF(F115="",1,F115))</f>
        <v>2.88</v>
      </c>
      <c r="H115" s="31" t="n">
        <f aca="false">IF($A115="","",IF(SUMIF($A$6:$A$600,$A115,$G$6:$G$600)=0,0,G115/SUMIF($A$6:$A$600,$A115,$G$6:$G$600)))</f>
        <v>0.00627779230970442</v>
      </c>
      <c r="I115" s="30" t="n">
        <f aca="false">IF($A115="","",IFERROR(INDEX('Cotação de Materiais'!$H$4:$H$200,MATCH($A115,'Cotação de Materiais'!$A$4:$A$200,0)),IFERROR(INDEX('Mão de Obra e Serviços'!$G$4:$G$200,MATCH($A115,'Mão de Obra e Serviços'!$A$4:$A$200,0)),0)))</f>
        <v>8760</v>
      </c>
      <c r="K115" s="30" t="n">
        <f aca="false">IF($A115="","",I115*H115)</f>
        <v>54.9934606330107</v>
      </c>
      <c r="L115" s="58" t="s">
        <v>466</v>
      </c>
      <c r="M115" s="54" t="str">
        <f aca="false">IF($A115="","",IF(B115="CÓDIGO?","CÓDIGO NÃO ACHADO",IF($D115="","FALTA ITEM DO ANEXO",IF($D115="INDIRETO","",IF(COUNTIFS('Anexo III'!$B$8:$B$400,$D115,'Anexo III'!$E$8:$E$400,"&gt;0")=0,"ITEM NÃO ACHADO NO ANEXO","")))))</f>
        <v/>
      </c>
    </row>
    <row r="116" customFormat="false" ht="15" hidden="false" customHeight="false" outlineLevel="0" collapsed="false">
      <c r="A116" s="52" t="s">
        <v>252</v>
      </c>
      <c r="B116" s="53" t="str">
        <f aca="false">IF($A116="","",IF(ISNUMBER(MATCH($A116,'Cotação de Materiais'!$A$4:$A$200,0)),"MAT",IF(ISNUMBER(MATCH($A116,'Mão de Obra e Serviços'!$A$4:$A$200,0)),"MO","CÓDIGO?")))</f>
        <v>MAT</v>
      </c>
      <c r="C116" s="54" t="str">
        <f aca="false">IF($A116="","",IFERROR(INDEX('Cotação de Materiais'!$C$4:$C$200,MATCH($A116,'Cotação de Materiais'!$A$4:$A$200,0)),IFERROR(INDEX('Mão de Obra e Serviços'!$B$4:$B$200,MATCH($A116,'Mão de Obra e Serviços'!$A$4:$A$200,0)),"")))</f>
        <v>Retardante de Chamas CKC-2020</v>
      </c>
      <c r="D116" s="52" t="s">
        <v>416</v>
      </c>
      <c r="E116" s="55" t="n">
        <v>17.78</v>
      </c>
      <c r="F116" s="56" t="n">
        <v>1</v>
      </c>
      <c r="G116" s="57" t="n">
        <f aca="false">IF($A116="","",E116*IF(F116="",1,F116))</f>
        <v>17.78</v>
      </c>
      <c r="H116" s="31" t="n">
        <f aca="false">IF($A116="","",IF(SUMIF($A$6:$A$600,$A116,$G$6:$G$600)=0,0,G116/SUMIF($A$6:$A$600,$A116,$G$6:$G$600)))</f>
        <v>0.0387566483564391</v>
      </c>
      <c r="I116" s="30" t="n">
        <f aca="false">IF($A116="","",IFERROR(INDEX('Cotação de Materiais'!$H$4:$H$200,MATCH($A116,'Cotação de Materiais'!$A$4:$A$200,0)),IFERROR(INDEX('Mão de Obra e Serviços'!$G$4:$G$200,MATCH($A116,'Mão de Obra e Serviços'!$A$4:$A$200,0)),0)))</f>
        <v>8760</v>
      </c>
      <c r="K116" s="30" t="n">
        <f aca="false">IF($A116="","",I116*H116)</f>
        <v>339.508239602407</v>
      </c>
      <c r="L116" s="58" t="s">
        <v>466</v>
      </c>
      <c r="M116" s="54" t="str">
        <f aca="false">IF($A116="","",IF(B116="CÓDIGO?","CÓDIGO NÃO ACHADO",IF($D116="","FALTA ITEM DO ANEXO",IF($D116="INDIRETO","",IF(COUNTIFS('Anexo III'!$B$8:$B$400,$D116,'Anexo III'!$E$8:$E$400,"&gt;0")=0,"ITEM NÃO ACHADO NO ANEXO","")))))</f>
        <v/>
      </c>
    </row>
    <row r="117" customFormat="false" ht="15" hidden="false" customHeight="false" outlineLevel="0" collapsed="false">
      <c r="A117" s="52" t="s">
        <v>252</v>
      </c>
      <c r="B117" s="53" t="str">
        <f aca="false">IF($A117="","",IF(ISNUMBER(MATCH($A117,'Cotação de Materiais'!$A$4:$A$200,0)),"MAT",IF(ISNUMBER(MATCH($A117,'Mão de Obra e Serviços'!$A$4:$A$200,0)),"MO","CÓDIGO?")))</f>
        <v>MAT</v>
      </c>
      <c r="C117" s="54" t="str">
        <f aca="false">IF($A117="","",IFERROR(INDEX('Cotação de Materiais'!$C$4:$C$200,MATCH($A117,'Cotação de Materiais'!$A$4:$A$200,0)),IFERROR(INDEX('Mão de Obra e Serviços'!$B$4:$B$200,MATCH($A117,'Mão de Obra e Serviços'!$A$4:$A$200,0)),"")))</f>
        <v>Retardante de Chamas CKC-2020</v>
      </c>
      <c r="D117" s="52" t="s">
        <v>417</v>
      </c>
      <c r="E117" s="55" t="n">
        <v>17.23</v>
      </c>
      <c r="F117" s="56" t="n">
        <v>1</v>
      </c>
      <c r="G117" s="57" t="n">
        <f aca="false">IF($A117="","",E117*IF(F117="",1,F117))</f>
        <v>17.23</v>
      </c>
      <c r="H117" s="31" t="n">
        <f aca="false">IF($A117="","",IF(SUMIF($A$6:$A$600,$A117,$G$6:$G$600)=0,0,G117/SUMIF($A$6:$A$600,$A117,$G$6:$G$600)))</f>
        <v>0.0375577644084053</v>
      </c>
      <c r="I117" s="30" t="n">
        <f aca="false">IF($A117="","",IFERROR(INDEX('Cotação de Materiais'!$H$4:$H$200,MATCH($A117,'Cotação de Materiais'!$A$4:$A$200,0)),IFERROR(INDEX('Mão de Obra e Serviços'!$G$4:$G$200,MATCH($A117,'Mão de Obra e Serviços'!$A$4:$A$200,0)),0)))</f>
        <v>8760</v>
      </c>
      <c r="K117" s="30" t="n">
        <f aca="false">IF($A117="","",I117*H117)</f>
        <v>329.00601621763</v>
      </c>
      <c r="L117" s="58" t="s">
        <v>466</v>
      </c>
      <c r="M117" s="54" t="str">
        <f aca="false">IF($A117="","",IF(B117="CÓDIGO?","CÓDIGO NÃO ACHADO",IF($D117="","FALTA ITEM DO ANEXO",IF($D117="INDIRETO","",IF(COUNTIFS('Anexo III'!$B$8:$B$400,$D117,'Anexo III'!$E$8:$E$400,"&gt;0")=0,"ITEM NÃO ACHADO NO ANEXO","")))))</f>
        <v/>
      </c>
    </row>
    <row r="118" customFormat="false" ht="15" hidden="false" customHeight="false" outlineLevel="0" collapsed="false">
      <c r="A118" s="52" t="s">
        <v>252</v>
      </c>
      <c r="B118" s="53" t="str">
        <f aca="false">IF($A118="","",IF(ISNUMBER(MATCH($A118,'Cotação de Materiais'!$A$4:$A$200,0)),"MAT",IF(ISNUMBER(MATCH($A118,'Mão de Obra e Serviços'!$A$4:$A$200,0)),"MO","CÓDIGO?")))</f>
        <v>MAT</v>
      </c>
      <c r="C118" s="54" t="str">
        <f aca="false">IF($A118="","",IFERROR(INDEX('Cotação de Materiais'!$C$4:$C$200,MATCH($A118,'Cotação de Materiais'!$A$4:$A$200,0)),IFERROR(INDEX('Mão de Obra e Serviços'!$B$4:$B$200,MATCH($A118,'Mão de Obra e Serviços'!$A$4:$A$200,0)),"")))</f>
        <v>Retardante de Chamas CKC-2020</v>
      </c>
      <c r="D118" s="52" t="s">
        <v>418</v>
      </c>
      <c r="E118" s="55" t="n">
        <v>32.41</v>
      </c>
      <c r="F118" s="56" t="n">
        <v>1</v>
      </c>
      <c r="G118" s="57" t="n">
        <f aca="false">IF($A118="","",E118*IF(F118="",1,F118))</f>
        <v>32.41</v>
      </c>
      <c r="H118" s="31" t="n">
        <f aca="false">IF($A118="","",IF(SUMIF($A$6:$A$600,$A118,$G$6:$G$600)=0,0,G118/SUMIF($A$6:$A$600,$A118,$G$6:$G$600)))</f>
        <v>0.070646961374139</v>
      </c>
      <c r="I118" s="30" t="n">
        <f aca="false">IF($A118="","",IFERROR(INDEX('Cotação de Materiais'!$H$4:$H$200,MATCH($A118,'Cotação de Materiais'!$A$4:$A$200,0)),IFERROR(INDEX('Mão de Obra e Serviços'!$G$4:$G$200,MATCH($A118,'Mão de Obra e Serviços'!$A$4:$A$200,0)),0)))</f>
        <v>8760</v>
      </c>
      <c r="K118" s="30" t="n">
        <f aca="false">IF($A118="","",I118*H118)</f>
        <v>618.867381637458</v>
      </c>
      <c r="L118" s="58" t="s">
        <v>466</v>
      </c>
      <c r="M118" s="54" t="str">
        <f aca="false">IF($A118="","",IF(B118="CÓDIGO?","CÓDIGO NÃO ACHADO",IF($D118="","FALTA ITEM DO ANEXO",IF($D118="INDIRETO","",IF(COUNTIFS('Anexo III'!$B$8:$B$400,$D118,'Anexo III'!$E$8:$E$400,"&gt;0")=0,"ITEM NÃO ACHADO NO ANEXO","")))))</f>
        <v/>
      </c>
    </row>
    <row r="119" customFormat="false" ht="15" hidden="false" customHeight="false" outlineLevel="0" collapsed="false">
      <c r="A119" s="52" t="s">
        <v>252</v>
      </c>
      <c r="B119" s="53" t="str">
        <f aca="false">IF($A119="","",IF(ISNUMBER(MATCH($A119,'Cotação de Materiais'!$A$4:$A$200,0)),"MAT",IF(ISNUMBER(MATCH($A119,'Mão de Obra e Serviços'!$A$4:$A$200,0)),"MO","CÓDIGO?")))</f>
        <v>MAT</v>
      </c>
      <c r="C119" s="54" t="str">
        <f aca="false">IF($A119="","",IFERROR(INDEX('Cotação de Materiais'!$C$4:$C$200,MATCH($A119,'Cotação de Materiais'!$A$4:$A$200,0)),IFERROR(INDEX('Mão de Obra e Serviços'!$B$4:$B$200,MATCH($A119,'Mão de Obra e Serviços'!$A$4:$A$200,0)),"")))</f>
        <v>Retardante de Chamas CKC-2020</v>
      </c>
      <c r="D119" s="52" t="s">
        <v>419</v>
      </c>
      <c r="E119" s="55" t="n">
        <v>5.86</v>
      </c>
      <c r="F119" s="56" t="n">
        <v>1</v>
      </c>
      <c r="G119" s="57" t="n">
        <f aca="false">IF($A119="","",E119*IF(F119="",1,F119))</f>
        <v>5.86</v>
      </c>
      <c r="H119" s="31" t="n">
        <f aca="false">IF($A119="","",IF(SUMIF($A$6:$A$600,$A119,$G$6:$G$600)=0,0,G119/SUMIF($A$6:$A$600,$A119,$G$6:$G$600)))</f>
        <v>0.0127735635190514</v>
      </c>
      <c r="I119" s="30" t="n">
        <f aca="false">IF($A119="","",IFERROR(INDEX('Cotação de Materiais'!$H$4:$H$200,MATCH($A119,'Cotação de Materiais'!$A$4:$A$200,0)),IFERROR(INDEX('Mão de Obra e Serviços'!$G$4:$G$200,MATCH($A119,'Mão de Obra e Serviços'!$A$4:$A$200,0)),0)))</f>
        <v>8760</v>
      </c>
      <c r="K119" s="30" t="n">
        <f aca="false">IF($A119="","",I119*H119)</f>
        <v>111.89641642689</v>
      </c>
      <c r="L119" s="58" t="s">
        <v>466</v>
      </c>
      <c r="M119" s="54" t="str">
        <f aca="false">IF($A119="","",IF(B119="CÓDIGO?","CÓDIGO NÃO ACHADO",IF($D119="","FALTA ITEM DO ANEXO",IF($D119="INDIRETO","",IF(COUNTIFS('Anexo III'!$B$8:$B$400,$D119,'Anexo III'!$E$8:$E$400,"&gt;0")=0,"ITEM NÃO ACHADO NO ANEXO","")))))</f>
        <v/>
      </c>
    </row>
    <row r="120" customFormat="false" ht="15" hidden="false" customHeight="false" outlineLevel="0" collapsed="false">
      <c r="A120" s="52" t="s">
        <v>252</v>
      </c>
      <c r="B120" s="53" t="str">
        <f aca="false">IF($A120="","",IF(ISNUMBER(MATCH($A120,'Cotação de Materiais'!$A$4:$A$200,0)),"MAT",IF(ISNUMBER(MATCH($A120,'Mão de Obra e Serviços'!$A$4:$A$200,0)),"MO","CÓDIGO?")))</f>
        <v>MAT</v>
      </c>
      <c r="C120" s="54" t="str">
        <f aca="false">IF($A120="","",IFERROR(INDEX('Cotação de Materiais'!$C$4:$C$200,MATCH($A120,'Cotação de Materiais'!$A$4:$A$200,0)),IFERROR(INDEX('Mão de Obra e Serviços'!$B$4:$B$200,MATCH($A120,'Mão de Obra e Serviços'!$A$4:$A$200,0)),"")))</f>
        <v>Retardante de Chamas CKC-2020</v>
      </c>
      <c r="D120" s="52" t="s">
        <v>421</v>
      </c>
      <c r="E120" s="55" t="n">
        <v>2.93</v>
      </c>
      <c r="F120" s="56" t="n">
        <v>1</v>
      </c>
      <c r="G120" s="57" t="n">
        <f aca="false">IF($A120="","",E120*IF(F120="",1,F120))</f>
        <v>2.93</v>
      </c>
      <c r="H120" s="31" t="n">
        <f aca="false">IF($A120="","",IF(SUMIF($A$6:$A$600,$A120,$G$6:$G$600)=0,0,G120/SUMIF($A$6:$A$600,$A120,$G$6:$G$600)))</f>
        <v>0.00638678175952568</v>
      </c>
      <c r="I120" s="30" t="n">
        <f aca="false">IF($A120="","",IFERROR(INDEX('Cotação de Materiais'!$H$4:$H$200,MATCH($A120,'Cotação de Materiais'!$A$4:$A$200,0)),IFERROR(INDEX('Mão de Obra e Serviços'!$G$4:$G$200,MATCH($A120,'Mão de Obra e Serviços'!$A$4:$A$200,0)),0)))</f>
        <v>8760</v>
      </c>
      <c r="K120" s="30" t="n">
        <f aca="false">IF($A120="","",I120*H120)</f>
        <v>55.9482082134449</v>
      </c>
      <c r="L120" s="58" t="s">
        <v>466</v>
      </c>
      <c r="M120" s="54" t="str">
        <f aca="false">IF($A120="","",IF(B120="CÓDIGO?","CÓDIGO NÃO ACHADO",IF($D120="","FALTA ITEM DO ANEXO",IF($D120="INDIRETO","",IF(COUNTIFS('Anexo III'!$B$8:$B$400,$D120,'Anexo III'!$E$8:$E$400,"&gt;0")=0,"ITEM NÃO ACHADO NO ANEXO","")))))</f>
        <v/>
      </c>
    </row>
    <row r="121" customFormat="false" ht="15" hidden="false" customHeight="false" outlineLevel="0" collapsed="false">
      <c r="A121" s="52" t="s">
        <v>252</v>
      </c>
      <c r="B121" s="53" t="str">
        <f aca="false">IF($A121="","",IF(ISNUMBER(MATCH($A121,'Cotação de Materiais'!$A$4:$A$200,0)),"MAT",IF(ISNUMBER(MATCH($A121,'Mão de Obra e Serviços'!$A$4:$A$200,0)),"MO","CÓDIGO?")))</f>
        <v>MAT</v>
      </c>
      <c r="C121" s="54" t="str">
        <f aca="false">IF($A121="","",IFERROR(INDEX('Cotação de Materiais'!$C$4:$C$200,MATCH($A121,'Cotação de Materiais'!$A$4:$A$200,0)),IFERROR(INDEX('Mão de Obra e Serviços'!$B$4:$B$200,MATCH($A121,'Mão de Obra e Serviços'!$A$4:$A$200,0)),"")))</f>
        <v>Retardante de Chamas CKC-2020</v>
      </c>
      <c r="D121" s="52" t="s">
        <v>422</v>
      </c>
      <c r="E121" s="55" t="n">
        <v>2.93</v>
      </c>
      <c r="F121" s="56" t="n">
        <v>1</v>
      </c>
      <c r="G121" s="57" t="n">
        <f aca="false">IF($A121="","",E121*IF(F121="",1,F121))</f>
        <v>2.93</v>
      </c>
      <c r="H121" s="31" t="n">
        <f aca="false">IF($A121="","",IF(SUMIF($A$6:$A$600,$A121,$G$6:$G$600)=0,0,G121/SUMIF($A$6:$A$600,$A121,$G$6:$G$600)))</f>
        <v>0.00638678175952568</v>
      </c>
      <c r="I121" s="30" t="n">
        <f aca="false">IF($A121="","",IFERROR(INDEX('Cotação de Materiais'!$H$4:$H$200,MATCH($A121,'Cotação de Materiais'!$A$4:$A$200,0)),IFERROR(INDEX('Mão de Obra e Serviços'!$G$4:$G$200,MATCH($A121,'Mão de Obra e Serviços'!$A$4:$A$200,0)),0)))</f>
        <v>8760</v>
      </c>
      <c r="K121" s="30" t="n">
        <f aca="false">IF($A121="","",I121*H121)</f>
        <v>55.9482082134449</v>
      </c>
      <c r="L121" s="58" t="s">
        <v>466</v>
      </c>
      <c r="M121" s="54" t="str">
        <f aca="false">IF($A121="","",IF(B121="CÓDIGO?","CÓDIGO NÃO ACHADO",IF($D121="","FALTA ITEM DO ANEXO",IF($D121="INDIRETO","",IF(COUNTIFS('Anexo III'!$B$8:$B$400,$D121,'Anexo III'!$E$8:$E$400,"&gt;0")=0,"ITEM NÃO ACHADO NO ANEXO","")))))</f>
        <v/>
      </c>
    </row>
    <row r="122" customFormat="false" ht="15" hidden="false" customHeight="false" outlineLevel="0" collapsed="false">
      <c r="A122" s="52" t="s">
        <v>252</v>
      </c>
      <c r="B122" s="53" t="str">
        <f aca="false">IF($A122="","",IF(ISNUMBER(MATCH($A122,'Cotação de Materiais'!$A$4:$A$200,0)),"MAT",IF(ISNUMBER(MATCH($A122,'Mão de Obra e Serviços'!$A$4:$A$200,0)),"MO","CÓDIGO?")))</f>
        <v>MAT</v>
      </c>
      <c r="C122" s="54" t="str">
        <f aca="false">IF($A122="","",IFERROR(INDEX('Cotação de Materiais'!$C$4:$C$200,MATCH($A122,'Cotação de Materiais'!$A$4:$A$200,0)),IFERROR(INDEX('Mão de Obra e Serviços'!$B$4:$B$200,MATCH($A122,'Mão de Obra e Serviços'!$A$4:$A$200,0)),"")))</f>
        <v>Retardante de Chamas CKC-2020</v>
      </c>
      <c r="D122" s="52" t="s">
        <v>423</v>
      </c>
      <c r="E122" s="55" t="n">
        <v>2.43</v>
      </c>
      <c r="F122" s="56" t="n">
        <v>1</v>
      </c>
      <c r="G122" s="57" t="n">
        <f aca="false">IF($A122="","",E122*IF(F122="",1,F122))</f>
        <v>2.43</v>
      </c>
      <c r="H122" s="31" t="n">
        <f aca="false">IF($A122="","",IF(SUMIF($A$6:$A$600,$A122,$G$6:$G$600)=0,0,G122/SUMIF($A$6:$A$600,$A122,$G$6:$G$600)))</f>
        <v>0.00529688726131311</v>
      </c>
      <c r="I122" s="30" t="n">
        <f aca="false">IF($A122="","",IFERROR(INDEX('Cotação de Materiais'!$H$4:$H$200,MATCH($A122,'Cotação de Materiais'!$A$4:$A$200,0)),IFERROR(INDEX('Mão de Obra e Serviços'!$G$4:$G$200,MATCH($A122,'Mão de Obra e Serviços'!$A$4:$A$200,0)),0)))</f>
        <v>8760</v>
      </c>
      <c r="K122" s="30" t="n">
        <f aca="false">IF($A122="","",I122*H122)</f>
        <v>46.4007324091028</v>
      </c>
      <c r="L122" s="58" t="s">
        <v>466</v>
      </c>
      <c r="M122" s="54" t="str">
        <f aca="false">IF($A122="","",IF(B122="CÓDIGO?","CÓDIGO NÃO ACHADO",IF($D122="","FALTA ITEM DO ANEXO",IF($D122="INDIRETO","",IF(COUNTIFS('Anexo III'!$B$8:$B$400,$D122,'Anexo III'!$E$8:$E$400,"&gt;0")=0,"ITEM NÃO ACHADO NO ANEXO","")))))</f>
        <v/>
      </c>
    </row>
    <row r="123" customFormat="false" ht="15" hidden="false" customHeight="false" outlineLevel="0" collapsed="false">
      <c r="A123" s="52" t="s">
        <v>252</v>
      </c>
      <c r="B123" s="53" t="str">
        <f aca="false">IF($A123="","",IF(ISNUMBER(MATCH($A123,'Cotação de Materiais'!$A$4:$A$200,0)),"MAT",IF(ISNUMBER(MATCH($A123,'Mão de Obra e Serviços'!$A$4:$A$200,0)),"MO","CÓDIGO?")))</f>
        <v>MAT</v>
      </c>
      <c r="C123" s="54" t="str">
        <f aca="false">IF($A123="","",IFERROR(INDEX('Cotação de Materiais'!$C$4:$C$200,MATCH($A123,'Cotação de Materiais'!$A$4:$A$200,0)),IFERROR(INDEX('Mão de Obra e Serviços'!$B$4:$B$200,MATCH($A123,'Mão de Obra e Serviços'!$A$4:$A$200,0)),"")))</f>
        <v>Retardante de Chamas CKC-2020</v>
      </c>
      <c r="D123" s="52" t="s">
        <v>424</v>
      </c>
      <c r="E123" s="55" t="n">
        <v>8.79</v>
      </c>
      <c r="F123" s="56" t="n">
        <v>1</v>
      </c>
      <c r="G123" s="57" t="n">
        <f aca="false">IF($A123="","",E123*IF(F123="",1,F123))</f>
        <v>8.79</v>
      </c>
      <c r="H123" s="31" t="n">
        <f aca="false">IF($A123="","",IF(SUMIF($A$6:$A$600,$A123,$G$6:$G$600)=0,0,G123/SUMIF($A$6:$A$600,$A123,$G$6:$G$600)))</f>
        <v>0.019160345278577</v>
      </c>
      <c r="I123" s="30" t="n">
        <f aca="false">IF($A123="","",IFERROR(INDEX('Cotação de Materiais'!$H$4:$H$200,MATCH($A123,'Cotação de Materiais'!$A$4:$A$200,0)),IFERROR(INDEX('Mão de Obra e Serviços'!$G$4:$G$200,MATCH($A123,'Mão de Obra e Serviços'!$A$4:$A$200,0)),0)))</f>
        <v>8760</v>
      </c>
      <c r="K123" s="30" t="n">
        <f aca="false">IF($A123="","",I123*H123)</f>
        <v>167.844624640335</v>
      </c>
      <c r="L123" s="58" t="s">
        <v>466</v>
      </c>
      <c r="M123" s="54" t="str">
        <f aca="false">IF($A123="","",IF(B123="CÓDIGO?","CÓDIGO NÃO ACHADO",IF($D123="","FALTA ITEM DO ANEXO",IF($D123="INDIRETO","",IF(COUNTIFS('Anexo III'!$B$8:$B$400,$D123,'Anexo III'!$E$8:$E$400,"&gt;0")=0,"ITEM NÃO ACHADO NO ANEXO","")))))</f>
        <v/>
      </c>
    </row>
    <row r="124" customFormat="false" ht="15" hidden="false" customHeight="false" outlineLevel="0" collapsed="false">
      <c r="A124" s="52" t="s">
        <v>252</v>
      </c>
      <c r="B124" s="53" t="str">
        <f aca="false">IF($A124="","",IF(ISNUMBER(MATCH($A124,'Cotação de Materiais'!$A$4:$A$200,0)),"MAT",IF(ISNUMBER(MATCH($A124,'Mão de Obra e Serviços'!$A$4:$A$200,0)),"MO","CÓDIGO?")))</f>
        <v>MAT</v>
      </c>
      <c r="C124" s="54" t="str">
        <f aca="false">IF($A124="","",IFERROR(INDEX('Cotação de Materiais'!$C$4:$C$200,MATCH($A124,'Cotação de Materiais'!$A$4:$A$200,0)),IFERROR(INDEX('Mão de Obra e Serviços'!$B$4:$B$200,MATCH($A124,'Mão de Obra e Serviços'!$A$4:$A$200,0)),"")))</f>
        <v>Retardante de Chamas CKC-2020</v>
      </c>
      <c r="D124" s="52" t="s">
        <v>425</v>
      </c>
      <c r="E124" s="55" t="n">
        <v>0.23</v>
      </c>
      <c r="F124" s="56" t="n">
        <v>1</v>
      </c>
      <c r="G124" s="57" t="n">
        <f aca="false">IF($A124="","",E124*IF(F124="",1,F124))</f>
        <v>0.23</v>
      </c>
      <c r="H124" s="31" t="n">
        <f aca="false">IF($A124="","",IF(SUMIF($A$6:$A$600,$A124,$G$6:$G$600)=0,0,G124/SUMIF($A$6:$A$600,$A124,$G$6:$G$600)))</f>
        <v>0.000501351469177784</v>
      </c>
      <c r="I124" s="30" t="n">
        <f aca="false">IF($A124="","",IFERROR(INDEX('Cotação de Materiais'!$H$4:$H$200,MATCH($A124,'Cotação de Materiais'!$A$4:$A$200,0)),IFERROR(INDEX('Mão de Obra e Serviços'!$G$4:$G$200,MATCH($A124,'Mão de Obra e Serviços'!$A$4:$A$200,0)),0)))</f>
        <v>8760</v>
      </c>
      <c r="K124" s="30" t="n">
        <f aca="false">IF($A124="","",I124*H124)</f>
        <v>4.39183886999738</v>
      </c>
      <c r="L124" s="58" t="s">
        <v>466</v>
      </c>
      <c r="M124" s="54" t="str">
        <f aca="false">IF($A124="","",IF(B124="CÓDIGO?","CÓDIGO NÃO ACHADO",IF($D124="","FALTA ITEM DO ANEXO",IF($D124="INDIRETO","",IF(COUNTIFS('Anexo III'!$B$8:$B$400,$D124,'Anexo III'!$E$8:$E$400,"&gt;0")=0,"ITEM NÃO ACHADO NO ANEXO","")))))</f>
        <v/>
      </c>
    </row>
    <row r="125" customFormat="false" ht="15" hidden="false" customHeight="false" outlineLevel="0" collapsed="false">
      <c r="A125" s="52" t="s">
        <v>252</v>
      </c>
      <c r="B125" s="53" t="str">
        <f aca="false">IF($A125="","",IF(ISNUMBER(MATCH($A125,'Cotação de Materiais'!$A$4:$A$200,0)),"MAT",IF(ISNUMBER(MATCH($A125,'Mão de Obra e Serviços'!$A$4:$A$200,0)),"MO","CÓDIGO?")))</f>
        <v>MAT</v>
      </c>
      <c r="C125" s="54" t="str">
        <f aca="false">IF($A125="","",IFERROR(INDEX('Cotação de Materiais'!$C$4:$C$200,MATCH($A125,'Cotação de Materiais'!$A$4:$A$200,0)),IFERROR(INDEX('Mão de Obra e Serviços'!$B$4:$B$200,MATCH($A125,'Mão de Obra e Serviços'!$A$4:$A$200,0)),"")))</f>
        <v>Retardante de Chamas CKC-2020</v>
      </c>
      <c r="D125" s="52" t="s">
        <v>426</v>
      </c>
      <c r="E125" s="55" t="n">
        <v>3.8</v>
      </c>
      <c r="F125" s="56" t="n">
        <v>1</v>
      </c>
      <c r="G125" s="57" t="n">
        <f aca="false">IF($A125="","",E125*IF(F125="",1,F125))</f>
        <v>3.8</v>
      </c>
      <c r="H125" s="31" t="n">
        <f aca="false">IF($A125="","",IF(SUMIF($A$6:$A$600,$A125,$G$6:$G$600)=0,0,G125/SUMIF($A$6:$A$600,$A125,$G$6:$G$600)))</f>
        <v>0.00828319818641556</v>
      </c>
      <c r="I125" s="30" t="n">
        <f aca="false">IF($A125="","",IFERROR(INDEX('Cotação de Materiais'!$H$4:$H$200,MATCH($A125,'Cotação de Materiais'!$A$4:$A$200,0)),IFERROR(INDEX('Mão de Obra e Serviços'!$G$4:$G$200,MATCH($A125,'Mão de Obra e Serviços'!$A$4:$A$200,0)),0)))</f>
        <v>8760</v>
      </c>
      <c r="K125" s="30" t="n">
        <f aca="false">IF($A125="","",I125*H125)</f>
        <v>72.5608161130003</v>
      </c>
      <c r="L125" s="58" t="s">
        <v>466</v>
      </c>
      <c r="M125" s="54" t="str">
        <f aca="false">IF($A125="","",IF(B125="CÓDIGO?","CÓDIGO NÃO ACHADO",IF($D125="","FALTA ITEM DO ANEXO",IF($D125="INDIRETO","",IF(COUNTIFS('Anexo III'!$B$8:$B$400,$D125,'Anexo III'!$E$8:$E$400,"&gt;0")=0,"ITEM NÃO ACHADO NO ANEXO","")))))</f>
        <v/>
      </c>
    </row>
    <row r="126" customFormat="false" ht="15" hidden="false" customHeight="false" outlineLevel="0" collapsed="false">
      <c r="A126" s="52" t="s">
        <v>252</v>
      </c>
      <c r="B126" s="53" t="str">
        <f aca="false">IF($A126="","",IF(ISNUMBER(MATCH($A126,'Cotação de Materiais'!$A$4:$A$200,0)),"MAT",IF(ISNUMBER(MATCH($A126,'Mão de Obra e Serviços'!$A$4:$A$200,0)),"MO","CÓDIGO?")))</f>
        <v>MAT</v>
      </c>
      <c r="C126" s="54" t="str">
        <f aca="false">IF($A126="","",IFERROR(INDEX('Cotação de Materiais'!$C$4:$C$200,MATCH($A126,'Cotação de Materiais'!$A$4:$A$200,0)),IFERROR(INDEX('Mão de Obra e Serviços'!$B$4:$B$200,MATCH($A126,'Mão de Obra e Serviços'!$A$4:$A$200,0)),"")))</f>
        <v>Retardante de Chamas CKC-2020</v>
      </c>
      <c r="D126" s="52" t="s">
        <v>428</v>
      </c>
      <c r="E126" s="55" t="n">
        <v>3.24</v>
      </c>
      <c r="F126" s="56" t="n">
        <v>1</v>
      </c>
      <c r="G126" s="57" t="n">
        <f aca="false">IF($A126="","",E126*IF(F126="",1,F126))</f>
        <v>3.24</v>
      </c>
      <c r="H126" s="31" t="n">
        <f aca="false">IF($A126="","",IF(SUMIF($A$6:$A$600,$A126,$G$6:$G$600)=0,0,G126/SUMIF($A$6:$A$600,$A126,$G$6:$G$600)))</f>
        <v>0.00706251634841747</v>
      </c>
      <c r="I126" s="30" t="n">
        <f aca="false">IF($A126="","",IFERROR(INDEX('Cotação de Materiais'!$H$4:$H$200,MATCH($A126,'Cotação de Materiais'!$A$4:$A$200,0)),IFERROR(INDEX('Mão de Obra e Serviços'!$G$4:$G$200,MATCH($A126,'Mão de Obra e Serviços'!$A$4:$A$200,0)),0)))</f>
        <v>8760</v>
      </c>
      <c r="K126" s="30" t="n">
        <f aca="false">IF($A126="","",I126*H126)</f>
        <v>61.8676432121371</v>
      </c>
      <c r="L126" s="58" t="s">
        <v>466</v>
      </c>
      <c r="M126" s="54" t="str">
        <f aca="false">IF($A126="","",IF(B126="CÓDIGO?","CÓDIGO NÃO ACHADO",IF($D126="","FALTA ITEM DO ANEXO",IF($D126="INDIRETO","",IF(COUNTIFS('Anexo III'!$B$8:$B$400,$D126,'Anexo III'!$E$8:$E$400,"&gt;0")=0,"ITEM NÃO ACHADO NO ANEXO","")))))</f>
        <v/>
      </c>
    </row>
    <row r="127" customFormat="false" ht="15" hidden="false" customHeight="false" outlineLevel="0" collapsed="false">
      <c r="A127" s="52" t="s">
        <v>252</v>
      </c>
      <c r="B127" s="53" t="str">
        <f aca="false">IF($A127="","",IF(ISNUMBER(MATCH($A127,'Cotação de Materiais'!$A$4:$A$200,0)),"MAT",IF(ISNUMBER(MATCH($A127,'Mão de Obra e Serviços'!$A$4:$A$200,0)),"MO","CÓDIGO?")))</f>
        <v>MAT</v>
      </c>
      <c r="C127" s="54" t="str">
        <f aca="false">IF($A127="","",IFERROR(INDEX('Cotação de Materiais'!$C$4:$C$200,MATCH($A127,'Cotação de Materiais'!$A$4:$A$200,0)),IFERROR(INDEX('Mão de Obra e Serviços'!$B$4:$B$200,MATCH($A127,'Mão de Obra e Serviços'!$A$4:$A$200,0)),"")))</f>
        <v>Retardante de Chamas CKC-2020</v>
      </c>
      <c r="D127" s="52" t="s">
        <v>429</v>
      </c>
      <c r="E127" s="55" t="n">
        <v>30.76</v>
      </c>
      <c r="F127" s="56" t="n">
        <v>1</v>
      </c>
      <c r="G127" s="57" t="n">
        <f aca="false">IF($A127="","",E127*IF(F127="",1,F127))</f>
        <v>30.76</v>
      </c>
      <c r="H127" s="31" t="n">
        <f aca="false">IF($A127="","",IF(SUMIF($A$6:$A$600,$A127,$G$6:$G$600)=0,0,G127/SUMIF($A$6:$A$600,$A127,$G$6:$G$600)))</f>
        <v>0.0670503095300375</v>
      </c>
      <c r="I127" s="30" t="n">
        <f aca="false">IF($A127="","",IFERROR(INDEX('Cotação de Materiais'!$H$4:$H$200,MATCH($A127,'Cotação de Materiais'!$A$4:$A$200,0)),IFERROR(INDEX('Mão de Obra e Serviços'!$G$4:$G$200,MATCH($A127,'Mão de Obra e Serviços'!$A$4:$A$200,0)),0)))</f>
        <v>8760</v>
      </c>
      <c r="K127" s="30" t="n">
        <f aca="false">IF($A127="","",I127*H127)</f>
        <v>587.360711483129</v>
      </c>
      <c r="L127" s="58" t="s">
        <v>466</v>
      </c>
      <c r="M127" s="54" t="str">
        <f aca="false">IF($A127="","",IF(B127="CÓDIGO?","CÓDIGO NÃO ACHADO",IF($D127="","FALTA ITEM DO ANEXO",IF($D127="INDIRETO","",IF(COUNTIFS('Anexo III'!$B$8:$B$400,$D127,'Anexo III'!$E$8:$E$400,"&gt;0")=0,"ITEM NÃO ACHADO NO ANEXO","")))))</f>
        <v/>
      </c>
    </row>
    <row r="128" customFormat="false" ht="15" hidden="false" customHeight="false" outlineLevel="0" collapsed="false">
      <c r="A128" s="52" t="s">
        <v>257</v>
      </c>
      <c r="B128" s="53" t="str">
        <f aca="false">IF($A128="","",IF(ISNUMBER(MATCH($A128,'Cotação de Materiais'!$A$4:$A$200,0)),"MAT",IF(ISNUMBER(MATCH($A128,'Mão de Obra e Serviços'!$A$4:$A$200,0)),"MO","CÓDIGO?")))</f>
        <v>MAT</v>
      </c>
      <c r="C128" s="54" t="str">
        <f aca="false">IF($A128="","",IFERROR(INDEX('Cotação de Materiais'!$C$4:$C$200,MATCH($A128,'Cotação de Materiais'!$A$4:$A$200,0)),IFERROR(INDEX('Mão de Obra e Serviços'!$B$4:$B$200,MATCH($A128,'Mão de Obra e Serviços'!$A$4:$A$200,0)),"")))</f>
        <v>Extintores Pó ABC 4kg</v>
      </c>
      <c r="D128" s="52" t="s">
        <v>467</v>
      </c>
      <c r="E128" s="55" t="n">
        <v>65</v>
      </c>
      <c r="F128" s="56" t="n">
        <v>1</v>
      </c>
      <c r="G128" s="57" t="n">
        <f aca="false">IF($A128="","",E128*IF(F128="",1,F128))</f>
        <v>65</v>
      </c>
      <c r="H128" s="31" t="n">
        <f aca="false">IF($A128="","",IF(SUMIF($A$6:$A$600,$A128,$G$6:$G$600)=0,0,G128/SUMIF($A$6:$A$600,$A128,$G$6:$G$600)))</f>
        <v>0.65</v>
      </c>
      <c r="I128" s="30" t="n">
        <f aca="false">IF($A128="","",IFERROR(INDEX('Cotação de Materiais'!$H$4:$H$200,MATCH($A128,'Cotação de Materiais'!$A$4:$A$200,0)),IFERROR(INDEX('Mão de Obra e Serviços'!$G$4:$G$200,MATCH($A128,'Mão de Obra e Serviços'!$A$4:$A$200,0)),0)))</f>
        <v>786.92</v>
      </c>
      <c r="K128" s="30" t="n">
        <f aca="false">IF($A128="","",I128*H128)</f>
        <v>511.498</v>
      </c>
      <c r="L128" s="58" t="s">
        <v>468</v>
      </c>
      <c r="M128" s="54" t="str">
        <f aca="false">IF($A128="","",IF(B128="CÓDIGO?","CÓDIGO NÃO ACHADO",IF($D128="","FALTA ITEM DO ANEXO",IF($D128="INDIRETO","",IF(COUNTIFS('Anexo III'!$B$8:$B$400,$D128,'Anexo III'!$E$8:$E$400,"&gt;0")=0,"ITEM NÃO ACHADO NO ANEXO","")))))</f>
        <v/>
      </c>
    </row>
    <row r="129" customFormat="false" ht="15" hidden="false" customHeight="false" outlineLevel="0" collapsed="false">
      <c r="A129" s="52" t="s">
        <v>257</v>
      </c>
      <c r="B129" s="53" t="str">
        <f aca="false">IF($A129="","",IF(ISNUMBER(MATCH($A129,'Cotação de Materiais'!$A$4:$A$200,0)),"MAT",IF(ISNUMBER(MATCH($A129,'Mão de Obra e Serviços'!$A$4:$A$200,0)),"MO","CÓDIGO?")))</f>
        <v>MAT</v>
      </c>
      <c r="C129" s="54" t="str">
        <f aca="false">IF($A129="","",IFERROR(INDEX('Cotação de Materiais'!$C$4:$C$200,MATCH($A129,'Cotação de Materiais'!$A$4:$A$200,0)),IFERROR(INDEX('Mão de Obra e Serviços'!$B$4:$B$200,MATCH($A129,'Mão de Obra e Serviços'!$A$4:$A$200,0)),"")))</f>
        <v>Extintores Pó ABC 4kg</v>
      </c>
      <c r="D129" s="52" t="s">
        <v>469</v>
      </c>
      <c r="E129" s="55" t="n">
        <v>35</v>
      </c>
      <c r="F129" s="56" t="n">
        <v>1</v>
      </c>
      <c r="G129" s="57" t="n">
        <f aca="false">IF($A129="","",E129*IF(F129="",1,F129))</f>
        <v>35</v>
      </c>
      <c r="H129" s="31" t="n">
        <f aca="false">IF($A129="","",IF(SUMIF($A$6:$A$600,$A129,$G$6:$G$600)=0,0,G129/SUMIF($A$6:$A$600,$A129,$G$6:$G$600)))</f>
        <v>0.35</v>
      </c>
      <c r="I129" s="30" t="n">
        <f aca="false">IF($A129="","",IFERROR(INDEX('Cotação de Materiais'!$H$4:$H$200,MATCH($A129,'Cotação de Materiais'!$A$4:$A$200,0)),IFERROR(INDEX('Mão de Obra e Serviços'!$G$4:$G$200,MATCH($A129,'Mão de Obra e Serviços'!$A$4:$A$200,0)),0)))</f>
        <v>786.92</v>
      </c>
      <c r="K129" s="30" t="n">
        <f aca="false">IF($A129="","",I129*H129)</f>
        <v>275.422</v>
      </c>
      <c r="L129" s="58" t="s">
        <v>468</v>
      </c>
      <c r="M129" s="54" t="str">
        <f aca="false">IF($A129="","",IF(B129="CÓDIGO?","CÓDIGO NÃO ACHADO",IF($D129="","FALTA ITEM DO ANEXO",IF($D129="INDIRETO","",IF(COUNTIFS('Anexo III'!$B$8:$B$400,$D129,'Anexo III'!$E$8:$E$400,"&gt;0")=0,"ITEM NÃO ACHADO NO ANEXO","")))))</f>
        <v/>
      </c>
    </row>
    <row r="130" customFormat="false" ht="15" hidden="false" customHeight="false" outlineLevel="0" collapsed="false">
      <c r="A130" s="52" t="s">
        <v>262</v>
      </c>
      <c r="B130" s="53" t="str">
        <f aca="false">IF($A130="","",IF(ISNUMBER(MATCH($A130,'Cotação de Materiais'!$A$4:$A$200,0)),"MAT",IF(ISNUMBER(MATCH($A130,'Mão de Obra e Serviços'!$A$4:$A$200,0)),"MO","CÓDIGO?")))</f>
        <v>MAT</v>
      </c>
      <c r="C130" s="54" t="str">
        <f aca="false">IF($A130="","",IFERROR(INDEX('Cotação de Materiais'!$C$4:$C$200,MATCH($A130,'Cotação de Materiais'!$A$4:$A$200,0)),IFERROR(INDEX('Mão de Obra e Serviços'!$B$4:$B$200,MATCH($A130,'Mão de Obra e Serviços'!$A$4:$A$200,0)),"")))</f>
        <v>Blocos Iluminação Emergência</v>
      </c>
      <c r="D130" s="52" t="s">
        <v>470</v>
      </c>
      <c r="E130" s="55" t="n">
        <v>1</v>
      </c>
      <c r="F130" s="56" t="n">
        <v>1</v>
      </c>
      <c r="G130" s="57" t="n">
        <f aca="false">IF($A130="","",E130*IF(F130="",1,F130))</f>
        <v>1</v>
      </c>
      <c r="H130" s="31" t="n">
        <f aca="false">IF($A130="","",IF(SUMIF($A$6:$A$600,$A130,$G$6:$G$600)=0,0,G130/SUMIF($A$6:$A$600,$A130,$G$6:$G$600)))</f>
        <v>1</v>
      </c>
      <c r="I130" s="30" t="n">
        <f aca="false">IF($A130="","",IFERROR(INDEX('Cotação de Materiais'!$H$4:$H$200,MATCH($A130,'Cotação de Materiais'!$A$4:$A$200,0)),IFERROR(INDEX('Mão de Obra e Serviços'!$G$4:$G$200,MATCH($A130,'Mão de Obra e Serviços'!$A$4:$A$200,0)),0)))</f>
        <v>360</v>
      </c>
      <c r="K130" s="30" t="n">
        <f aca="false">IF($A130="","",I130*H130)</f>
        <v>360</v>
      </c>
      <c r="L130" s="58" t="s">
        <v>471</v>
      </c>
      <c r="M130" s="54" t="str">
        <f aca="false">IF($A130="","",IF(B130="CÓDIGO?","CÓDIGO NÃO ACHADO",IF($D130="","FALTA ITEM DO ANEXO",IF($D130="INDIRETO","",IF(COUNTIFS('Anexo III'!$B$8:$B$400,$D130,'Anexo III'!$E$8:$E$400,"&gt;0")=0,"ITEM NÃO ACHADO NO ANEXO","")))))</f>
        <v/>
      </c>
    </row>
    <row r="131" customFormat="false" ht="15" hidden="false" customHeight="false" outlineLevel="0" collapsed="false">
      <c r="A131" s="52" t="s">
        <v>267</v>
      </c>
      <c r="B131" s="53" t="str">
        <f aca="false">IF($A131="","",IF(ISNUMBER(MATCH($A131,'Cotação de Materiais'!$A$4:$A$200,0)),"MAT",IF(ISNUMBER(MATCH($A131,'Mão de Obra e Serviços'!$A$4:$A$200,0)),"MO","CÓDIGO?")))</f>
        <v>MAT</v>
      </c>
      <c r="C131" s="54" t="str">
        <f aca="false">IF($A131="","",IFERROR(INDEX('Cotação de Materiais'!$C$4:$C$200,MATCH($A131,'Cotação de Materiais'!$A$4:$A$200,0)),IFERROR(INDEX('Mão de Obra e Serviços'!$B$4:$B$200,MATCH($A131,'Mão de Obra e Serviços'!$A$4:$A$200,0)),"")))</f>
        <v>Sinalização Fotoluminescente</v>
      </c>
      <c r="D131" s="52" t="s">
        <v>472</v>
      </c>
      <c r="E131" s="55" t="n">
        <v>3</v>
      </c>
      <c r="F131" s="56" t="n">
        <v>1</v>
      </c>
      <c r="G131" s="57" t="n">
        <f aca="false">IF($A131="","",E131*IF(F131="",1,F131))</f>
        <v>3</v>
      </c>
      <c r="H131" s="31" t="n">
        <f aca="false">IF($A131="","",IF(SUMIF($A$6:$A$600,$A131,$G$6:$G$600)=0,0,G131/SUMIF($A$6:$A$600,$A131,$G$6:$G$600)))</f>
        <v>0.15</v>
      </c>
      <c r="I131" s="30" t="n">
        <f aca="false">IF($A131="","",IFERROR(INDEX('Cotação de Materiais'!$H$4:$H$200,MATCH($A131,'Cotação de Materiais'!$A$4:$A$200,0)),IFERROR(INDEX('Mão de Obra e Serviços'!$G$4:$G$200,MATCH($A131,'Mão de Obra e Serviços'!$A$4:$A$200,0)),0)))</f>
        <v>450</v>
      </c>
      <c r="K131" s="30" t="n">
        <f aca="false">IF($A131="","",I131*H131)</f>
        <v>67.5</v>
      </c>
      <c r="L131" s="58" t="s">
        <v>473</v>
      </c>
      <c r="M131" s="54" t="str">
        <f aca="false">IF($A131="","",IF(B131="CÓDIGO?","CÓDIGO NÃO ACHADO",IF($D131="","FALTA ITEM DO ANEXO",IF($D131="INDIRETO","",IF(COUNTIFS('Anexo III'!$B$8:$B$400,$D131,'Anexo III'!$E$8:$E$400,"&gt;0")=0,"ITEM NÃO ACHADO NO ANEXO","")))))</f>
        <v/>
      </c>
    </row>
    <row r="132" customFormat="false" ht="15" hidden="false" customHeight="false" outlineLevel="0" collapsed="false">
      <c r="A132" s="52" t="s">
        <v>267</v>
      </c>
      <c r="B132" s="53" t="str">
        <f aca="false">IF($A132="","",IF(ISNUMBER(MATCH($A132,'Cotação de Materiais'!$A$4:$A$200,0)),"MAT",IF(ISNUMBER(MATCH($A132,'Mão de Obra e Serviços'!$A$4:$A$200,0)),"MO","CÓDIGO?")))</f>
        <v>MAT</v>
      </c>
      <c r="C132" s="54" t="str">
        <f aca="false">IF($A132="","",IFERROR(INDEX('Cotação de Materiais'!$C$4:$C$200,MATCH($A132,'Cotação de Materiais'!$A$4:$A$200,0)),IFERROR(INDEX('Mão de Obra e Serviços'!$B$4:$B$200,MATCH($A132,'Mão de Obra e Serviços'!$A$4:$A$200,0)),"")))</f>
        <v>Sinalização Fotoluminescente</v>
      </c>
      <c r="D132" s="52" t="s">
        <v>474</v>
      </c>
      <c r="E132" s="55" t="n">
        <v>4</v>
      </c>
      <c r="F132" s="56" t="n">
        <v>1</v>
      </c>
      <c r="G132" s="57" t="n">
        <f aca="false">IF($A132="","",E132*IF(F132="",1,F132))</f>
        <v>4</v>
      </c>
      <c r="H132" s="31" t="n">
        <f aca="false">IF($A132="","",IF(SUMIF($A$6:$A$600,$A132,$G$6:$G$600)=0,0,G132/SUMIF($A$6:$A$600,$A132,$G$6:$G$600)))</f>
        <v>0.2</v>
      </c>
      <c r="I132" s="30" t="n">
        <f aca="false">IF($A132="","",IFERROR(INDEX('Cotação de Materiais'!$H$4:$H$200,MATCH($A132,'Cotação de Materiais'!$A$4:$A$200,0)),IFERROR(INDEX('Mão de Obra e Serviços'!$G$4:$G$200,MATCH($A132,'Mão de Obra e Serviços'!$A$4:$A$200,0)),0)))</f>
        <v>450</v>
      </c>
      <c r="K132" s="30" t="n">
        <f aca="false">IF($A132="","",I132*H132)</f>
        <v>90</v>
      </c>
      <c r="L132" s="58" t="s">
        <v>473</v>
      </c>
      <c r="M132" s="54" t="str">
        <f aca="false">IF($A132="","",IF(B132="CÓDIGO?","CÓDIGO NÃO ACHADO",IF($D132="","FALTA ITEM DO ANEXO",IF($D132="INDIRETO","",IF(COUNTIFS('Anexo III'!$B$8:$B$400,$D132,'Anexo III'!$E$8:$E$400,"&gt;0")=0,"ITEM NÃO ACHADO NO ANEXO","")))))</f>
        <v/>
      </c>
    </row>
    <row r="133" customFormat="false" ht="15" hidden="false" customHeight="false" outlineLevel="0" collapsed="false">
      <c r="A133" s="52" t="s">
        <v>267</v>
      </c>
      <c r="B133" s="53" t="str">
        <f aca="false">IF($A133="","",IF(ISNUMBER(MATCH($A133,'Cotação de Materiais'!$A$4:$A$200,0)),"MAT",IF(ISNUMBER(MATCH($A133,'Mão de Obra e Serviços'!$A$4:$A$200,0)),"MO","CÓDIGO?")))</f>
        <v>MAT</v>
      </c>
      <c r="C133" s="54" t="str">
        <f aca="false">IF($A133="","",IFERROR(INDEX('Cotação de Materiais'!$C$4:$C$200,MATCH($A133,'Cotação de Materiais'!$A$4:$A$200,0)),IFERROR(INDEX('Mão de Obra e Serviços'!$B$4:$B$200,MATCH($A133,'Mão de Obra e Serviços'!$A$4:$A$200,0)),"")))</f>
        <v>Sinalização Fotoluminescente</v>
      </c>
      <c r="D133" s="52" t="s">
        <v>475</v>
      </c>
      <c r="E133" s="55" t="n">
        <v>6</v>
      </c>
      <c r="F133" s="56" t="n">
        <v>1</v>
      </c>
      <c r="G133" s="57" t="n">
        <f aca="false">IF($A133="","",E133*IF(F133="",1,F133))</f>
        <v>6</v>
      </c>
      <c r="H133" s="31" t="n">
        <f aca="false">IF($A133="","",IF(SUMIF($A$6:$A$600,$A133,$G$6:$G$600)=0,0,G133/SUMIF($A$6:$A$600,$A133,$G$6:$G$600)))</f>
        <v>0.3</v>
      </c>
      <c r="I133" s="30" t="n">
        <f aca="false">IF($A133="","",IFERROR(INDEX('Cotação de Materiais'!$H$4:$H$200,MATCH($A133,'Cotação de Materiais'!$A$4:$A$200,0)),IFERROR(INDEX('Mão de Obra e Serviços'!$G$4:$G$200,MATCH($A133,'Mão de Obra e Serviços'!$A$4:$A$200,0)),0)))</f>
        <v>450</v>
      </c>
      <c r="K133" s="30" t="n">
        <f aca="false">IF($A133="","",I133*H133)</f>
        <v>135</v>
      </c>
      <c r="L133" s="58" t="s">
        <v>473</v>
      </c>
      <c r="M133" s="54" t="str">
        <f aca="false">IF($A133="","",IF(B133="CÓDIGO?","CÓDIGO NÃO ACHADO",IF($D133="","FALTA ITEM DO ANEXO",IF($D133="INDIRETO","",IF(COUNTIFS('Anexo III'!$B$8:$B$400,$D133,'Anexo III'!$E$8:$E$400,"&gt;0")=0,"ITEM NÃO ACHADO NO ANEXO","")))))</f>
        <v/>
      </c>
    </row>
    <row r="134" customFormat="false" ht="15" hidden="false" customHeight="false" outlineLevel="0" collapsed="false">
      <c r="A134" s="52" t="s">
        <v>267</v>
      </c>
      <c r="B134" s="53" t="str">
        <f aca="false">IF($A134="","",IF(ISNUMBER(MATCH($A134,'Cotação de Materiais'!$A$4:$A$200,0)),"MAT",IF(ISNUMBER(MATCH($A134,'Mão de Obra e Serviços'!$A$4:$A$200,0)),"MO","CÓDIGO?")))</f>
        <v>MAT</v>
      </c>
      <c r="C134" s="54" t="str">
        <f aca="false">IF($A134="","",IFERROR(INDEX('Cotação de Materiais'!$C$4:$C$200,MATCH($A134,'Cotação de Materiais'!$A$4:$A$200,0)),IFERROR(INDEX('Mão de Obra e Serviços'!$B$4:$B$200,MATCH($A134,'Mão de Obra e Serviços'!$A$4:$A$200,0)),"")))</f>
        <v>Sinalização Fotoluminescente</v>
      </c>
      <c r="D134" s="52" t="s">
        <v>476</v>
      </c>
      <c r="E134" s="55" t="n">
        <v>7</v>
      </c>
      <c r="F134" s="56" t="n">
        <v>1</v>
      </c>
      <c r="G134" s="57" t="n">
        <f aca="false">IF($A134="","",E134*IF(F134="",1,F134))</f>
        <v>7</v>
      </c>
      <c r="H134" s="31" t="n">
        <f aca="false">IF($A134="","",IF(SUMIF($A$6:$A$600,$A134,$G$6:$G$600)=0,0,G134/SUMIF($A$6:$A$600,$A134,$G$6:$G$600)))</f>
        <v>0.35</v>
      </c>
      <c r="I134" s="30" t="n">
        <f aca="false">IF($A134="","",IFERROR(INDEX('Cotação de Materiais'!$H$4:$H$200,MATCH($A134,'Cotação de Materiais'!$A$4:$A$200,0)),IFERROR(INDEX('Mão de Obra e Serviços'!$G$4:$G$200,MATCH($A134,'Mão de Obra e Serviços'!$A$4:$A$200,0)),0)))</f>
        <v>450</v>
      </c>
      <c r="K134" s="30" t="n">
        <f aca="false">IF($A134="","",I134*H134)</f>
        <v>157.5</v>
      </c>
      <c r="L134" s="58" t="s">
        <v>473</v>
      </c>
      <c r="M134" s="54" t="str">
        <f aca="false">IF($A134="","",IF(B134="CÓDIGO?","CÓDIGO NÃO ACHADO",IF($D134="","FALTA ITEM DO ANEXO",IF($D134="INDIRETO","",IF(COUNTIFS('Anexo III'!$B$8:$B$400,$D134,'Anexo III'!$E$8:$E$400,"&gt;0")=0,"ITEM NÃO ACHADO NO ANEXO","")))))</f>
        <v/>
      </c>
    </row>
    <row r="135" customFormat="false" ht="15" hidden="false" customHeight="false" outlineLevel="0" collapsed="false">
      <c r="A135" s="52" t="s">
        <v>272</v>
      </c>
      <c r="B135" s="53" t="str">
        <f aca="false">IF($A135="","",IF(ISNUMBER(MATCH($A135,'Cotação de Materiais'!$A$4:$A$200,0)),"MAT",IF(ISNUMBER(MATCH($A135,'Mão de Obra e Serviços'!$A$4:$A$200,0)),"MO","CÓDIGO?")))</f>
        <v>MAT</v>
      </c>
      <c r="C135" s="54" t="str">
        <f aca="false">IF($A135="","",IFERROR(INDEX('Cotação de Materiais'!$C$4:$C$200,MATCH($A135,'Cotação de Materiais'!$A$4:$A$200,0)),IFERROR(INDEX('Mão de Obra e Serviços'!$B$4:$B$200,MATCH($A135,'Mão de Obra e Serviços'!$A$4:$A$200,0)),"")))</f>
        <v>Lona Impermeável</v>
      </c>
      <c r="D135" s="52" t="s">
        <v>477</v>
      </c>
      <c r="E135" s="55" t="n">
        <v>1</v>
      </c>
      <c r="F135" s="56" t="n">
        <v>1</v>
      </c>
      <c r="G135" s="57" t="n">
        <f aca="false">IF($A135="","",E135*IF(F135="",1,F135))</f>
        <v>1</v>
      </c>
      <c r="H135" s="31" t="n">
        <f aca="false">IF($A135="","",IF(SUMIF($A$6:$A$600,$A135,$G$6:$G$600)=0,0,G135/SUMIF($A$6:$A$600,$A135,$G$6:$G$600)))</f>
        <v>1</v>
      </c>
      <c r="I135" s="30" t="n">
        <f aca="false">IF($A135="","",IFERROR(INDEX('Cotação de Materiais'!$H$4:$H$200,MATCH($A135,'Cotação de Materiais'!$A$4:$A$200,0)),IFERROR(INDEX('Mão de Obra e Serviços'!$G$4:$G$200,MATCH($A135,'Mão de Obra e Serviços'!$A$4:$A$200,0)),0)))</f>
        <v>280</v>
      </c>
      <c r="K135" s="30" t="n">
        <f aca="false">IF($A135="","",I135*H135)</f>
        <v>280</v>
      </c>
      <c r="L135" s="58" t="s">
        <v>478</v>
      </c>
      <c r="M135" s="54" t="str">
        <f aca="false">IF($A135="","",IF(B135="CÓDIGO?","CÓDIGO NÃO ACHADO",IF($D135="","FALTA ITEM DO ANEXO",IF($D135="INDIRETO","",IF(COUNTIFS('Anexo III'!$B$8:$B$400,$D135,'Anexo III'!$E$8:$E$400,"&gt;0")=0,"ITEM NÃO ACHADO NO ANEXO","")))))</f>
        <v/>
      </c>
    </row>
    <row r="136" customFormat="false" ht="15" hidden="false" customHeight="false" outlineLevel="0" collapsed="false">
      <c r="A136" s="52" t="s">
        <v>277</v>
      </c>
      <c r="B136" s="53" t="str">
        <f aca="false">IF($A136="","",IF(ISNUMBER(MATCH($A136,'Cotação de Materiais'!$A$4:$A$200,0)),"MAT",IF(ISNUMBER(MATCH($A136,'Mão de Obra e Serviços'!$A$4:$A$200,0)),"MO","CÓDIGO?")))</f>
        <v>MAT</v>
      </c>
      <c r="C136" s="54" t="str">
        <f aca="false">IF($A136="","",IFERROR(INDEX('Cotação de Materiais'!$C$4:$C$200,MATCH($A136,'Cotação de Materiais'!$A$4:$A$200,0)),IFERROR(INDEX('Mão de Obra e Serviços'!$B$4:$B$200,MATCH($A136,'Mão de Obra e Serviços'!$A$4:$A$200,0)),"")))</f>
        <v>Cabos de Aço e Acessórios</v>
      </c>
      <c r="D136" s="52" t="s">
        <v>406</v>
      </c>
      <c r="E136" s="55" t="n">
        <v>1</v>
      </c>
      <c r="F136" s="56" t="n">
        <v>1</v>
      </c>
      <c r="G136" s="57" t="n">
        <f aca="false">IF($A136="","",E136*IF(F136="",1,F136))</f>
        <v>1</v>
      </c>
      <c r="H136" s="31" t="n">
        <f aca="false">IF($A136="","",IF(SUMIF($A$6:$A$600,$A136,$G$6:$G$600)=0,0,G136/SUMIF($A$6:$A$600,$A136,$G$6:$G$600)))</f>
        <v>1</v>
      </c>
      <c r="I136" s="30" t="n">
        <f aca="false">IF($A136="","",IFERROR(INDEX('Cotação de Materiais'!$H$4:$H$200,MATCH($A136,'Cotação de Materiais'!$A$4:$A$200,0)),IFERROR(INDEX('Mão de Obra e Serviços'!$G$4:$G$200,MATCH($A136,'Mão de Obra e Serviços'!$A$4:$A$200,0)),0)))</f>
        <v>1404</v>
      </c>
      <c r="K136" s="30" t="n">
        <f aca="false">IF($A136="","",I136*H136)</f>
        <v>1404</v>
      </c>
      <c r="L136" s="58" t="s">
        <v>479</v>
      </c>
      <c r="M136" s="54" t="str">
        <f aca="false">IF($A136="","",IF(B136="CÓDIGO?","CÓDIGO NÃO ACHADO",IF($D136="","FALTA ITEM DO ANEXO",IF($D136="INDIRETO","",IF(COUNTIFS('Anexo III'!$B$8:$B$400,$D136,'Anexo III'!$E$8:$E$400,"&gt;0")=0,"ITEM NÃO ACHADO NO ANEXO","")))))</f>
        <v/>
      </c>
    </row>
    <row r="137" customFormat="false" ht="15" hidden="false" customHeight="false" outlineLevel="0" collapsed="false">
      <c r="A137" s="52" t="s">
        <v>282</v>
      </c>
      <c r="B137" s="53" t="str">
        <f aca="false">IF($A137="","",IF(ISNUMBER(MATCH($A137,'Cotação de Materiais'!$A$4:$A$200,0)),"MAT",IF(ISNUMBER(MATCH($A137,'Mão de Obra e Serviços'!$A$4:$A$200,0)),"MO","CÓDIGO?")))</f>
        <v>MAT</v>
      </c>
      <c r="C137" s="54" t="str">
        <f aca="false">IF($A137="","",IFERROR(INDEX('Cotação de Materiais'!$C$4:$C$200,MATCH($A137,'Cotação de Materiais'!$A$4:$A$200,0)),IFERROR(INDEX('Mão de Obra e Serviços'!$B$4:$B$200,MATCH($A137,'Mão de Obra e Serviços'!$A$4:$A$200,0)),"")))</f>
        <v>Rodízios Schioppa c/ Trava</v>
      </c>
      <c r="D137" s="52" t="s">
        <v>424</v>
      </c>
      <c r="E137" s="55" t="n">
        <v>1</v>
      </c>
      <c r="F137" s="56" t="n">
        <v>1</v>
      </c>
      <c r="G137" s="57" t="n">
        <f aca="false">IF($A137="","",E137*IF(F137="",1,F137))</f>
        <v>1</v>
      </c>
      <c r="H137" s="31" t="n">
        <f aca="false">IF($A137="","",IF(SUMIF($A$6:$A$600,$A137,$G$6:$G$600)=0,0,G137/SUMIF($A$6:$A$600,$A137,$G$6:$G$600)))</f>
        <v>1</v>
      </c>
      <c r="I137" s="30" t="n">
        <f aca="false">IF($A137="","",IFERROR(INDEX('Cotação de Materiais'!$H$4:$H$200,MATCH($A137,'Cotação de Materiais'!$A$4:$A$200,0)),IFERROR(INDEX('Mão de Obra e Serviços'!$G$4:$G$200,MATCH($A137,'Mão de Obra e Serviços'!$A$4:$A$200,0)),0)))</f>
        <v>624.6</v>
      </c>
      <c r="K137" s="30" t="n">
        <f aca="false">IF($A137="","",I137*H137)</f>
        <v>624.6</v>
      </c>
      <c r="L137" s="58" t="s">
        <v>480</v>
      </c>
      <c r="M137" s="54" t="str">
        <f aca="false">IF($A137="","",IF(B137="CÓDIGO?","CÓDIGO NÃO ACHADO",IF($D137="","FALTA ITEM DO ANEXO",IF($D137="INDIRETO","",IF(COUNTIFS('Anexo III'!$B$8:$B$400,$D137,'Anexo III'!$E$8:$E$400,"&gt;0")=0,"ITEM NÃO ACHADO NO ANEXO","")))))</f>
        <v/>
      </c>
    </row>
    <row r="138" customFormat="false" ht="15" hidden="false" customHeight="false" outlineLevel="0" collapsed="false">
      <c r="A138" s="52" t="s">
        <v>287</v>
      </c>
      <c r="B138" s="53" t="str">
        <f aca="false">IF($A138="","",IF(ISNUMBER(MATCH($A138,'Cotação de Materiais'!$A$4:$A$200,0)),"MAT",IF(ISNUMBER(MATCH($A138,'Mão de Obra e Serviços'!$A$4:$A$200,0)),"MO","CÓDIGO?")))</f>
        <v>MAT</v>
      </c>
      <c r="C138" s="54" t="str">
        <f aca="false">IF($A138="","",IFERROR(INDEX('Cotação de Materiais'!$C$4:$C$200,MATCH($A138,'Cotação de Materiais'!$A$4:$A$200,0)),IFERROR(INDEX('Mão de Obra e Serviços'!$B$4:$B$200,MATCH($A138,'Mão de Obra e Serviços'!$A$4:$A$200,0)),"")))</f>
        <v>Manta de Borracha / Feltros</v>
      </c>
      <c r="D138" s="52" t="s">
        <v>418</v>
      </c>
      <c r="E138" s="55" t="n">
        <v>1</v>
      </c>
      <c r="F138" s="56" t="n">
        <v>1</v>
      </c>
      <c r="G138" s="57" t="n">
        <f aca="false">IF($A138="","",E138*IF(F138="",1,F138))</f>
        <v>1</v>
      </c>
      <c r="H138" s="31" t="n">
        <f aca="false">IF($A138="","",IF(SUMIF($A$6:$A$600,$A138,$G$6:$G$600)=0,0,G138/SUMIF($A$6:$A$600,$A138,$G$6:$G$600)))</f>
        <v>0.5</v>
      </c>
      <c r="I138" s="30" t="n">
        <f aca="false">IF($A138="","",IFERROR(INDEX('Cotação de Materiais'!$H$4:$H$200,MATCH($A138,'Cotação de Materiais'!$A$4:$A$200,0)),IFERROR(INDEX('Mão de Obra e Serviços'!$G$4:$G$200,MATCH($A138,'Mão de Obra e Serviços'!$A$4:$A$200,0)),0)))</f>
        <v>220</v>
      </c>
      <c r="K138" s="30" t="n">
        <f aca="false">IF($A138="","",I138*H138)</f>
        <v>110</v>
      </c>
      <c r="L138" s="58" t="s">
        <v>481</v>
      </c>
      <c r="M138" s="54" t="str">
        <f aca="false">IF($A138="","",IF(B138="CÓDIGO?","CÓDIGO NÃO ACHADO",IF($D138="","FALTA ITEM DO ANEXO",IF($D138="INDIRETO","",IF(COUNTIFS('Anexo III'!$B$8:$B$400,$D138,'Anexo III'!$E$8:$E$400,"&gt;0")=0,"ITEM NÃO ACHADO NO ANEXO","")))))</f>
        <v/>
      </c>
    </row>
    <row r="139" customFormat="false" ht="15" hidden="false" customHeight="false" outlineLevel="0" collapsed="false">
      <c r="A139" s="52" t="s">
        <v>287</v>
      </c>
      <c r="B139" s="53" t="str">
        <f aca="false">IF($A139="","",IF(ISNUMBER(MATCH($A139,'Cotação de Materiais'!$A$4:$A$200,0)),"MAT",IF(ISNUMBER(MATCH($A139,'Mão de Obra e Serviços'!$A$4:$A$200,0)),"MO","CÓDIGO?")))</f>
        <v>MAT</v>
      </c>
      <c r="C139" s="54" t="str">
        <f aca="false">IF($A139="","",IFERROR(INDEX('Cotação de Materiais'!$C$4:$C$200,MATCH($A139,'Cotação de Materiais'!$A$4:$A$200,0)),IFERROR(INDEX('Mão de Obra e Serviços'!$B$4:$B$200,MATCH($A139,'Mão de Obra e Serviços'!$A$4:$A$200,0)),"")))</f>
        <v>Manta de Borracha / Feltros</v>
      </c>
      <c r="D139" s="52" t="s">
        <v>435</v>
      </c>
      <c r="E139" s="55" t="n">
        <v>1</v>
      </c>
      <c r="F139" s="56" t="n">
        <v>1</v>
      </c>
      <c r="G139" s="57" t="n">
        <f aca="false">IF($A139="","",E139*IF(F139="",1,F139))</f>
        <v>1</v>
      </c>
      <c r="H139" s="31" t="n">
        <f aca="false">IF($A139="","",IF(SUMIF($A$6:$A$600,$A139,$G$6:$G$600)=0,0,G139/SUMIF($A$6:$A$600,$A139,$G$6:$G$600)))</f>
        <v>0.5</v>
      </c>
      <c r="I139" s="30" t="n">
        <f aca="false">IF($A139="","",IFERROR(INDEX('Cotação de Materiais'!$H$4:$H$200,MATCH($A139,'Cotação de Materiais'!$A$4:$A$200,0)),IFERROR(INDEX('Mão de Obra e Serviços'!$G$4:$G$200,MATCH($A139,'Mão de Obra e Serviços'!$A$4:$A$200,0)),0)))</f>
        <v>220</v>
      </c>
      <c r="K139" s="30" t="n">
        <f aca="false">IF($A139="","",I139*H139)</f>
        <v>110</v>
      </c>
      <c r="L139" s="58" t="s">
        <v>481</v>
      </c>
      <c r="M139" s="54" t="str">
        <f aca="false">IF($A139="","",IF(B139="CÓDIGO?","CÓDIGO NÃO ACHADO",IF($D139="","FALTA ITEM DO ANEXO",IF($D139="INDIRETO","",IF(COUNTIFS('Anexo III'!$B$8:$B$400,$D139,'Anexo III'!$E$8:$E$400,"&gt;0")=0,"ITEM NÃO ACHADO NO ANEXO","")))))</f>
        <v/>
      </c>
    </row>
    <row r="140" customFormat="false" ht="15" hidden="false" customHeight="false" outlineLevel="0" collapsed="false">
      <c r="A140" s="52" t="s">
        <v>292</v>
      </c>
      <c r="B140" s="53" t="str">
        <f aca="false">IF($A140="","",IF(ISNUMBER(MATCH($A140,'Cotação de Materiais'!$A$4:$A$200,0)),"MAT",IF(ISNUMBER(MATCH($A140,'Mão de Obra e Serviços'!$A$4:$A$200,0)),"MO","CÓDIGO?")))</f>
        <v>MAT</v>
      </c>
      <c r="C140" s="54" t="str">
        <f aca="false">IF($A140="","",IFERROR(INDEX('Cotação de Materiais'!$C$4:$C$200,MATCH($A140,'Cotação de Materiais'!$A$4:$A$200,0)),IFERROR(INDEX('Mão de Obra e Serviços'!$B$4:$B$200,MATCH($A140,'Mão de Obra e Serviços'!$A$4:$A$200,0)),"")))</f>
        <v>Lastros de Estabilização</v>
      </c>
      <c r="D140" s="52" t="s">
        <v>435</v>
      </c>
      <c r="E140" s="55" t="n">
        <v>250</v>
      </c>
      <c r="F140" s="56" t="n">
        <v>1</v>
      </c>
      <c r="G140" s="57" t="n">
        <f aca="false">IF($A140="","",E140*IF(F140="",1,F140))</f>
        <v>250</v>
      </c>
      <c r="H140" s="31" t="n">
        <f aca="false">IF($A140="","",IF(SUMIF($A$6:$A$600,$A140,$G$6:$G$600)=0,0,G140/SUMIF($A$6:$A$600,$A140,$G$6:$G$600)))</f>
        <v>0.625</v>
      </c>
      <c r="I140" s="30" t="n">
        <f aca="false">IF($A140="","",IFERROR(INDEX('Cotação de Materiais'!$H$4:$H$200,MATCH($A140,'Cotação de Materiais'!$A$4:$A$200,0)),IFERROR(INDEX('Mão de Obra e Serviços'!$G$4:$G$200,MATCH($A140,'Mão de Obra e Serviços'!$A$4:$A$200,0)),0)))</f>
        <v>4800</v>
      </c>
      <c r="K140" s="30" t="n">
        <f aca="false">IF($A140="","",I140*H140)</f>
        <v>3000</v>
      </c>
      <c r="L140" s="58" t="s">
        <v>482</v>
      </c>
      <c r="M140" s="54" t="str">
        <f aca="false">IF($A140="","",IF(B140="CÓDIGO?","CÓDIGO NÃO ACHADO",IF($D140="","FALTA ITEM DO ANEXO",IF($D140="INDIRETO","",IF(COUNTIFS('Anexo III'!$B$8:$B$400,$D140,'Anexo III'!$E$8:$E$400,"&gt;0")=0,"ITEM NÃO ACHADO NO ANEXO","")))))</f>
        <v/>
      </c>
    </row>
    <row r="141" customFormat="false" ht="15" hidden="false" customHeight="false" outlineLevel="0" collapsed="false">
      <c r="A141" s="52" t="s">
        <v>292</v>
      </c>
      <c r="B141" s="53" t="str">
        <f aca="false">IF($A141="","",IF(ISNUMBER(MATCH($A141,'Cotação de Materiais'!$A$4:$A$200,0)),"MAT",IF(ISNUMBER(MATCH($A141,'Mão de Obra e Serviços'!$A$4:$A$200,0)),"MO","CÓDIGO?")))</f>
        <v>MAT</v>
      </c>
      <c r="C141" s="54" t="str">
        <f aca="false">IF($A141="","",IFERROR(INDEX('Cotação de Materiais'!$C$4:$C$200,MATCH($A141,'Cotação de Materiais'!$A$4:$A$200,0)),IFERROR(INDEX('Mão de Obra e Serviços'!$B$4:$B$200,MATCH($A141,'Mão de Obra e Serviços'!$A$4:$A$200,0)),"")))</f>
        <v>Lastros de Estabilização</v>
      </c>
      <c r="D141" s="52" t="s">
        <v>426</v>
      </c>
      <c r="E141" s="55" t="n">
        <v>75</v>
      </c>
      <c r="F141" s="56" t="n">
        <v>1</v>
      </c>
      <c r="G141" s="57" t="n">
        <f aca="false">IF($A141="","",E141*IF(F141="",1,F141))</f>
        <v>75</v>
      </c>
      <c r="H141" s="31" t="n">
        <f aca="false">IF($A141="","",IF(SUMIF($A$6:$A$600,$A141,$G$6:$G$600)=0,0,G141/SUMIF($A$6:$A$600,$A141,$G$6:$G$600)))</f>
        <v>0.1875</v>
      </c>
      <c r="I141" s="30" t="n">
        <f aca="false">IF($A141="","",IFERROR(INDEX('Cotação de Materiais'!$H$4:$H$200,MATCH($A141,'Cotação de Materiais'!$A$4:$A$200,0)),IFERROR(INDEX('Mão de Obra e Serviços'!$G$4:$G$200,MATCH($A141,'Mão de Obra e Serviços'!$A$4:$A$200,0)),0)))</f>
        <v>4800</v>
      </c>
      <c r="K141" s="30" t="n">
        <f aca="false">IF($A141="","",I141*H141)</f>
        <v>900</v>
      </c>
      <c r="L141" s="58" t="s">
        <v>482</v>
      </c>
      <c r="M141" s="54" t="str">
        <f aca="false">IF($A141="","",IF(B141="CÓDIGO?","CÓDIGO NÃO ACHADO",IF($D141="","FALTA ITEM DO ANEXO",IF($D141="INDIRETO","",IF(COUNTIFS('Anexo III'!$B$8:$B$400,$D141,'Anexo III'!$E$8:$E$400,"&gt;0")=0,"ITEM NÃO ACHADO NO ANEXO","")))))</f>
        <v/>
      </c>
    </row>
    <row r="142" customFormat="false" ht="15" hidden="false" customHeight="false" outlineLevel="0" collapsed="false">
      <c r="A142" s="52" t="s">
        <v>292</v>
      </c>
      <c r="B142" s="53" t="str">
        <f aca="false">IF($A142="","",IF(ISNUMBER(MATCH($A142,'Cotação de Materiais'!$A$4:$A$200,0)),"MAT",IF(ISNUMBER(MATCH($A142,'Mão de Obra e Serviços'!$A$4:$A$200,0)),"MO","CÓDIGO?")))</f>
        <v>MAT</v>
      </c>
      <c r="C142" s="54" t="str">
        <f aca="false">IF($A142="","",IFERROR(INDEX('Cotação de Materiais'!$C$4:$C$200,MATCH($A142,'Cotação de Materiais'!$A$4:$A$200,0)),IFERROR(INDEX('Mão de Obra e Serviços'!$B$4:$B$200,MATCH($A142,'Mão de Obra e Serviços'!$A$4:$A$200,0)),"")))</f>
        <v>Lastros de Estabilização</v>
      </c>
      <c r="D142" s="52" t="s">
        <v>418</v>
      </c>
      <c r="E142" s="55" t="n">
        <v>75</v>
      </c>
      <c r="F142" s="56" t="n">
        <v>1</v>
      </c>
      <c r="G142" s="57" t="n">
        <f aca="false">IF($A142="","",E142*IF(F142="",1,F142))</f>
        <v>75</v>
      </c>
      <c r="H142" s="31" t="n">
        <f aca="false">IF($A142="","",IF(SUMIF($A$6:$A$600,$A142,$G$6:$G$600)=0,0,G142/SUMIF($A$6:$A$600,$A142,$G$6:$G$600)))</f>
        <v>0.1875</v>
      </c>
      <c r="I142" s="30" t="n">
        <f aca="false">IF($A142="","",IFERROR(INDEX('Cotação de Materiais'!$H$4:$H$200,MATCH($A142,'Cotação de Materiais'!$A$4:$A$200,0)),IFERROR(INDEX('Mão de Obra e Serviços'!$G$4:$G$200,MATCH($A142,'Mão de Obra e Serviços'!$A$4:$A$200,0)),0)))</f>
        <v>4800</v>
      </c>
      <c r="K142" s="30" t="n">
        <f aca="false">IF($A142="","",I142*H142)</f>
        <v>900</v>
      </c>
      <c r="L142" s="58" t="s">
        <v>482</v>
      </c>
      <c r="M142" s="54" t="str">
        <f aca="false">IF($A142="","",IF(B142="CÓDIGO?","CÓDIGO NÃO ACHADO",IF($D142="","FALTA ITEM DO ANEXO",IF($D142="INDIRETO","",IF(COUNTIFS('Anexo III'!$B$8:$B$400,$D142,'Anexo III'!$E$8:$E$400,"&gt;0")=0,"ITEM NÃO ACHADO NO ANEXO","")))))</f>
        <v/>
      </c>
    </row>
    <row r="143" customFormat="false" ht="15" hidden="false" customHeight="false" outlineLevel="0" collapsed="false">
      <c r="A143" s="52" t="s">
        <v>298</v>
      </c>
      <c r="B143" s="53" t="str">
        <f aca="false">IF($A143="","",IF(ISNUMBER(MATCH($A143,'Cotação de Materiais'!$A$4:$A$200,0)),"MAT",IF(ISNUMBER(MATCH($A143,'Mão de Obra e Serviços'!$A$4:$A$200,0)),"MO","CÓDIGO?")))</f>
        <v>MAT</v>
      </c>
      <c r="C143" s="54" t="str">
        <f aca="false">IF($A143="","",IFERROR(INDEX('Cotação de Materiais'!$C$4:$C$200,MATCH($A143,'Cotação de Materiais'!$A$4:$A$200,0)),IFERROR(INDEX('Mão de Obra e Serviços'!$B$4:$B$200,MATCH($A143,'Mão de Obra e Serviços'!$A$4:$A$200,0)),"")))</f>
        <v>Estrutura de Mesas</v>
      </c>
      <c r="D143" s="52" t="s">
        <v>483</v>
      </c>
      <c r="E143" s="55" t="n">
        <v>1</v>
      </c>
      <c r="F143" s="56" t="n">
        <v>1</v>
      </c>
      <c r="G143" s="57" t="n">
        <f aca="false">IF($A143="","",E143*IF(F143="",1,F143))</f>
        <v>1</v>
      </c>
      <c r="H143" s="31" t="n">
        <f aca="false">IF($A143="","",IF(SUMIF($A$6:$A$600,$A143,$G$6:$G$600)=0,0,G143/SUMIF($A$6:$A$600,$A143,$G$6:$G$600)))</f>
        <v>1</v>
      </c>
      <c r="I143" s="30" t="n">
        <f aca="false">IF($A143="","",IFERROR(INDEX('Cotação de Materiais'!$H$4:$H$200,MATCH($A143,'Cotação de Materiais'!$A$4:$A$200,0)),IFERROR(INDEX('Mão de Obra e Serviços'!$G$4:$G$200,MATCH($A143,'Mão de Obra e Serviços'!$A$4:$A$200,0)),0)))</f>
        <v>700</v>
      </c>
      <c r="K143" s="30" t="n">
        <f aca="false">IF($A143="","",I143*H143)</f>
        <v>700</v>
      </c>
      <c r="L143" s="58" t="s">
        <v>484</v>
      </c>
      <c r="M143" s="54" t="str">
        <f aca="false">IF($A143="","",IF(B143="CÓDIGO?","CÓDIGO NÃO ACHADO",IF($D143="","FALTA ITEM DO ANEXO",IF($D143="INDIRETO","",IF(COUNTIFS('Anexo III'!$B$8:$B$400,$D143,'Anexo III'!$E$8:$E$400,"&gt;0")=0,"ITEM NÃO ACHADO NO ANEXO","")))))</f>
        <v/>
      </c>
    </row>
    <row r="144" customFormat="false" ht="15" hidden="false" customHeight="false" outlineLevel="0" collapsed="false">
      <c r="A144" s="52" t="s">
        <v>303</v>
      </c>
      <c r="B144" s="53" t="str">
        <f aca="false">IF($A144="","",IF(ISNUMBER(MATCH($A144,'Cotação de Materiais'!$A$4:$A$200,0)),"MAT",IF(ISNUMBER(MATCH($A144,'Mão de Obra e Serviços'!$A$4:$A$200,0)),"MO","CÓDIGO?")))</f>
        <v>MAT</v>
      </c>
      <c r="C144" s="54" t="str">
        <f aca="false">IF($A144="","",IFERROR(INDEX('Cotação de Materiais'!$C$4:$C$200,MATCH($A144,'Cotação de Materiais'!$A$4:$A$200,0)),IFERROR(INDEX('Mão de Obra e Serviços'!$B$4:$B$200,MATCH($A144,'Mão de Obra e Serviços'!$A$4:$A$200,0)),"")))</f>
        <v>Suporte Metálico</v>
      </c>
      <c r="D144" s="52" t="s">
        <v>485</v>
      </c>
      <c r="E144" s="55" t="n">
        <v>1</v>
      </c>
      <c r="F144" s="56" t="n">
        <v>1</v>
      </c>
      <c r="G144" s="57" t="n">
        <f aca="false">IF($A144="","",E144*IF(F144="",1,F144))</f>
        <v>1</v>
      </c>
      <c r="H144" s="31" t="n">
        <f aca="false">IF($A144="","",IF(SUMIF($A$6:$A$600,$A144,$G$6:$G$600)=0,0,G144/SUMIF($A$6:$A$600,$A144,$G$6:$G$600)))</f>
        <v>1</v>
      </c>
      <c r="I144" s="30" t="n">
        <f aca="false">IF($A144="","",IFERROR(INDEX('Cotação de Materiais'!$H$4:$H$200,MATCH($A144,'Cotação de Materiais'!$A$4:$A$200,0)),IFERROR(INDEX('Mão de Obra e Serviços'!$G$4:$G$200,MATCH($A144,'Mão de Obra e Serviços'!$A$4:$A$200,0)),0)))</f>
        <v>250</v>
      </c>
      <c r="K144" s="30" t="n">
        <f aca="false">IF($A144="","",I144*H144)</f>
        <v>250</v>
      </c>
      <c r="L144" s="58" t="s">
        <v>484</v>
      </c>
      <c r="M144" s="54" t="str">
        <f aca="false">IF($A144="","",IF(B144="CÓDIGO?","CÓDIGO NÃO ACHADO",IF($D144="","FALTA ITEM DO ANEXO",IF($D144="INDIRETO","",IF(COUNTIFS('Anexo III'!$B$8:$B$400,$D144,'Anexo III'!$E$8:$E$400,"&gt;0")=0,"ITEM NÃO ACHADO NO ANEXO","")))))</f>
        <v/>
      </c>
    </row>
    <row r="145" customFormat="false" ht="15" hidden="false" customHeight="false" outlineLevel="0" collapsed="false">
      <c r="A145" s="52" t="s">
        <v>306</v>
      </c>
      <c r="B145" s="53" t="str">
        <f aca="false">IF($A145="","",IF(ISNUMBER(MATCH($A145,'Cotação de Materiais'!$A$4:$A$200,0)),"MAT",IF(ISNUMBER(MATCH($A145,'Mão de Obra e Serviços'!$A$4:$A$200,0)),"MO","CÓDIGO?")))</f>
        <v>MAT</v>
      </c>
      <c r="C145" s="54" t="str">
        <f aca="false">IF($A145="","",IFERROR(INDEX('Cotação de Materiais'!$C$4:$C$200,MATCH($A145,'Cotação de Materiais'!$A$4:$A$200,0)),IFERROR(INDEX('Mão de Obra e Serviços'!$B$4:$B$200,MATCH($A145,'Mão de Obra e Serviços'!$A$4:$A$200,0)),"")))</f>
        <v>Banquinhos</v>
      </c>
      <c r="D145" s="52" t="s">
        <v>457</v>
      </c>
      <c r="E145" s="55" t="n">
        <v>1</v>
      </c>
      <c r="F145" s="56" t="n">
        <v>1</v>
      </c>
      <c r="G145" s="57" t="n">
        <f aca="false">IF($A145="","",E145*IF(F145="",1,F145))</f>
        <v>1</v>
      </c>
      <c r="H145" s="31" t="n">
        <f aca="false">IF($A145="","",IF(SUMIF($A$6:$A$600,$A145,$G$6:$G$600)=0,0,G145/SUMIF($A$6:$A$600,$A145,$G$6:$G$600)))</f>
        <v>1</v>
      </c>
      <c r="I145" s="30" t="n">
        <f aca="false">IF($A145="","",IFERROR(INDEX('Cotação de Materiais'!$H$4:$H$200,MATCH($A145,'Cotação de Materiais'!$A$4:$A$200,0)),IFERROR(INDEX('Mão de Obra e Serviços'!$G$4:$G$200,MATCH($A145,'Mão de Obra e Serviços'!$A$4:$A$200,0)),0)))</f>
        <v>750</v>
      </c>
      <c r="K145" s="30" t="n">
        <f aca="false">IF($A145="","",I145*H145)</f>
        <v>750</v>
      </c>
      <c r="L145" s="58" t="s">
        <v>484</v>
      </c>
      <c r="M145" s="54" t="str">
        <f aca="false">IF($A145="","",IF(B145="CÓDIGO?","CÓDIGO NÃO ACHADO",IF($D145="","FALTA ITEM DO ANEXO",IF($D145="INDIRETO","",IF(COUNTIFS('Anexo III'!$B$8:$B$400,$D145,'Anexo III'!$E$8:$E$400,"&gt;0")=0,"ITEM NÃO ACHADO NO ANEXO","")))))</f>
        <v/>
      </c>
    </row>
    <row r="146" customFormat="false" ht="15" hidden="false" customHeight="false" outlineLevel="0" collapsed="false">
      <c r="A146" s="52" t="s">
        <v>310</v>
      </c>
      <c r="B146" s="53" t="str">
        <f aca="false">IF($A146="","",IF(ISNUMBER(MATCH($A146,'Cotação de Materiais'!$A$4:$A$200,0)),"MAT",IF(ISNUMBER(MATCH($A146,'Mão de Obra e Serviços'!$A$4:$A$200,0)),"MO","CÓDIGO?")))</f>
        <v>MAT</v>
      </c>
      <c r="C146" s="54" t="str">
        <f aca="false">IF($A146="","",IFERROR(INDEX('Cotação de Materiais'!$C$4:$C$200,MATCH($A146,'Cotação de Materiais'!$A$4:$A$200,0)),IFERROR(INDEX('Mão de Obra e Serviços'!$B$4:$B$200,MATCH($A146,'Mão de Obra e Serviços'!$A$4:$A$200,0)),"")))</f>
        <v>Porta-Folders</v>
      </c>
      <c r="D146" s="52" t="s">
        <v>458</v>
      </c>
      <c r="E146" s="55" t="n">
        <v>1</v>
      </c>
      <c r="F146" s="56" t="n">
        <v>1</v>
      </c>
      <c r="G146" s="57" t="n">
        <f aca="false">IF($A146="","",E146*IF(F146="",1,F146))</f>
        <v>1</v>
      </c>
      <c r="H146" s="31" t="n">
        <f aca="false">IF($A146="","",IF(SUMIF($A$6:$A$600,$A146,$G$6:$G$600)=0,0,G146/SUMIF($A$6:$A$600,$A146,$G$6:$G$600)))</f>
        <v>1</v>
      </c>
      <c r="I146" s="30" t="n">
        <f aca="false">IF($A146="","",IFERROR(INDEX('Cotação de Materiais'!$H$4:$H$200,MATCH($A146,'Cotação de Materiais'!$A$4:$A$200,0)),IFERROR(INDEX('Mão de Obra e Serviços'!$G$4:$G$200,MATCH($A146,'Mão de Obra e Serviços'!$A$4:$A$200,0)),0)))</f>
        <v>100</v>
      </c>
      <c r="K146" s="30" t="n">
        <f aca="false">IF($A146="","",I146*H146)</f>
        <v>100</v>
      </c>
      <c r="L146" s="58" t="s">
        <v>484</v>
      </c>
      <c r="M146" s="54" t="str">
        <f aca="false">IF($A146="","",IF(B146="CÓDIGO?","CÓDIGO NÃO ACHADO",IF($D146="","FALTA ITEM DO ANEXO",IF($D146="INDIRETO","",IF(COUNTIFS('Anexo III'!$B$8:$B$400,$D146,'Anexo III'!$E$8:$E$400,"&gt;0")=0,"ITEM NÃO ACHADO NO ANEXO","")))))</f>
        <v/>
      </c>
    </row>
    <row r="147" customFormat="false" ht="15" hidden="false" customHeight="false" outlineLevel="0" collapsed="false">
      <c r="A147" s="52" t="s">
        <v>313</v>
      </c>
      <c r="B147" s="53" t="str">
        <f aca="false">IF($A147="","",IF(ISNUMBER(MATCH($A147,'Cotação de Materiais'!$A$4:$A$200,0)),"MAT",IF(ISNUMBER(MATCH($A147,'Mão de Obra e Serviços'!$A$4:$A$200,0)),"MO","CÓDIGO?")))</f>
        <v>MAT</v>
      </c>
      <c r="C147" s="54" t="str">
        <f aca="false">IF($A147="","",IFERROR(INDEX('Cotação de Materiais'!$C$4:$C$200,MATCH($A147,'Cotação de Materiais'!$A$4:$A$200,0)),IFERROR(INDEX('Mão de Obra e Serviços'!$B$4:$B$200,MATCH($A147,'Mão de Obra e Serviços'!$A$4:$A$200,0)),"")))</f>
        <v>Mesa Tátil</v>
      </c>
      <c r="D147" s="52" t="s">
        <v>459</v>
      </c>
      <c r="E147" s="55" t="n">
        <v>1</v>
      </c>
      <c r="F147" s="56" t="n">
        <v>1</v>
      </c>
      <c r="G147" s="57" t="n">
        <f aca="false">IF($A147="","",E147*IF(F147="",1,F147))</f>
        <v>1</v>
      </c>
      <c r="H147" s="31" t="n">
        <f aca="false">IF($A147="","",IF(SUMIF($A$6:$A$600,$A147,$G$6:$G$600)=0,0,G147/SUMIF($A$6:$A$600,$A147,$G$6:$G$600)))</f>
        <v>1</v>
      </c>
      <c r="I147" s="30" t="n">
        <f aca="false">IF($A147="","",IFERROR(INDEX('Cotação de Materiais'!$H$4:$H$200,MATCH($A147,'Cotação de Materiais'!$A$4:$A$200,0)),IFERROR(INDEX('Mão de Obra e Serviços'!$G$4:$G$200,MATCH($A147,'Mão de Obra e Serviços'!$A$4:$A$200,0)),0)))</f>
        <v>180</v>
      </c>
      <c r="K147" s="30" t="n">
        <f aca="false">IF($A147="","",I147*H147)</f>
        <v>180</v>
      </c>
      <c r="L147" s="58" t="s">
        <v>484</v>
      </c>
      <c r="M147" s="54" t="str">
        <f aca="false">IF($A147="","",IF(B147="CÓDIGO?","CÓDIGO NÃO ACHADO",IF($D147="","FALTA ITEM DO ANEXO",IF($D147="INDIRETO","",IF(COUNTIFS('Anexo III'!$B$8:$B$400,$D147,'Anexo III'!$E$8:$E$400,"&gt;0")=0,"ITEM NÃO ACHADO NO ANEXO","")))))</f>
        <v/>
      </c>
    </row>
    <row r="148" customFormat="false" ht="15" hidden="false" customHeight="false" outlineLevel="0" collapsed="false">
      <c r="A148" s="52" t="s">
        <v>324</v>
      </c>
      <c r="B148" s="53" t="str">
        <f aca="false">IF($A148="","",IF(ISNUMBER(MATCH($A148,'Cotação de Materiais'!$A$4:$A$200,0)),"MAT",IF(ISNUMBER(MATCH($A148,'Mão de Obra e Serviços'!$A$4:$A$200,0)),"MO","CÓDIGO?")))</f>
        <v>MO</v>
      </c>
      <c r="C148" s="54" t="str">
        <f aca="false">IF($A148="","",IFERROR(INDEX('Cotação de Materiais'!$C$4:$C$200,MATCH($A148,'Cotação de Materiais'!$A$4:$A$200,0)),IFERROR(INDEX('Mão de Obra e Serviços'!$B$4:$B$200,MATCH($A148,'Mão de Obra e Serviços'!$A$4:$A$200,0)),"")))</f>
        <v>Pintura por empreita — mão de obra</v>
      </c>
      <c r="D148" s="52" t="s">
        <v>397</v>
      </c>
      <c r="E148" s="55" t="n">
        <v>14</v>
      </c>
      <c r="F148" s="56" t="n">
        <v>1</v>
      </c>
      <c r="G148" s="57" t="n">
        <f aca="false">IF($A148="","",E148*IF(F148="",1,F148))</f>
        <v>14</v>
      </c>
      <c r="H148" s="31" t="n">
        <f aca="false">IF($A148="","",IF(SUMIF($A$6:$A$600,$A148,$G$6:$G$600)=0,0,G148/SUMIF($A$6:$A$600,$A148,$G$6:$G$600)))</f>
        <v>0.0195593556589407</v>
      </c>
      <c r="I148" s="30" t="n">
        <f aca="false">IF($A148="","",IFERROR(INDEX('Cotação de Materiais'!$H$4:$H$200,MATCH($A148,'Cotação de Materiais'!$A$4:$A$200,0)),IFERROR(INDEX('Mão de Obra e Serviços'!$G$4:$G$200,MATCH($A148,'Mão de Obra e Serviços'!$A$4:$A$200,0)),0)))</f>
        <v>27961</v>
      </c>
      <c r="K148" s="30" t="n">
        <f aca="false">IF($A148="","",I148*H148)</f>
        <v>546.899143579642</v>
      </c>
      <c r="L148" s="58" t="s">
        <v>486</v>
      </c>
      <c r="M148" s="54" t="str">
        <f aca="false">IF($A148="","",IF(B148="CÓDIGO?","CÓDIGO NÃO ACHADO",IF($D148="","FALTA ITEM DO ANEXO",IF($D148="INDIRETO","",IF(COUNTIFS('Anexo III'!$B$8:$B$400,$D148,'Anexo III'!$E$8:$E$400,"&gt;0")=0,"ITEM NÃO ACHADO NO ANEXO","")))))</f>
        <v/>
      </c>
    </row>
    <row r="149" customFormat="false" ht="15" hidden="false" customHeight="false" outlineLevel="0" collapsed="false">
      <c r="A149" s="52" t="s">
        <v>324</v>
      </c>
      <c r="B149" s="53" t="str">
        <f aca="false">IF($A149="","",IF(ISNUMBER(MATCH($A149,'Cotação de Materiais'!$A$4:$A$200,0)),"MAT",IF(ISNUMBER(MATCH($A149,'Mão de Obra e Serviços'!$A$4:$A$200,0)),"MO","CÓDIGO?")))</f>
        <v>MO</v>
      </c>
      <c r="C149" s="54" t="str">
        <f aca="false">IF($A149="","",IFERROR(INDEX('Cotação de Materiais'!$C$4:$C$200,MATCH($A149,'Cotação de Materiais'!$A$4:$A$200,0)),IFERROR(INDEX('Mão de Obra e Serviços'!$B$4:$B$200,MATCH($A149,'Mão de Obra e Serviços'!$A$4:$A$200,0)),"")))</f>
        <v>Pintura por empreita — mão de obra</v>
      </c>
      <c r="D149" s="52" t="s">
        <v>399</v>
      </c>
      <c r="E149" s="55" t="n">
        <v>11.8</v>
      </c>
      <c r="F149" s="56" t="n">
        <v>1</v>
      </c>
      <c r="G149" s="57" t="n">
        <f aca="false">IF($A149="","",E149*IF(F149="",1,F149))</f>
        <v>11.8</v>
      </c>
      <c r="H149" s="31" t="n">
        <f aca="false">IF($A149="","",IF(SUMIF($A$6:$A$600,$A149,$G$6:$G$600)=0,0,G149/SUMIF($A$6:$A$600,$A149,$G$6:$G$600)))</f>
        <v>0.0164857426268215</v>
      </c>
      <c r="I149" s="30" t="n">
        <f aca="false">IF($A149="","",IFERROR(INDEX('Cotação de Materiais'!$H$4:$H$200,MATCH($A149,'Cotação de Materiais'!$A$4:$A$200,0)),IFERROR(INDEX('Mão de Obra e Serviços'!$G$4:$G$200,MATCH($A149,'Mão de Obra e Serviços'!$A$4:$A$200,0)),0)))</f>
        <v>27961</v>
      </c>
      <c r="K149" s="30" t="n">
        <f aca="false">IF($A149="","",I149*H149)</f>
        <v>460.957849588555</v>
      </c>
      <c r="L149" s="58" t="s">
        <v>486</v>
      </c>
      <c r="M149" s="54" t="str">
        <f aca="false">IF($A149="","",IF(B149="CÓDIGO?","CÓDIGO NÃO ACHADO",IF($D149="","FALTA ITEM DO ANEXO",IF($D149="INDIRETO","",IF(COUNTIFS('Anexo III'!$B$8:$B$400,$D149,'Anexo III'!$E$8:$E$400,"&gt;0")=0,"ITEM NÃO ACHADO NO ANEXO","")))))</f>
        <v/>
      </c>
    </row>
    <row r="150" customFormat="false" ht="15" hidden="false" customHeight="false" outlineLevel="0" collapsed="false">
      <c r="A150" s="52" t="s">
        <v>324</v>
      </c>
      <c r="B150" s="53" t="str">
        <f aca="false">IF($A150="","",IF(ISNUMBER(MATCH($A150,'Cotação de Materiais'!$A$4:$A$200,0)),"MAT",IF(ISNUMBER(MATCH($A150,'Mão de Obra e Serviços'!$A$4:$A$200,0)),"MO","CÓDIGO?")))</f>
        <v>MO</v>
      </c>
      <c r="C150" s="54" t="str">
        <f aca="false">IF($A150="","",IFERROR(INDEX('Cotação de Materiais'!$C$4:$C$200,MATCH($A150,'Cotação de Materiais'!$A$4:$A$200,0)),IFERROR(INDEX('Mão de Obra e Serviços'!$B$4:$B$200,MATCH($A150,'Mão de Obra e Serviços'!$A$4:$A$200,0)),"")))</f>
        <v>Pintura por empreita — mão de obra</v>
      </c>
      <c r="D150" s="52" t="s">
        <v>400</v>
      </c>
      <c r="E150" s="55" t="n">
        <v>32</v>
      </c>
      <c r="F150" s="56" t="n">
        <v>1</v>
      </c>
      <c r="G150" s="57" t="n">
        <f aca="false">IF($A150="","",E150*IF(F150="",1,F150))</f>
        <v>32</v>
      </c>
      <c r="H150" s="31" t="n">
        <f aca="false">IF($A150="","",IF(SUMIF($A$6:$A$600,$A150,$G$6:$G$600)=0,0,G150/SUMIF($A$6:$A$600,$A150,$G$6:$G$600)))</f>
        <v>0.0447070986490074</v>
      </c>
      <c r="I150" s="30" t="n">
        <f aca="false">IF($A150="","",IFERROR(INDEX('Cotação de Materiais'!$H$4:$H$200,MATCH($A150,'Cotação de Materiais'!$A$4:$A$200,0)),IFERROR(INDEX('Mão de Obra e Serviços'!$G$4:$G$200,MATCH($A150,'Mão de Obra e Serviços'!$A$4:$A$200,0)),0)))</f>
        <v>27961</v>
      </c>
      <c r="K150" s="30" t="n">
        <f aca="false">IF($A150="","",I150*H150)</f>
        <v>1250.05518532489</v>
      </c>
      <c r="L150" s="58" t="s">
        <v>486</v>
      </c>
      <c r="M150" s="54" t="str">
        <f aca="false">IF($A150="","",IF(B150="CÓDIGO?","CÓDIGO NÃO ACHADO",IF($D150="","FALTA ITEM DO ANEXO",IF($D150="INDIRETO","",IF(COUNTIFS('Anexo III'!$B$8:$B$400,$D150,'Anexo III'!$E$8:$E$400,"&gt;0")=0,"ITEM NÃO ACHADO NO ANEXO","")))))</f>
        <v/>
      </c>
    </row>
    <row r="151" customFormat="false" ht="15" hidden="false" customHeight="false" outlineLevel="0" collapsed="false">
      <c r="A151" s="52" t="s">
        <v>324</v>
      </c>
      <c r="B151" s="53" t="str">
        <f aca="false">IF($A151="","",IF(ISNUMBER(MATCH($A151,'Cotação de Materiais'!$A$4:$A$200,0)),"MAT",IF(ISNUMBER(MATCH($A151,'Mão de Obra e Serviços'!$A$4:$A$200,0)),"MO","CÓDIGO?")))</f>
        <v>MO</v>
      </c>
      <c r="C151" s="54" t="str">
        <f aca="false">IF($A151="","",IFERROR(INDEX('Cotação de Materiais'!$C$4:$C$200,MATCH($A151,'Cotação de Materiais'!$A$4:$A$200,0)),IFERROR(INDEX('Mão de Obra e Serviços'!$B$4:$B$200,MATCH($A151,'Mão de Obra e Serviços'!$A$4:$A$200,0)),"")))</f>
        <v>Pintura por empreita — mão de obra</v>
      </c>
      <c r="D151" s="52" t="s">
        <v>401</v>
      </c>
      <c r="E151" s="55" t="n">
        <v>25</v>
      </c>
      <c r="F151" s="56" t="n">
        <v>1</v>
      </c>
      <c r="G151" s="57" t="n">
        <f aca="false">IF($A151="","",E151*IF(F151="",1,F151))</f>
        <v>25</v>
      </c>
      <c r="H151" s="31" t="n">
        <f aca="false">IF($A151="","",IF(SUMIF($A$6:$A$600,$A151,$G$6:$G$600)=0,0,G151/SUMIF($A$6:$A$600,$A151,$G$6:$G$600)))</f>
        <v>0.034927420819537</v>
      </c>
      <c r="I151" s="30" t="n">
        <f aca="false">IF($A151="","",IFERROR(INDEX('Cotação de Materiais'!$H$4:$H$200,MATCH($A151,'Cotação de Materiais'!$A$4:$A$200,0)),IFERROR(INDEX('Mão de Obra e Serviços'!$G$4:$G$200,MATCH($A151,'Mão de Obra e Serviços'!$A$4:$A$200,0)),0)))</f>
        <v>27961</v>
      </c>
      <c r="K151" s="30" t="n">
        <f aca="false">IF($A151="","",I151*H151)</f>
        <v>976.605613535074</v>
      </c>
      <c r="L151" s="58" t="s">
        <v>486</v>
      </c>
      <c r="M151" s="54" t="str">
        <f aca="false">IF($A151="","",IF(B151="CÓDIGO?","CÓDIGO NÃO ACHADO",IF($D151="","FALTA ITEM DO ANEXO",IF($D151="INDIRETO","",IF(COUNTIFS('Anexo III'!$B$8:$B$400,$D151,'Anexo III'!$E$8:$E$400,"&gt;0")=0,"ITEM NÃO ACHADO NO ANEXO","")))))</f>
        <v/>
      </c>
    </row>
    <row r="152" customFormat="false" ht="15" hidden="false" customHeight="false" outlineLevel="0" collapsed="false">
      <c r="A152" s="52" t="s">
        <v>324</v>
      </c>
      <c r="B152" s="53" t="str">
        <f aca="false">IF($A152="","",IF(ISNUMBER(MATCH($A152,'Cotação de Materiais'!$A$4:$A$200,0)),"MAT",IF(ISNUMBER(MATCH($A152,'Mão de Obra e Serviços'!$A$4:$A$200,0)),"MO","CÓDIGO?")))</f>
        <v>MO</v>
      </c>
      <c r="C152" s="54" t="str">
        <f aca="false">IF($A152="","",IFERROR(INDEX('Cotação de Materiais'!$C$4:$C$200,MATCH($A152,'Cotação de Materiais'!$A$4:$A$200,0)),IFERROR(INDEX('Mão de Obra e Serviços'!$B$4:$B$200,MATCH($A152,'Mão de Obra e Serviços'!$A$4:$A$200,0)),"")))</f>
        <v>Pintura por empreita — mão de obra</v>
      </c>
      <c r="D152" s="52" t="s">
        <v>402</v>
      </c>
      <c r="E152" s="55" t="n">
        <v>16.5</v>
      </c>
      <c r="F152" s="56" t="n">
        <v>1</v>
      </c>
      <c r="G152" s="57" t="n">
        <f aca="false">IF($A152="","",E152*IF(F152="",1,F152))</f>
        <v>16.5</v>
      </c>
      <c r="H152" s="31" t="n">
        <f aca="false">IF($A152="","",IF(SUMIF($A$6:$A$600,$A152,$G$6:$G$600)=0,0,G152/SUMIF($A$6:$A$600,$A152,$G$6:$G$600)))</f>
        <v>0.0230520977408944</v>
      </c>
      <c r="I152" s="30" t="n">
        <f aca="false">IF($A152="","",IFERROR(INDEX('Cotação de Materiais'!$H$4:$H$200,MATCH($A152,'Cotação de Materiais'!$A$4:$A$200,0)),IFERROR(INDEX('Mão de Obra e Serviços'!$G$4:$G$200,MATCH($A152,'Mão de Obra e Serviços'!$A$4:$A$200,0)),0)))</f>
        <v>27961</v>
      </c>
      <c r="K152" s="30" t="n">
        <f aca="false">IF($A152="","",I152*H152)</f>
        <v>644.559704933149</v>
      </c>
      <c r="L152" s="58" t="s">
        <v>486</v>
      </c>
      <c r="M152" s="54" t="str">
        <f aca="false">IF($A152="","",IF(B152="CÓDIGO?","CÓDIGO NÃO ACHADO",IF($D152="","FALTA ITEM DO ANEXO",IF($D152="INDIRETO","",IF(COUNTIFS('Anexo III'!$B$8:$B$400,$D152,'Anexo III'!$E$8:$E$400,"&gt;0")=0,"ITEM NÃO ACHADO NO ANEXO","")))))</f>
        <v/>
      </c>
    </row>
    <row r="153" customFormat="false" ht="15" hidden="false" customHeight="false" outlineLevel="0" collapsed="false">
      <c r="A153" s="52" t="s">
        <v>324</v>
      </c>
      <c r="B153" s="53" t="str">
        <f aca="false">IF($A153="","",IF(ISNUMBER(MATCH($A153,'Cotação de Materiais'!$A$4:$A$200,0)),"MAT",IF(ISNUMBER(MATCH($A153,'Mão de Obra e Serviços'!$A$4:$A$200,0)),"MO","CÓDIGO?")))</f>
        <v>MO</v>
      </c>
      <c r="C153" s="54" t="str">
        <f aca="false">IF($A153="","",IFERROR(INDEX('Cotação de Materiais'!$C$4:$C$200,MATCH($A153,'Cotação de Materiais'!$A$4:$A$200,0)),IFERROR(INDEX('Mão de Obra e Serviços'!$B$4:$B$200,MATCH($A153,'Mão de Obra e Serviços'!$A$4:$A$200,0)),"")))</f>
        <v>Pintura por empreita — mão de obra</v>
      </c>
      <c r="D153" s="52" t="s">
        <v>407</v>
      </c>
      <c r="E153" s="55" t="n">
        <v>38.58</v>
      </c>
      <c r="F153" s="56" t="n">
        <v>1</v>
      </c>
      <c r="G153" s="57" t="n">
        <f aca="false">IF($A153="","",E153*IF(F153="",1,F153))</f>
        <v>38.58</v>
      </c>
      <c r="H153" s="31" t="n">
        <f aca="false">IF($A153="","",IF(SUMIF($A$6:$A$600,$A153,$G$6:$G$600)=0,0,G153/SUMIF($A$6:$A$600,$A153,$G$6:$G$600)))</f>
        <v>0.0538999958087095</v>
      </c>
      <c r="I153" s="30" t="n">
        <f aca="false">IF($A153="","",IFERROR(INDEX('Cotação de Materiais'!$H$4:$H$200,MATCH($A153,'Cotação de Materiais'!$A$4:$A$200,0)),IFERROR(INDEX('Mão de Obra e Serviços'!$G$4:$G$200,MATCH($A153,'Mão de Obra e Serviços'!$A$4:$A$200,0)),0)))</f>
        <v>27961</v>
      </c>
      <c r="K153" s="30" t="n">
        <f aca="false">IF($A153="","",I153*H153)</f>
        <v>1507.09778280733</v>
      </c>
      <c r="L153" s="58" t="s">
        <v>486</v>
      </c>
      <c r="M153" s="54" t="str">
        <f aca="false">IF($A153="","",IF(B153="CÓDIGO?","CÓDIGO NÃO ACHADO",IF($D153="","FALTA ITEM DO ANEXO",IF($D153="INDIRETO","",IF(COUNTIFS('Anexo III'!$B$8:$B$400,$D153,'Anexo III'!$E$8:$E$400,"&gt;0")=0,"ITEM NÃO ACHADO NO ANEXO","")))))</f>
        <v/>
      </c>
    </row>
    <row r="154" customFormat="false" ht="15" hidden="false" customHeight="false" outlineLevel="0" collapsed="false">
      <c r="A154" s="52" t="s">
        <v>324</v>
      </c>
      <c r="B154" s="53" t="str">
        <f aca="false">IF($A154="","",IF(ISNUMBER(MATCH($A154,'Cotação de Materiais'!$A$4:$A$200,0)),"MAT",IF(ISNUMBER(MATCH($A154,'Mão de Obra e Serviços'!$A$4:$A$200,0)),"MO","CÓDIGO?")))</f>
        <v>MO</v>
      </c>
      <c r="C154" s="54" t="str">
        <f aca="false">IF($A154="","",IFERROR(INDEX('Cotação de Materiais'!$C$4:$C$200,MATCH($A154,'Cotação de Materiais'!$A$4:$A$200,0)),IFERROR(INDEX('Mão de Obra e Serviços'!$B$4:$B$200,MATCH($A154,'Mão de Obra e Serviços'!$A$4:$A$200,0)),"")))</f>
        <v>Pintura por empreita — mão de obra</v>
      </c>
      <c r="D154" s="52" t="s">
        <v>408</v>
      </c>
      <c r="E154" s="55" t="n">
        <v>12.5</v>
      </c>
      <c r="F154" s="56" t="n">
        <v>1</v>
      </c>
      <c r="G154" s="57" t="n">
        <f aca="false">IF($A154="","",E154*IF(F154="",1,F154))</f>
        <v>12.5</v>
      </c>
      <c r="H154" s="31" t="n">
        <f aca="false">IF($A154="","",IF(SUMIF($A$6:$A$600,$A154,$G$6:$G$600)=0,0,G154/SUMIF($A$6:$A$600,$A154,$G$6:$G$600)))</f>
        <v>0.0174637104097685</v>
      </c>
      <c r="I154" s="30" t="n">
        <f aca="false">IF($A154="","",IFERROR(INDEX('Cotação de Materiais'!$H$4:$H$200,MATCH($A154,'Cotação de Materiais'!$A$4:$A$200,0)),IFERROR(INDEX('Mão de Obra e Serviços'!$G$4:$G$200,MATCH($A154,'Mão de Obra e Serviços'!$A$4:$A$200,0)),0)))</f>
        <v>27961</v>
      </c>
      <c r="K154" s="30" t="n">
        <f aca="false">IF($A154="","",I154*H154)</f>
        <v>488.302806767537</v>
      </c>
      <c r="L154" s="58" t="s">
        <v>486</v>
      </c>
      <c r="M154" s="54" t="str">
        <f aca="false">IF($A154="","",IF(B154="CÓDIGO?","CÓDIGO NÃO ACHADO",IF($D154="","FALTA ITEM DO ANEXO",IF($D154="INDIRETO","",IF(COUNTIFS('Anexo III'!$B$8:$B$400,$D154,'Anexo III'!$E$8:$E$400,"&gt;0")=0,"ITEM NÃO ACHADO NO ANEXO","")))))</f>
        <v/>
      </c>
    </row>
    <row r="155" customFormat="false" ht="15" hidden="false" customHeight="false" outlineLevel="0" collapsed="false">
      <c r="A155" s="52" t="s">
        <v>324</v>
      </c>
      <c r="B155" s="53" t="str">
        <f aca="false">IF($A155="","",IF(ISNUMBER(MATCH($A155,'Cotação de Materiais'!$A$4:$A$200,0)),"MAT",IF(ISNUMBER(MATCH($A155,'Mão de Obra e Serviços'!$A$4:$A$200,0)),"MO","CÓDIGO?")))</f>
        <v>MO</v>
      </c>
      <c r="C155" s="54" t="str">
        <f aca="false">IF($A155="","",IFERROR(INDEX('Cotação de Materiais'!$C$4:$C$200,MATCH($A155,'Cotação de Materiais'!$A$4:$A$200,0)),IFERROR(INDEX('Mão de Obra e Serviços'!$B$4:$B$200,MATCH($A155,'Mão de Obra e Serviços'!$A$4:$A$200,0)),"")))</f>
        <v>Pintura por empreita — mão de obra</v>
      </c>
      <c r="D155" s="52" t="s">
        <v>409</v>
      </c>
      <c r="E155" s="55" t="n">
        <v>2.11</v>
      </c>
      <c r="F155" s="56" t="n">
        <v>1</v>
      </c>
      <c r="G155" s="57" t="n">
        <f aca="false">IF($A155="","",E155*IF(F155="",1,F155))</f>
        <v>2.11</v>
      </c>
      <c r="H155" s="31" t="n">
        <f aca="false">IF($A155="","",IF(SUMIF($A$6:$A$600,$A155,$G$6:$G$600)=0,0,G155/SUMIF($A$6:$A$600,$A155,$G$6:$G$600)))</f>
        <v>0.00294787431716892</v>
      </c>
      <c r="I155" s="30" t="n">
        <f aca="false">IF($A155="","",IFERROR(INDEX('Cotação de Materiais'!$H$4:$H$200,MATCH($A155,'Cotação de Materiais'!$A$4:$A$200,0)),IFERROR(INDEX('Mão de Obra e Serviços'!$G$4:$G$200,MATCH($A155,'Mão de Obra e Serviços'!$A$4:$A$200,0)),0)))</f>
        <v>27961</v>
      </c>
      <c r="K155" s="30" t="n">
        <f aca="false">IF($A155="","",I155*H155)</f>
        <v>82.4255137823602</v>
      </c>
      <c r="L155" s="58" t="s">
        <v>486</v>
      </c>
      <c r="M155" s="54" t="str">
        <f aca="false">IF($A155="","",IF(B155="CÓDIGO?","CÓDIGO NÃO ACHADO",IF($D155="","FALTA ITEM DO ANEXO",IF($D155="INDIRETO","",IF(COUNTIFS('Anexo III'!$B$8:$B$400,$D155,'Anexo III'!$E$8:$E$400,"&gt;0")=0,"ITEM NÃO ACHADO NO ANEXO","")))))</f>
        <v/>
      </c>
    </row>
    <row r="156" customFormat="false" ht="15" hidden="false" customHeight="false" outlineLevel="0" collapsed="false">
      <c r="A156" s="52" t="s">
        <v>324</v>
      </c>
      <c r="B156" s="53" t="str">
        <f aca="false">IF($A156="","",IF(ISNUMBER(MATCH($A156,'Cotação de Materiais'!$A$4:$A$200,0)),"MAT",IF(ISNUMBER(MATCH($A156,'Mão de Obra e Serviços'!$A$4:$A$200,0)),"MO","CÓDIGO?")))</f>
        <v>MO</v>
      </c>
      <c r="C156" s="54" t="str">
        <f aca="false">IF($A156="","",IFERROR(INDEX('Cotação de Materiais'!$C$4:$C$200,MATCH($A156,'Cotação de Materiais'!$A$4:$A$200,0)),IFERROR(INDEX('Mão de Obra e Serviços'!$B$4:$B$200,MATCH($A156,'Mão de Obra e Serviços'!$A$4:$A$200,0)),"")))</f>
        <v>Pintura por empreita — mão de obra</v>
      </c>
      <c r="D156" s="52" t="s">
        <v>418</v>
      </c>
      <c r="E156" s="55" t="n">
        <v>32.41</v>
      </c>
      <c r="F156" s="56" t="n">
        <v>1</v>
      </c>
      <c r="G156" s="57" t="n">
        <f aca="false">IF($A156="","",E156*IF(F156="",1,F156))</f>
        <v>32.41</v>
      </c>
      <c r="H156" s="31" t="n">
        <f aca="false">IF($A156="","",IF(SUMIF($A$6:$A$600,$A156,$G$6:$G$600)=0,0,G156/SUMIF($A$6:$A$600,$A156,$G$6:$G$600)))</f>
        <v>0.0452799083504478</v>
      </c>
      <c r="I156" s="30" t="n">
        <f aca="false">IF($A156="","",IFERROR(INDEX('Cotação de Materiais'!$H$4:$H$200,MATCH($A156,'Cotação de Materiais'!$A$4:$A$200,0)),IFERROR(INDEX('Mão de Obra e Serviços'!$G$4:$G$200,MATCH($A156,'Mão de Obra e Serviços'!$A$4:$A$200,0)),0)))</f>
        <v>27961</v>
      </c>
      <c r="K156" s="30" t="n">
        <f aca="false">IF($A156="","",I156*H156)</f>
        <v>1266.07151738687</v>
      </c>
      <c r="L156" s="58" t="s">
        <v>486</v>
      </c>
      <c r="M156" s="54" t="str">
        <f aca="false">IF($A156="","",IF(B156="CÓDIGO?","CÓDIGO NÃO ACHADO",IF($D156="","FALTA ITEM DO ANEXO",IF($D156="INDIRETO","",IF(COUNTIFS('Anexo III'!$B$8:$B$400,$D156,'Anexo III'!$E$8:$E$400,"&gt;0")=0,"ITEM NÃO ACHADO NO ANEXO","")))))</f>
        <v/>
      </c>
    </row>
    <row r="157" customFormat="false" ht="15" hidden="false" customHeight="false" outlineLevel="0" collapsed="false">
      <c r="A157" s="52" t="s">
        <v>324</v>
      </c>
      <c r="B157" s="53" t="str">
        <f aca="false">IF($A157="","",IF(ISNUMBER(MATCH($A157,'Cotação de Materiais'!$A$4:$A$200,0)),"MAT",IF(ISNUMBER(MATCH($A157,'Mão de Obra e Serviços'!$A$4:$A$200,0)),"MO","CÓDIGO?")))</f>
        <v>MO</v>
      </c>
      <c r="C157" s="54" t="str">
        <f aca="false">IF($A157="","",IFERROR(INDEX('Cotação de Materiais'!$C$4:$C$200,MATCH($A157,'Cotação de Materiais'!$A$4:$A$200,0)),IFERROR(INDEX('Mão de Obra e Serviços'!$B$4:$B$200,MATCH($A157,'Mão de Obra e Serviços'!$A$4:$A$200,0)),"")))</f>
        <v>Pintura por empreita — mão de obra</v>
      </c>
      <c r="D157" s="52" t="s">
        <v>457</v>
      </c>
      <c r="E157" s="55" t="n">
        <v>19.5</v>
      </c>
      <c r="F157" s="56" t="n">
        <v>1</v>
      </c>
      <c r="G157" s="57" t="n">
        <f aca="false">IF($A157="","",E157*IF(F157="",1,F157))</f>
        <v>19.5</v>
      </c>
      <c r="H157" s="31" t="n">
        <f aca="false">IF($A157="","",IF(SUMIF($A$6:$A$600,$A157,$G$6:$G$600)=0,0,G157/SUMIF($A$6:$A$600,$A157,$G$6:$G$600)))</f>
        <v>0.0272433882392389</v>
      </c>
      <c r="I157" s="30" t="n">
        <f aca="false">IF($A157="","",IFERROR(INDEX('Cotação de Materiais'!$H$4:$H$200,MATCH($A157,'Cotação de Materiais'!$A$4:$A$200,0)),IFERROR(INDEX('Mão de Obra e Serviços'!$G$4:$G$200,MATCH($A157,'Mão de Obra e Serviços'!$A$4:$A$200,0)),0)))</f>
        <v>27961</v>
      </c>
      <c r="K157" s="30" t="n">
        <f aca="false">IF($A157="","",I157*H157)</f>
        <v>761.752378557358</v>
      </c>
      <c r="L157" s="58" t="s">
        <v>486</v>
      </c>
      <c r="M157" s="54" t="str">
        <f aca="false">IF($A157="","",IF(B157="CÓDIGO?","CÓDIGO NÃO ACHADO",IF($D157="","FALTA ITEM DO ANEXO",IF($D157="INDIRETO","",IF(COUNTIFS('Anexo III'!$B$8:$B$400,$D157,'Anexo III'!$E$8:$E$400,"&gt;0")=0,"ITEM NÃO ACHADO NO ANEXO","")))))</f>
        <v/>
      </c>
    </row>
    <row r="158" customFormat="false" ht="15" hidden="false" customHeight="false" outlineLevel="0" collapsed="false">
      <c r="A158" s="52" t="s">
        <v>324</v>
      </c>
      <c r="B158" s="53" t="str">
        <f aca="false">IF($A158="","",IF(ISNUMBER(MATCH($A158,'Cotação de Materiais'!$A$4:$A$200,0)),"MAT",IF(ISNUMBER(MATCH($A158,'Mão de Obra e Serviços'!$A$4:$A$200,0)),"MO","CÓDIGO?")))</f>
        <v>MO</v>
      </c>
      <c r="C158" s="54" t="str">
        <f aca="false">IF($A158="","",IFERROR(INDEX('Cotação de Materiais'!$C$4:$C$200,MATCH($A158,'Cotação de Materiais'!$A$4:$A$200,0)),IFERROR(INDEX('Mão de Obra e Serviços'!$B$4:$B$200,MATCH($A158,'Mão de Obra e Serviços'!$A$4:$A$200,0)),"")))</f>
        <v>Pintura por empreita — mão de obra</v>
      </c>
      <c r="D158" s="52" t="s">
        <v>458</v>
      </c>
      <c r="E158" s="55" t="n">
        <v>2.76</v>
      </c>
      <c r="F158" s="56" t="n">
        <v>1</v>
      </c>
      <c r="G158" s="57" t="n">
        <f aca="false">IF($A158="","",E158*IF(F158="",1,F158))</f>
        <v>2.76</v>
      </c>
      <c r="H158" s="31" t="n">
        <f aca="false">IF($A158="","",IF(SUMIF($A$6:$A$600,$A158,$G$6:$G$600)=0,0,G158/SUMIF($A$6:$A$600,$A158,$G$6:$G$600)))</f>
        <v>0.00385598725847689</v>
      </c>
      <c r="I158" s="30" t="n">
        <f aca="false">IF($A158="","",IFERROR(INDEX('Cotação de Materiais'!$H$4:$H$200,MATCH($A158,'Cotação de Materiais'!$A$4:$A$200,0)),IFERROR(INDEX('Mão de Obra e Serviços'!$G$4:$G$200,MATCH($A158,'Mão de Obra e Serviços'!$A$4:$A$200,0)),0)))</f>
        <v>27961</v>
      </c>
      <c r="K158" s="30" t="n">
        <f aca="false">IF($A158="","",I158*H158)</f>
        <v>107.817259734272</v>
      </c>
      <c r="L158" s="58" t="s">
        <v>486</v>
      </c>
      <c r="M158" s="54" t="str">
        <f aca="false">IF($A158="","",IF(B158="CÓDIGO?","CÓDIGO NÃO ACHADO",IF($D158="","FALTA ITEM DO ANEXO",IF($D158="INDIRETO","",IF(COUNTIFS('Anexo III'!$B$8:$B$400,$D158,'Anexo III'!$E$8:$E$400,"&gt;0")=0,"ITEM NÃO ACHADO NO ANEXO","")))))</f>
        <v/>
      </c>
    </row>
    <row r="159" customFormat="false" ht="15" hidden="false" customHeight="false" outlineLevel="0" collapsed="false">
      <c r="A159" s="52" t="s">
        <v>324</v>
      </c>
      <c r="B159" s="53" t="str">
        <f aca="false">IF($A159="","",IF(ISNUMBER(MATCH($A159,'Cotação de Materiais'!$A$4:$A$200,0)),"MAT",IF(ISNUMBER(MATCH($A159,'Mão de Obra e Serviços'!$A$4:$A$200,0)),"MO","CÓDIGO?")))</f>
        <v>MO</v>
      </c>
      <c r="C159" s="54" t="str">
        <f aca="false">IF($A159="","",IFERROR(INDEX('Cotação de Materiais'!$C$4:$C$200,MATCH($A159,'Cotação de Materiais'!$A$4:$A$200,0)),IFERROR(INDEX('Mão de Obra e Serviços'!$B$4:$B$200,MATCH($A159,'Mão de Obra e Serviços'!$A$4:$A$200,0)),"")))</f>
        <v>Pintura por empreita — mão de obra</v>
      </c>
      <c r="D159" s="52" t="s">
        <v>459</v>
      </c>
      <c r="E159" s="55" t="n">
        <v>6.14</v>
      </c>
      <c r="F159" s="56" t="n">
        <v>1</v>
      </c>
      <c r="G159" s="57" t="n">
        <f aca="false">IF($A159="","",E159*IF(F159="",1,F159))</f>
        <v>6.14</v>
      </c>
      <c r="H159" s="31" t="n">
        <f aca="false">IF($A159="","",IF(SUMIF($A$6:$A$600,$A159,$G$6:$G$600)=0,0,G159/SUMIF($A$6:$A$600,$A159,$G$6:$G$600)))</f>
        <v>0.00857817455327829</v>
      </c>
      <c r="I159" s="30" t="n">
        <f aca="false">IF($A159="","",IFERROR(INDEX('Cotação de Materiais'!$H$4:$H$200,MATCH($A159,'Cotação de Materiais'!$A$4:$A$200,0)),IFERROR(INDEX('Mão de Obra e Serviços'!$G$4:$G$200,MATCH($A159,'Mão de Obra e Serviços'!$A$4:$A$200,0)),0)))</f>
        <v>27961</v>
      </c>
      <c r="K159" s="30" t="n">
        <f aca="false">IF($A159="","",I159*H159)</f>
        <v>239.854338684214</v>
      </c>
      <c r="L159" s="58" t="s">
        <v>486</v>
      </c>
      <c r="M159" s="54" t="str">
        <f aca="false">IF($A159="","",IF(B159="CÓDIGO?","CÓDIGO NÃO ACHADO",IF($D159="","FALTA ITEM DO ANEXO",IF($D159="INDIRETO","",IF(COUNTIFS('Anexo III'!$B$8:$B$400,$D159,'Anexo III'!$E$8:$E$400,"&gt;0")=0,"ITEM NÃO ACHADO NO ANEXO","")))))</f>
        <v/>
      </c>
    </row>
    <row r="160" customFormat="false" ht="15" hidden="false" customHeight="false" outlineLevel="0" collapsed="false">
      <c r="A160" s="52" t="s">
        <v>324</v>
      </c>
      <c r="B160" s="53" t="str">
        <f aca="false">IF($A160="","",IF(ISNUMBER(MATCH($A160,'Cotação de Materiais'!$A$4:$A$200,0)),"MAT",IF(ISNUMBER(MATCH($A160,'Mão de Obra e Serviços'!$A$4:$A$200,0)),"MO","CÓDIGO?")))</f>
        <v>MO</v>
      </c>
      <c r="C160" s="54" t="str">
        <f aca="false">IF($A160="","",IFERROR(INDEX('Cotação de Materiais'!$C$4:$C$200,MATCH($A160,'Cotação de Materiais'!$A$4:$A$200,0)),IFERROR(INDEX('Mão de Obra e Serviços'!$B$4:$B$200,MATCH($A160,'Mão de Obra e Serviços'!$A$4:$A$200,0)),"")))</f>
        <v>Pintura por empreita — mão de obra</v>
      </c>
      <c r="D160" s="52" t="s">
        <v>403</v>
      </c>
      <c r="E160" s="55" t="n">
        <v>3.8</v>
      </c>
      <c r="F160" s="56" t="n">
        <v>1</v>
      </c>
      <c r="G160" s="57" t="n">
        <f aca="false">IF($A160="","",E160*IF(F160="",1,F160))</f>
        <v>3.8</v>
      </c>
      <c r="H160" s="31" t="n">
        <f aca="false">IF($A160="","",IF(SUMIF($A$6:$A$600,$A160,$G$6:$G$600)=0,0,G160/SUMIF($A$6:$A$600,$A160,$G$6:$G$600)))</f>
        <v>0.00530896796456962</v>
      </c>
      <c r="I160" s="30" t="n">
        <f aca="false">IF($A160="","",IFERROR(INDEX('Cotação de Materiais'!$H$4:$H$200,MATCH($A160,'Cotação de Materiais'!$A$4:$A$200,0)),IFERROR(INDEX('Mão de Obra e Serviços'!$G$4:$G$200,MATCH($A160,'Mão de Obra e Serviços'!$A$4:$A$200,0)),0)))</f>
        <v>27961</v>
      </c>
      <c r="K160" s="30" t="n">
        <f aca="false">IF($A160="","",I160*H160)</f>
        <v>148.444053257331</v>
      </c>
      <c r="L160" s="58" t="s">
        <v>486</v>
      </c>
      <c r="M160" s="54" t="str">
        <f aca="false">IF($A160="","",IF(B160="CÓDIGO?","CÓDIGO NÃO ACHADO",IF($D160="","FALTA ITEM DO ANEXO",IF($D160="INDIRETO","",IF(COUNTIFS('Anexo III'!$B$8:$B$400,$D160,'Anexo III'!$E$8:$E$400,"&gt;0")=0,"ITEM NÃO ACHADO NO ANEXO","")))))</f>
        <v/>
      </c>
    </row>
    <row r="161" customFormat="false" ht="15" hidden="false" customHeight="false" outlineLevel="0" collapsed="false">
      <c r="A161" s="52" t="s">
        <v>324</v>
      </c>
      <c r="B161" s="53" t="str">
        <f aca="false">IF($A161="","",IF(ISNUMBER(MATCH($A161,'Cotação de Materiais'!$A$4:$A$200,0)),"MAT",IF(ISNUMBER(MATCH($A161,'Mão de Obra e Serviços'!$A$4:$A$200,0)),"MO","CÓDIGO?")))</f>
        <v>MO</v>
      </c>
      <c r="C161" s="54" t="str">
        <f aca="false">IF($A161="","",IFERROR(INDEX('Cotação de Materiais'!$C$4:$C$200,MATCH($A161,'Cotação de Materiais'!$A$4:$A$200,0)),IFERROR(INDEX('Mão de Obra e Serviços'!$B$4:$B$200,MATCH($A161,'Mão de Obra e Serviços'!$A$4:$A$200,0)),"")))</f>
        <v>Pintura por empreita — mão de obra</v>
      </c>
      <c r="D161" s="52" t="s">
        <v>405</v>
      </c>
      <c r="E161" s="55" t="n">
        <v>35</v>
      </c>
      <c r="F161" s="56" t="n">
        <v>1</v>
      </c>
      <c r="G161" s="57" t="n">
        <f aca="false">IF($A161="","",E161*IF(F161="",1,F161))</f>
        <v>35</v>
      </c>
      <c r="H161" s="31" t="n">
        <f aca="false">IF($A161="","",IF(SUMIF($A$6:$A$600,$A161,$G$6:$G$600)=0,0,G161/SUMIF($A$6:$A$600,$A161,$G$6:$G$600)))</f>
        <v>0.0488983891473518</v>
      </c>
      <c r="I161" s="30" t="n">
        <f aca="false">IF($A161="","",IFERROR(INDEX('Cotação de Materiais'!$H$4:$H$200,MATCH($A161,'Cotação de Materiais'!$A$4:$A$200,0)),IFERROR(INDEX('Mão de Obra e Serviços'!$G$4:$G$200,MATCH($A161,'Mão de Obra e Serviços'!$A$4:$A$200,0)),0)))</f>
        <v>27961</v>
      </c>
      <c r="K161" s="30" t="n">
        <f aca="false">IF($A161="","",I161*H161)</f>
        <v>1367.2478589491</v>
      </c>
      <c r="L161" s="58" t="s">
        <v>486</v>
      </c>
      <c r="M161" s="54" t="str">
        <f aca="false">IF($A161="","",IF(B161="CÓDIGO?","CÓDIGO NÃO ACHADO",IF($D161="","FALTA ITEM DO ANEXO",IF($D161="INDIRETO","",IF(COUNTIFS('Anexo III'!$B$8:$B$400,$D161,'Anexo III'!$E$8:$E$400,"&gt;0")=0,"ITEM NÃO ACHADO NO ANEXO","")))))</f>
        <v/>
      </c>
    </row>
    <row r="162" customFormat="false" ht="15" hidden="false" customHeight="false" outlineLevel="0" collapsed="false">
      <c r="A162" s="52" t="s">
        <v>324</v>
      </c>
      <c r="B162" s="53" t="str">
        <f aca="false">IF($A162="","",IF(ISNUMBER(MATCH($A162,'Cotação de Materiais'!$A$4:$A$200,0)),"MAT",IF(ISNUMBER(MATCH($A162,'Mão de Obra e Serviços'!$A$4:$A$200,0)),"MO","CÓDIGO?")))</f>
        <v>MO</v>
      </c>
      <c r="C162" s="54" t="str">
        <f aca="false">IF($A162="","",IFERROR(INDEX('Cotação de Materiais'!$C$4:$C$200,MATCH($A162,'Cotação de Materiais'!$A$4:$A$200,0)),IFERROR(INDEX('Mão de Obra e Serviços'!$B$4:$B$200,MATCH($A162,'Mão de Obra e Serviços'!$A$4:$A$200,0)),"")))</f>
        <v>Pintura por empreita — mão de obra</v>
      </c>
      <c r="D162" s="52" t="s">
        <v>406</v>
      </c>
      <c r="E162" s="55" t="n">
        <v>97</v>
      </c>
      <c r="F162" s="56" t="n">
        <v>1</v>
      </c>
      <c r="G162" s="57" t="n">
        <f aca="false">IF($A162="","",E162*IF(F162="",1,F162))</f>
        <v>97</v>
      </c>
      <c r="H162" s="31" t="n">
        <f aca="false">IF($A162="","",IF(SUMIF($A$6:$A$600,$A162,$G$6:$G$600)=0,0,G162/SUMIF($A$6:$A$600,$A162,$G$6:$G$600)))</f>
        <v>0.135518392779804</v>
      </c>
      <c r="I162" s="30" t="n">
        <f aca="false">IF($A162="","",IFERROR(INDEX('Cotação de Materiais'!$H$4:$H$200,MATCH($A162,'Cotação de Materiais'!$A$4:$A$200,0)),IFERROR(INDEX('Mão de Obra e Serviços'!$G$4:$G$200,MATCH($A162,'Mão de Obra e Serviços'!$A$4:$A$200,0)),0)))</f>
        <v>27961</v>
      </c>
      <c r="K162" s="30" t="n">
        <f aca="false">IF($A162="","",I162*H162)</f>
        <v>3789.22978051609</v>
      </c>
      <c r="L162" s="58" t="s">
        <v>486</v>
      </c>
      <c r="M162" s="54" t="str">
        <f aca="false">IF($A162="","",IF(B162="CÓDIGO?","CÓDIGO NÃO ACHADO",IF($D162="","FALTA ITEM DO ANEXO",IF($D162="INDIRETO","",IF(COUNTIFS('Anexo III'!$B$8:$B$400,$D162,'Anexo III'!$E$8:$E$400,"&gt;0")=0,"ITEM NÃO ACHADO NO ANEXO","")))))</f>
        <v/>
      </c>
    </row>
    <row r="163" customFormat="false" ht="15" hidden="false" customHeight="false" outlineLevel="0" collapsed="false">
      <c r="A163" s="52" t="s">
        <v>324</v>
      </c>
      <c r="B163" s="53" t="str">
        <f aca="false">IF($A163="","",IF(ISNUMBER(MATCH($A163,'Cotação de Materiais'!$A$4:$A$200,0)),"MAT",IF(ISNUMBER(MATCH($A163,'Mão de Obra e Serviços'!$A$4:$A$200,0)),"MO","CÓDIGO?")))</f>
        <v>MO</v>
      </c>
      <c r="C163" s="54" t="str">
        <f aca="false">IF($A163="","",IFERROR(INDEX('Cotação de Materiais'!$C$4:$C$200,MATCH($A163,'Cotação de Materiais'!$A$4:$A$200,0)),IFERROR(INDEX('Mão de Obra e Serviços'!$B$4:$B$200,MATCH($A163,'Mão de Obra e Serviços'!$A$4:$A$200,0)),"")))</f>
        <v>Pintura por empreita — mão de obra</v>
      </c>
      <c r="D163" s="52" t="s">
        <v>426</v>
      </c>
      <c r="E163" s="55" t="n">
        <v>10.75</v>
      </c>
      <c r="F163" s="56" t="n">
        <v>1</v>
      </c>
      <c r="G163" s="57" t="n">
        <f aca="false">IF($A163="","",E163*IF(F163="",1,F163))</f>
        <v>10.75</v>
      </c>
      <c r="H163" s="31" t="n">
        <f aca="false">IF($A163="","",IF(SUMIF($A$6:$A$600,$A163,$G$6:$G$600)=0,0,G163/SUMIF($A$6:$A$600,$A163,$G$6:$G$600)))</f>
        <v>0.0150187909524009</v>
      </c>
      <c r="I163" s="30" t="n">
        <f aca="false">IF($A163="","",IFERROR(INDEX('Cotação de Materiais'!$H$4:$H$200,MATCH($A163,'Cotação de Materiais'!$A$4:$A$200,0)),IFERROR(INDEX('Mão de Obra e Serviços'!$G$4:$G$200,MATCH($A163,'Mão de Obra e Serviços'!$A$4:$A$200,0)),0)))</f>
        <v>27961</v>
      </c>
      <c r="K163" s="30" t="n">
        <f aca="false">IF($A163="","",I163*H163)</f>
        <v>419.940413820082</v>
      </c>
      <c r="L163" s="58" t="s">
        <v>486</v>
      </c>
      <c r="M163" s="54" t="str">
        <f aca="false">IF($A163="","",IF(B163="CÓDIGO?","CÓDIGO NÃO ACHADO",IF($D163="","FALTA ITEM DO ANEXO",IF($D163="INDIRETO","",IF(COUNTIFS('Anexo III'!$B$8:$B$400,$D163,'Anexo III'!$E$8:$E$400,"&gt;0")=0,"ITEM NÃO ACHADO NO ANEXO","")))))</f>
        <v/>
      </c>
    </row>
    <row r="164" customFormat="false" ht="15" hidden="false" customHeight="false" outlineLevel="0" collapsed="false">
      <c r="A164" s="52" t="s">
        <v>324</v>
      </c>
      <c r="B164" s="53" t="str">
        <f aca="false">IF($A164="","",IF(ISNUMBER(MATCH($A164,'Cotação de Materiais'!$A$4:$A$200,0)),"MAT",IF(ISNUMBER(MATCH($A164,'Mão de Obra e Serviços'!$A$4:$A$200,0)),"MO","CÓDIGO?")))</f>
        <v>MO</v>
      </c>
      <c r="C164" s="54" t="str">
        <f aca="false">IF($A164="","",IFERROR(INDEX('Cotação de Materiais'!$C$4:$C$200,MATCH($A164,'Cotação de Materiais'!$A$4:$A$200,0)),IFERROR(INDEX('Mão de Obra e Serviços'!$B$4:$B$200,MATCH($A164,'Mão de Obra e Serviços'!$A$4:$A$200,0)),"")))</f>
        <v>Pintura por empreita — mão de obra</v>
      </c>
      <c r="D164" s="52" t="s">
        <v>428</v>
      </c>
      <c r="E164" s="55" t="n">
        <v>3.24</v>
      </c>
      <c r="F164" s="56" t="n">
        <v>1</v>
      </c>
      <c r="G164" s="57" t="n">
        <f aca="false">IF($A164="","",E164*IF(F164="",1,F164))</f>
        <v>3.24</v>
      </c>
      <c r="H164" s="31" t="n">
        <f aca="false">IF($A164="","",IF(SUMIF($A$6:$A$600,$A164,$G$6:$G$600)=0,0,G164/SUMIF($A$6:$A$600,$A164,$G$6:$G$600)))</f>
        <v>0.004526593738212</v>
      </c>
      <c r="I164" s="30" t="n">
        <f aca="false">IF($A164="","",IFERROR(INDEX('Cotação de Materiais'!$H$4:$H$200,MATCH($A164,'Cotação de Materiais'!$A$4:$A$200,0)),IFERROR(INDEX('Mão de Obra e Serviços'!$G$4:$G$200,MATCH($A164,'Mão de Obra e Serviços'!$A$4:$A$200,0)),0)))</f>
        <v>27961</v>
      </c>
      <c r="K164" s="30" t="n">
        <f aca="false">IF($A164="","",I164*H164)</f>
        <v>126.568087514146</v>
      </c>
      <c r="L164" s="58" t="s">
        <v>486</v>
      </c>
      <c r="M164" s="54" t="str">
        <f aca="false">IF($A164="","",IF(B164="CÓDIGO?","CÓDIGO NÃO ACHADO",IF($D164="","FALTA ITEM DO ANEXO",IF($D164="INDIRETO","",IF(COUNTIFS('Anexo III'!$B$8:$B$400,$D164,'Anexo III'!$E$8:$E$400,"&gt;0")=0,"ITEM NÃO ACHADO NO ANEXO","")))))</f>
        <v/>
      </c>
    </row>
    <row r="165" customFormat="false" ht="15" hidden="false" customHeight="false" outlineLevel="0" collapsed="false">
      <c r="A165" s="52" t="s">
        <v>324</v>
      </c>
      <c r="B165" s="53" t="str">
        <f aca="false">IF($A165="","",IF(ISNUMBER(MATCH($A165,'Cotação de Materiais'!$A$4:$A$200,0)),"MAT",IF(ISNUMBER(MATCH($A165,'Mão de Obra e Serviços'!$A$4:$A$200,0)),"MO","CÓDIGO?")))</f>
        <v>MO</v>
      </c>
      <c r="C165" s="54" t="str">
        <f aca="false">IF($A165="","",IFERROR(INDEX('Cotação de Materiais'!$C$4:$C$200,MATCH($A165,'Cotação de Materiais'!$A$4:$A$200,0)),IFERROR(INDEX('Mão de Obra e Serviços'!$B$4:$B$200,MATCH($A165,'Mão de Obra e Serviços'!$A$4:$A$200,0)),"")))</f>
        <v>Pintura por empreita — mão de obra</v>
      </c>
      <c r="D165" s="52" t="s">
        <v>429</v>
      </c>
      <c r="E165" s="55" t="n">
        <v>30.76</v>
      </c>
      <c r="F165" s="56" t="n">
        <v>1</v>
      </c>
      <c r="G165" s="57" t="n">
        <f aca="false">IF($A165="","",E165*IF(F165="",1,F165))</f>
        <v>30.76</v>
      </c>
      <c r="H165" s="31" t="n">
        <f aca="false">IF($A165="","",IF(SUMIF($A$6:$A$600,$A165,$G$6:$G$600)=0,0,G165/SUMIF($A$6:$A$600,$A165,$G$6:$G$600)))</f>
        <v>0.0429746985763583</v>
      </c>
      <c r="I165" s="30" t="n">
        <f aca="false">IF($A165="","",IFERROR(INDEX('Cotação de Materiais'!$H$4:$H$200,MATCH($A165,'Cotação de Materiais'!$A$4:$A$200,0)),IFERROR(INDEX('Mão de Obra e Serviços'!$G$4:$G$200,MATCH($A165,'Mão de Obra e Serviços'!$A$4:$A$200,0)),0)))</f>
        <v>27961</v>
      </c>
      <c r="K165" s="30" t="n">
        <f aca="false">IF($A165="","",I165*H165)</f>
        <v>1201.61554689356</v>
      </c>
      <c r="L165" s="58" t="s">
        <v>486</v>
      </c>
      <c r="M165" s="54" t="str">
        <f aca="false">IF($A165="","",IF(B165="CÓDIGO?","CÓDIGO NÃO ACHADO",IF($D165="","FALTA ITEM DO ANEXO",IF($D165="INDIRETO","",IF(COUNTIFS('Anexo III'!$B$8:$B$400,$D165,'Anexo III'!$E$8:$E$400,"&gt;0")=0,"ITEM NÃO ACHADO NO ANEXO","")))))</f>
        <v/>
      </c>
    </row>
    <row r="166" customFormat="false" ht="15" hidden="false" customHeight="false" outlineLevel="0" collapsed="false">
      <c r="A166" s="52" t="s">
        <v>324</v>
      </c>
      <c r="B166" s="53" t="str">
        <f aca="false">IF($A166="","",IF(ISNUMBER(MATCH($A166,'Cotação de Materiais'!$A$4:$A$200,0)),"MAT",IF(ISNUMBER(MATCH($A166,'Mão de Obra e Serviços'!$A$4:$A$200,0)),"MO","CÓDIGO?")))</f>
        <v>MO</v>
      </c>
      <c r="C166" s="54" t="str">
        <f aca="false">IF($A166="","",IFERROR(INDEX('Cotação de Materiais'!$C$4:$C$200,MATCH($A166,'Cotação de Materiais'!$A$4:$A$200,0)),IFERROR(INDEX('Mão de Obra e Serviços'!$B$4:$B$200,MATCH($A166,'Mão de Obra e Serviços'!$A$4:$A$200,0)),"")))</f>
        <v>Pintura por empreita — mão de obra</v>
      </c>
      <c r="D166" s="52" t="s">
        <v>410</v>
      </c>
      <c r="E166" s="55" t="n">
        <v>14.85</v>
      </c>
      <c r="F166" s="56" t="n">
        <v>1</v>
      </c>
      <c r="G166" s="57" t="n">
        <f aca="false">IF($A166="","",E166*IF(F166="",1,F166))</f>
        <v>14.85</v>
      </c>
      <c r="H166" s="31" t="n">
        <f aca="false">IF($A166="","",IF(SUMIF($A$6:$A$600,$A166,$G$6:$G$600)=0,0,G166/SUMIF($A$6:$A$600,$A166,$G$6:$G$600)))</f>
        <v>0.020746887966805</v>
      </c>
      <c r="I166" s="30" t="n">
        <f aca="false">IF($A166="","",IFERROR(INDEX('Cotação de Materiais'!$H$4:$H$200,MATCH($A166,'Cotação de Materiais'!$A$4:$A$200,0)),IFERROR(INDEX('Mão de Obra e Serviços'!$G$4:$G$200,MATCH($A166,'Mão de Obra e Serviços'!$A$4:$A$200,0)),0)))</f>
        <v>27961</v>
      </c>
      <c r="K166" s="30" t="n">
        <f aca="false">IF($A166="","",I166*H166)</f>
        <v>580.103734439834</v>
      </c>
      <c r="L166" s="58" t="s">
        <v>486</v>
      </c>
      <c r="M166" s="54" t="str">
        <f aca="false">IF($A166="","",IF(B166="CÓDIGO?","CÓDIGO NÃO ACHADO",IF($D166="","FALTA ITEM DO ANEXO",IF($D166="INDIRETO","",IF(COUNTIFS('Anexo III'!$B$8:$B$400,$D166,'Anexo III'!$E$8:$E$400,"&gt;0")=0,"ITEM NÃO ACHADO NO ANEXO","")))))</f>
        <v/>
      </c>
    </row>
    <row r="167" customFormat="false" ht="15" hidden="false" customHeight="false" outlineLevel="0" collapsed="false">
      <c r="A167" s="52" t="s">
        <v>324</v>
      </c>
      <c r="B167" s="53" t="str">
        <f aca="false">IF($A167="","",IF(ISNUMBER(MATCH($A167,'Cotação de Materiais'!$A$4:$A$200,0)),"MAT",IF(ISNUMBER(MATCH($A167,'Mão de Obra e Serviços'!$A$4:$A$200,0)),"MO","CÓDIGO?")))</f>
        <v>MO</v>
      </c>
      <c r="C167" s="54" t="str">
        <f aca="false">IF($A167="","",IFERROR(INDEX('Cotação de Materiais'!$C$4:$C$200,MATCH($A167,'Cotação de Materiais'!$A$4:$A$200,0)),IFERROR(INDEX('Mão de Obra e Serviços'!$B$4:$B$200,MATCH($A167,'Mão de Obra e Serviços'!$A$4:$A$200,0)),"")))</f>
        <v>Pintura por empreita — mão de obra</v>
      </c>
      <c r="D167" s="52" t="s">
        <v>411</v>
      </c>
      <c r="E167" s="55" t="n">
        <v>6.86</v>
      </c>
      <c r="F167" s="56" t="n">
        <v>1</v>
      </c>
      <c r="G167" s="57" t="n">
        <f aca="false">IF($A167="","",E167*IF(F167="",1,F167))</f>
        <v>6.86</v>
      </c>
      <c r="H167" s="31" t="n">
        <f aca="false">IF($A167="","",IF(SUMIF($A$6:$A$600,$A167,$G$6:$G$600)=0,0,G167/SUMIF($A$6:$A$600,$A167,$G$6:$G$600)))</f>
        <v>0.00958408427288095</v>
      </c>
      <c r="I167" s="30" t="n">
        <f aca="false">IF($A167="","",IFERROR(INDEX('Cotação de Materiais'!$H$4:$H$200,MATCH($A167,'Cotação de Materiais'!$A$4:$A$200,0)),IFERROR(INDEX('Mão de Obra e Serviços'!$G$4:$G$200,MATCH($A167,'Mão de Obra e Serviços'!$A$4:$A$200,0)),0)))</f>
        <v>27961</v>
      </c>
      <c r="K167" s="30" t="n">
        <f aca="false">IF($A167="","",I167*H167)</f>
        <v>267.980580354024</v>
      </c>
      <c r="L167" s="58" t="s">
        <v>486</v>
      </c>
      <c r="M167" s="54" t="str">
        <f aca="false">IF($A167="","",IF(B167="CÓDIGO?","CÓDIGO NÃO ACHADO",IF($D167="","FALTA ITEM DO ANEXO",IF($D167="INDIRETO","",IF(COUNTIFS('Anexo III'!$B$8:$B$400,$D167,'Anexo III'!$E$8:$E$400,"&gt;0")=0,"ITEM NÃO ACHADO NO ANEXO","")))))</f>
        <v/>
      </c>
    </row>
    <row r="168" customFormat="false" ht="15" hidden="false" customHeight="false" outlineLevel="0" collapsed="false">
      <c r="A168" s="52" t="s">
        <v>324</v>
      </c>
      <c r="B168" s="53" t="str">
        <f aca="false">IF($A168="","",IF(ISNUMBER(MATCH($A168,'Cotação de Materiais'!$A$4:$A$200,0)),"MAT",IF(ISNUMBER(MATCH($A168,'Mão de Obra e Serviços'!$A$4:$A$200,0)),"MO","CÓDIGO?")))</f>
        <v>MO</v>
      </c>
      <c r="C168" s="54" t="str">
        <f aca="false">IF($A168="","",IFERROR(INDEX('Cotação de Materiais'!$C$4:$C$200,MATCH($A168,'Cotação de Materiais'!$A$4:$A$200,0)),IFERROR(INDEX('Mão de Obra e Serviços'!$B$4:$B$200,MATCH($A168,'Mão de Obra e Serviços'!$A$4:$A$200,0)),"")))</f>
        <v>Pintura por empreita — mão de obra</v>
      </c>
      <c r="D168" s="52" t="s">
        <v>412</v>
      </c>
      <c r="E168" s="55" t="n">
        <v>5.45</v>
      </c>
      <c r="F168" s="56" t="n">
        <v>1</v>
      </c>
      <c r="G168" s="57" t="n">
        <f aca="false">IF($A168="","",E168*IF(F168="",1,F168))</f>
        <v>5.45</v>
      </c>
      <c r="H168" s="31" t="n">
        <f aca="false">IF($A168="","",IF(SUMIF($A$6:$A$600,$A168,$G$6:$G$600)=0,0,G168/SUMIF($A$6:$A$600,$A168,$G$6:$G$600)))</f>
        <v>0.00761417773865907</v>
      </c>
      <c r="I168" s="30" t="n">
        <f aca="false">IF($A168="","",IFERROR(INDEX('Cotação de Materiais'!$H$4:$H$200,MATCH($A168,'Cotação de Materiais'!$A$4:$A$200,0)),IFERROR(INDEX('Mão de Obra e Serviços'!$G$4:$G$200,MATCH($A168,'Mão de Obra e Serviços'!$A$4:$A$200,0)),0)))</f>
        <v>27961</v>
      </c>
      <c r="K168" s="30" t="n">
        <f aca="false">IF($A168="","",I168*H168)</f>
        <v>212.900023750646</v>
      </c>
      <c r="L168" s="58" t="s">
        <v>486</v>
      </c>
      <c r="M168" s="54" t="str">
        <f aca="false">IF($A168="","",IF(B168="CÓDIGO?","CÓDIGO NÃO ACHADO",IF($D168="","FALTA ITEM DO ANEXO",IF($D168="INDIRETO","",IF(COUNTIFS('Anexo III'!$B$8:$B$400,$D168,'Anexo III'!$E$8:$E$400,"&gt;0")=0,"ITEM NÃO ACHADO NO ANEXO","")))))</f>
        <v/>
      </c>
    </row>
    <row r="169" customFormat="false" ht="15" hidden="false" customHeight="false" outlineLevel="0" collapsed="false">
      <c r="A169" s="52" t="s">
        <v>324</v>
      </c>
      <c r="B169" s="53" t="str">
        <f aca="false">IF($A169="","",IF(ISNUMBER(MATCH($A169,'Cotação de Materiais'!$A$4:$A$200,0)),"MAT",IF(ISNUMBER(MATCH($A169,'Mão de Obra e Serviços'!$A$4:$A$200,0)),"MO","CÓDIGO?")))</f>
        <v>MO</v>
      </c>
      <c r="C169" s="54" t="str">
        <f aca="false">IF($A169="","",IFERROR(INDEX('Cotação de Materiais'!$C$4:$C$200,MATCH($A169,'Cotação de Materiais'!$A$4:$A$200,0)),IFERROR(INDEX('Mão de Obra e Serviços'!$B$4:$B$200,MATCH($A169,'Mão de Obra e Serviços'!$A$4:$A$200,0)),"")))</f>
        <v>Pintura por empreita — mão de obra</v>
      </c>
      <c r="D169" s="52" t="s">
        <v>413</v>
      </c>
      <c r="E169" s="55" t="n">
        <v>2.86</v>
      </c>
      <c r="F169" s="56" t="n">
        <v>1</v>
      </c>
      <c r="G169" s="57" t="n">
        <f aca="false">IF($A169="","",E169*IF(F169="",1,F169))</f>
        <v>2.86</v>
      </c>
      <c r="H169" s="31" t="n">
        <f aca="false">IF($A169="","",IF(SUMIF($A$6:$A$600,$A169,$G$6:$G$600)=0,0,G169/SUMIF($A$6:$A$600,$A169,$G$6:$G$600)))</f>
        <v>0.00399569694175503</v>
      </c>
      <c r="I169" s="30" t="n">
        <f aca="false">IF($A169="","",IFERROR(INDEX('Cotação de Materiais'!$H$4:$H$200,MATCH($A169,'Cotação de Materiais'!$A$4:$A$200,0)),IFERROR(INDEX('Mão de Obra e Serviços'!$G$4:$G$200,MATCH($A169,'Mão de Obra e Serviços'!$A$4:$A$200,0)),0)))</f>
        <v>27961</v>
      </c>
      <c r="K169" s="30" t="n">
        <f aca="false">IF($A169="","",I169*H169)</f>
        <v>111.723682188412</v>
      </c>
      <c r="L169" s="58" t="s">
        <v>486</v>
      </c>
      <c r="M169" s="54" t="str">
        <f aca="false">IF($A169="","",IF(B169="CÓDIGO?","CÓDIGO NÃO ACHADO",IF($D169="","FALTA ITEM DO ANEXO",IF($D169="INDIRETO","",IF(COUNTIFS('Anexo III'!$B$8:$B$400,$D169,'Anexo III'!$E$8:$E$400,"&gt;0")=0,"ITEM NÃO ACHADO NO ANEXO","")))))</f>
        <v/>
      </c>
    </row>
    <row r="170" customFormat="false" ht="15" hidden="false" customHeight="false" outlineLevel="0" collapsed="false">
      <c r="A170" s="52" t="s">
        <v>324</v>
      </c>
      <c r="B170" s="53" t="str">
        <f aca="false">IF($A170="","",IF(ISNUMBER(MATCH($A170,'Cotação de Materiais'!$A$4:$A$200,0)),"MAT",IF(ISNUMBER(MATCH($A170,'Mão de Obra e Serviços'!$A$4:$A$200,0)),"MO","CÓDIGO?")))</f>
        <v>MO</v>
      </c>
      <c r="C170" s="54" t="str">
        <f aca="false">IF($A170="","",IFERROR(INDEX('Cotação de Materiais'!$C$4:$C$200,MATCH($A170,'Cotação de Materiais'!$A$4:$A$200,0)),IFERROR(INDEX('Mão de Obra e Serviços'!$B$4:$B$200,MATCH($A170,'Mão de Obra e Serviços'!$A$4:$A$200,0)),"")))</f>
        <v>Pintura por empreita — mão de obra</v>
      </c>
      <c r="D170" s="52" t="s">
        <v>414</v>
      </c>
      <c r="E170" s="55" t="n">
        <v>3.98</v>
      </c>
      <c r="F170" s="56" t="n">
        <v>1</v>
      </c>
      <c r="G170" s="57" t="n">
        <f aca="false">IF($A170="","",E170*IF(F170="",1,F170))</f>
        <v>3.98</v>
      </c>
      <c r="H170" s="31" t="n">
        <f aca="false">IF($A170="","",IF(SUMIF($A$6:$A$600,$A170,$G$6:$G$600)=0,0,G170/SUMIF($A$6:$A$600,$A170,$G$6:$G$600)))</f>
        <v>0.00556044539447029</v>
      </c>
      <c r="I170" s="30" t="n">
        <f aca="false">IF($A170="","",IFERROR(INDEX('Cotação de Materiais'!$H$4:$H$200,MATCH($A170,'Cotação de Materiais'!$A$4:$A$200,0)),IFERROR(INDEX('Mão de Obra e Serviços'!$G$4:$G$200,MATCH($A170,'Mão de Obra e Serviços'!$A$4:$A$200,0)),0)))</f>
        <v>27961</v>
      </c>
      <c r="K170" s="30" t="n">
        <f aca="false">IF($A170="","",I170*H170)</f>
        <v>155.475613674784</v>
      </c>
      <c r="L170" s="58" t="s">
        <v>486</v>
      </c>
      <c r="M170" s="54" t="str">
        <f aca="false">IF($A170="","",IF(B170="CÓDIGO?","CÓDIGO NÃO ACHADO",IF($D170="","FALTA ITEM DO ANEXO",IF($D170="INDIRETO","",IF(COUNTIFS('Anexo III'!$B$8:$B$400,$D170,'Anexo III'!$E$8:$E$400,"&gt;0")=0,"ITEM NÃO ACHADO NO ANEXO","")))))</f>
        <v/>
      </c>
    </row>
    <row r="171" customFormat="false" ht="15" hidden="false" customHeight="false" outlineLevel="0" collapsed="false">
      <c r="A171" s="52" t="s">
        <v>324</v>
      </c>
      <c r="B171" s="53" t="str">
        <f aca="false">IF($A171="","",IF(ISNUMBER(MATCH($A171,'Cotação de Materiais'!$A$4:$A$200,0)),"MAT",IF(ISNUMBER(MATCH($A171,'Mão de Obra e Serviços'!$A$4:$A$200,0)),"MO","CÓDIGO?")))</f>
        <v>MO</v>
      </c>
      <c r="C171" s="54" t="str">
        <f aca="false">IF($A171="","",IFERROR(INDEX('Cotação de Materiais'!$C$4:$C$200,MATCH($A171,'Cotação de Materiais'!$A$4:$A$200,0)),IFERROR(INDEX('Mão de Obra e Serviços'!$B$4:$B$200,MATCH($A171,'Mão de Obra e Serviços'!$A$4:$A$200,0)),"")))</f>
        <v>Pintura por empreita — mão de obra</v>
      </c>
      <c r="D171" s="52" t="s">
        <v>415</v>
      </c>
      <c r="E171" s="55" t="n">
        <v>2.88</v>
      </c>
      <c r="F171" s="56" t="n">
        <v>1</v>
      </c>
      <c r="G171" s="57" t="n">
        <f aca="false">IF($A171="","",E171*IF(F171="",1,F171))</f>
        <v>2.88</v>
      </c>
      <c r="H171" s="31" t="n">
        <f aca="false">IF($A171="","",IF(SUMIF($A$6:$A$600,$A171,$G$6:$G$600)=0,0,G171/SUMIF($A$6:$A$600,$A171,$G$6:$G$600)))</f>
        <v>0.00402363887841066</v>
      </c>
      <c r="I171" s="30" t="n">
        <f aca="false">IF($A171="","",IFERROR(INDEX('Cotação de Materiais'!$H$4:$H$200,MATCH($A171,'Cotação de Materiais'!$A$4:$A$200,0)),IFERROR(INDEX('Mão de Obra e Serviços'!$G$4:$G$200,MATCH($A171,'Mão de Obra e Serviços'!$A$4:$A$200,0)),0)))</f>
        <v>27961</v>
      </c>
      <c r="K171" s="30" t="n">
        <f aca="false">IF($A171="","",I171*H171)</f>
        <v>112.504966679241</v>
      </c>
      <c r="L171" s="58" t="s">
        <v>486</v>
      </c>
      <c r="M171" s="54" t="str">
        <f aca="false">IF($A171="","",IF(B171="CÓDIGO?","CÓDIGO NÃO ACHADO",IF($D171="","FALTA ITEM DO ANEXO",IF($D171="INDIRETO","",IF(COUNTIFS('Anexo III'!$B$8:$B$400,$D171,'Anexo III'!$E$8:$E$400,"&gt;0")=0,"ITEM NÃO ACHADO NO ANEXO","")))))</f>
        <v/>
      </c>
    </row>
    <row r="172" customFormat="false" ht="15" hidden="false" customHeight="false" outlineLevel="0" collapsed="false">
      <c r="A172" s="52" t="s">
        <v>324</v>
      </c>
      <c r="B172" s="53" t="str">
        <f aca="false">IF($A172="","",IF(ISNUMBER(MATCH($A172,'Cotação de Materiais'!$A$4:$A$200,0)),"MAT",IF(ISNUMBER(MATCH($A172,'Mão de Obra e Serviços'!$A$4:$A$200,0)),"MO","CÓDIGO?")))</f>
        <v>MO</v>
      </c>
      <c r="C172" s="54" t="str">
        <f aca="false">IF($A172="","",IFERROR(INDEX('Cotação de Materiais'!$C$4:$C$200,MATCH($A172,'Cotação de Materiais'!$A$4:$A$200,0)),IFERROR(INDEX('Mão de Obra e Serviços'!$B$4:$B$200,MATCH($A172,'Mão de Obra e Serviços'!$A$4:$A$200,0)),"")))</f>
        <v>Pintura por empreita — mão de obra</v>
      </c>
      <c r="D172" s="52" t="s">
        <v>416</v>
      </c>
      <c r="E172" s="55" t="n">
        <v>17.78</v>
      </c>
      <c r="F172" s="56" t="n">
        <v>1</v>
      </c>
      <c r="G172" s="57" t="n">
        <f aca="false">IF($A172="","",E172*IF(F172="",1,F172))</f>
        <v>17.78</v>
      </c>
      <c r="H172" s="31" t="n">
        <f aca="false">IF($A172="","",IF(SUMIF($A$6:$A$600,$A172,$G$6:$G$600)=0,0,G172/SUMIF($A$6:$A$600,$A172,$G$6:$G$600)))</f>
        <v>0.0248403816868547</v>
      </c>
      <c r="I172" s="30" t="n">
        <f aca="false">IF($A172="","",IFERROR(INDEX('Cotação de Materiais'!$H$4:$H$200,MATCH($A172,'Cotação de Materiais'!$A$4:$A$200,0)),IFERROR(INDEX('Mão de Obra e Serviços'!$G$4:$G$200,MATCH($A172,'Mão de Obra e Serviços'!$A$4:$A$200,0)),0)))</f>
        <v>27961</v>
      </c>
      <c r="K172" s="30" t="n">
        <f aca="false">IF($A172="","",I172*H172)</f>
        <v>694.561912346145</v>
      </c>
      <c r="L172" s="58" t="s">
        <v>486</v>
      </c>
      <c r="M172" s="54" t="str">
        <f aca="false">IF($A172="","",IF(B172="CÓDIGO?","CÓDIGO NÃO ACHADO",IF($D172="","FALTA ITEM DO ANEXO",IF($D172="INDIRETO","",IF(COUNTIFS('Anexo III'!$B$8:$B$400,$D172,'Anexo III'!$E$8:$E$400,"&gt;0")=0,"ITEM NÃO ACHADO NO ANEXO","")))))</f>
        <v/>
      </c>
    </row>
    <row r="173" customFormat="false" ht="15" hidden="false" customHeight="false" outlineLevel="0" collapsed="false">
      <c r="A173" s="52" t="s">
        <v>324</v>
      </c>
      <c r="B173" s="53" t="str">
        <f aca="false">IF($A173="","",IF(ISNUMBER(MATCH($A173,'Cotação de Materiais'!$A$4:$A$200,0)),"MAT",IF(ISNUMBER(MATCH($A173,'Mão de Obra e Serviços'!$A$4:$A$200,0)),"MO","CÓDIGO?")))</f>
        <v>MO</v>
      </c>
      <c r="C173" s="54" t="str">
        <f aca="false">IF($A173="","",IFERROR(INDEX('Cotação de Materiais'!$C$4:$C$200,MATCH($A173,'Cotação de Materiais'!$A$4:$A$200,0)),IFERROR(INDEX('Mão de Obra e Serviços'!$B$4:$B$200,MATCH($A173,'Mão de Obra e Serviços'!$A$4:$A$200,0)),"")))</f>
        <v>Pintura por empreita — mão de obra</v>
      </c>
      <c r="D173" s="52" t="s">
        <v>417</v>
      </c>
      <c r="E173" s="55" t="n">
        <v>11.83</v>
      </c>
      <c r="F173" s="56" t="n">
        <v>1</v>
      </c>
      <c r="G173" s="57" t="n">
        <f aca="false">IF($A173="","",E173*IF(F173="",1,F173))</f>
        <v>11.83</v>
      </c>
      <c r="H173" s="31" t="n">
        <f aca="false">IF($A173="","",IF(SUMIF($A$6:$A$600,$A173,$G$6:$G$600)=0,0,G173/SUMIF($A$6:$A$600,$A173,$G$6:$G$600)))</f>
        <v>0.0165276555318049</v>
      </c>
      <c r="I173" s="30" t="n">
        <f aca="false">IF($A173="","",IFERROR(INDEX('Cotação de Materiais'!$H$4:$H$200,MATCH($A173,'Cotação de Materiais'!$A$4:$A$200,0)),IFERROR(INDEX('Mão de Obra e Serviços'!$G$4:$G$200,MATCH($A173,'Mão de Obra e Serviços'!$A$4:$A$200,0)),0)))</f>
        <v>27961</v>
      </c>
      <c r="K173" s="30" t="n">
        <f aca="false">IF($A173="","",I173*H173)</f>
        <v>462.129776324797</v>
      </c>
      <c r="L173" s="58" t="s">
        <v>486</v>
      </c>
      <c r="M173" s="54" t="str">
        <f aca="false">IF($A173="","",IF(B173="CÓDIGO?","CÓDIGO NÃO ACHADO",IF($D173="","FALTA ITEM DO ANEXO",IF($D173="INDIRETO","",IF(COUNTIFS('Anexo III'!$B$8:$B$400,$D173,'Anexo III'!$E$8:$E$400,"&gt;0")=0,"ITEM NÃO ACHADO NO ANEXO","")))))</f>
        <v/>
      </c>
    </row>
    <row r="174" customFormat="false" ht="15" hidden="false" customHeight="false" outlineLevel="0" collapsed="false">
      <c r="A174" s="52" t="s">
        <v>324</v>
      </c>
      <c r="B174" s="53" t="str">
        <f aca="false">IF($A174="","",IF(ISNUMBER(MATCH($A174,'Cotação de Materiais'!$A$4:$A$200,0)),"MAT",IF(ISNUMBER(MATCH($A174,'Mão de Obra e Serviços'!$A$4:$A$200,0)),"MO","CÓDIGO?")))</f>
        <v>MO</v>
      </c>
      <c r="C174" s="54" t="str">
        <f aca="false">IF($A174="","",IFERROR(INDEX('Cotação de Materiais'!$C$4:$C$200,MATCH($A174,'Cotação de Materiais'!$A$4:$A$200,0)),IFERROR(INDEX('Mão de Obra e Serviços'!$B$4:$B$200,MATCH($A174,'Mão de Obra e Serviços'!$A$4:$A$200,0)),"")))</f>
        <v>Pintura por empreita — mão de obra</v>
      </c>
      <c r="D174" s="52" t="s">
        <v>461</v>
      </c>
      <c r="E174" s="55" t="n">
        <v>250</v>
      </c>
      <c r="F174" s="56" t="n">
        <v>1</v>
      </c>
      <c r="G174" s="57" t="n">
        <f aca="false">IF($A174="","",E174*IF(F174="",1,F174))</f>
        <v>250</v>
      </c>
      <c r="H174" s="31" t="n">
        <f aca="false">IF($A174="","",IF(SUMIF($A$6:$A$600,$A174,$G$6:$G$600)=0,0,G174/SUMIF($A$6:$A$600,$A174,$G$6:$G$600)))</f>
        <v>0.34927420819537</v>
      </c>
      <c r="I174" s="30" t="n">
        <f aca="false">IF($A174="","",IFERROR(INDEX('Cotação de Materiais'!$H$4:$H$200,MATCH($A174,'Cotação de Materiais'!$A$4:$A$200,0)),IFERROR(INDEX('Mão de Obra e Serviços'!$G$4:$G$200,MATCH($A174,'Mão de Obra e Serviços'!$A$4:$A$200,0)),0)))</f>
        <v>27961</v>
      </c>
      <c r="K174" s="30" t="n">
        <f aca="false">IF($A174="","",I174*H174)</f>
        <v>9766.05613535074</v>
      </c>
      <c r="L174" s="58" t="s">
        <v>486</v>
      </c>
      <c r="M174" s="54" t="str">
        <f aca="false">IF($A174="","",IF(B174="CÓDIGO?","CÓDIGO NÃO ACHADO",IF($D174="","FALTA ITEM DO ANEXO",IF($D174="INDIRETO","",IF(COUNTIFS('Anexo III'!$B$8:$B$400,$D174,'Anexo III'!$E$8:$E$400,"&gt;0")=0,"ITEM NÃO ACHADO NO ANEXO","")))))</f>
        <v/>
      </c>
    </row>
    <row r="175" customFormat="false" ht="15" hidden="false" customHeight="false" outlineLevel="0" collapsed="false">
      <c r="A175" s="52" t="s">
        <v>324</v>
      </c>
      <c r="B175" s="53" t="str">
        <f aca="false">IF($A175="","",IF(ISNUMBER(MATCH($A175,'Cotação de Materiais'!$A$4:$A$200,0)),"MAT",IF(ISNUMBER(MATCH($A175,'Mão de Obra e Serviços'!$A$4:$A$200,0)),"MO","CÓDIGO?")))</f>
        <v>MO</v>
      </c>
      <c r="C175" s="54" t="str">
        <f aca="false">IF($A175="","",IFERROR(INDEX('Cotação de Materiais'!$C$4:$C$200,MATCH($A175,'Cotação de Materiais'!$A$4:$A$200,0)),IFERROR(INDEX('Mão de Obra e Serviços'!$B$4:$B$200,MATCH($A175,'Mão de Obra e Serviços'!$A$4:$A$200,0)),"")))</f>
        <v>Pintura por empreita — mão de obra</v>
      </c>
      <c r="D175" s="52" t="s">
        <v>404</v>
      </c>
      <c r="E175" s="55" t="n">
        <v>5.2</v>
      </c>
      <c r="F175" s="56" t="n">
        <v>1</v>
      </c>
      <c r="G175" s="57" t="n">
        <f aca="false">IF($A175="","",E175*IF(F175="",1,F175))</f>
        <v>5.2</v>
      </c>
      <c r="H175" s="31" t="n">
        <f aca="false">IF($A175="","",IF(SUMIF($A$6:$A$600,$A175,$G$6:$G$600)=0,0,G175/SUMIF($A$6:$A$600,$A175,$G$6:$G$600)))</f>
        <v>0.0072649035304637</v>
      </c>
      <c r="I175" s="30" t="n">
        <f aca="false">IF($A175="","",IFERROR(INDEX('Cotação de Materiais'!$H$4:$H$200,MATCH($A175,'Cotação de Materiais'!$A$4:$A$200,0)),IFERROR(INDEX('Mão de Obra e Serviços'!$G$4:$G$200,MATCH($A175,'Mão de Obra e Serviços'!$A$4:$A$200,0)),0)))</f>
        <v>27961</v>
      </c>
      <c r="K175" s="30" t="n">
        <f aca="false">IF($A175="","",I175*H175)</f>
        <v>203.133967615295</v>
      </c>
      <c r="L175" s="58" t="s">
        <v>486</v>
      </c>
      <c r="M175" s="54" t="str">
        <f aca="false">IF($A175="","",IF(B175="CÓDIGO?","CÓDIGO NÃO ACHADO",IF($D175="","FALTA ITEM DO ANEXO",IF($D175="INDIRETO","",IF(COUNTIFS('Anexo III'!$B$8:$B$400,$D175,'Anexo III'!$E$8:$E$400,"&gt;0")=0,"ITEM NÃO ACHADO NO ANEXO","")))))</f>
        <v/>
      </c>
    </row>
    <row r="176" customFormat="false" ht="15" hidden="false" customHeight="false" outlineLevel="0" collapsed="false">
      <c r="A176" s="52" t="s">
        <v>324</v>
      </c>
      <c r="B176" s="53" t="str">
        <f aca="false">IF($A176="","",IF(ISNUMBER(MATCH($A176,'Cotação de Materiais'!$A$4:$A$200,0)),"MAT",IF(ISNUMBER(MATCH($A176,'Mão de Obra e Serviços'!$A$4:$A$200,0)),"MO","CÓDIGO?")))</f>
        <v>MO</v>
      </c>
      <c r="C176" s="54" t="str">
        <f aca="false">IF($A176="","",IFERROR(INDEX('Cotação de Materiais'!$C$4:$C$200,MATCH($A176,'Cotação de Materiais'!$A$4:$A$200,0)),IFERROR(INDEX('Mão de Obra e Serviços'!$B$4:$B$200,MATCH($A176,'Mão de Obra e Serviços'!$A$4:$A$200,0)),"")))</f>
        <v>Pintura por empreita — mão de obra</v>
      </c>
      <c r="D176" s="52" t="s">
        <v>425</v>
      </c>
      <c r="E176" s="55" t="n">
        <v>0.23</v>
      </c>
      <c r="F176" s="56" t="n">
        <v>1</v>
      </c>
      <c r="G176" s="57" t="n">
        <f aca="false">IF($A176="","",E176*IF(F176="",1,F176))</f>
        <v>0.23</v>
      </c>
      <c r="H176" s="31" t="n">
        <f aca="false">IF($A176="","",IF(SUMIF($A$6:$A$600,$A176,$G$6:$G$600)=0,0,G176/SUMIF($A$6:$A$600,$A176,$G$6:$G$600)))</f>
        <v>0.00032133227153974</v>
      </c>
      <c r="I176" s="30" t="n">
        <f aca="false">IF($A176="","",IFERROR(INDEX('Cotação de Materiais'!$H$4:$H$200,MATCH($A176,'Cotação de Materiais'!$A$4:$A$200,0)),IFERROR(INDEX('Mão de Obra e Serviços'!$G$4:$G$200,MATCH($A176,'Mão de Obra e Serviços'!$A$4:$A$200,0)),0)))</f>
        <v>27961</v>
      </c>
      <c r="K176" s="30" t="n">
        <f aca="false">IF($A176="","",I176*H176)</f>
        <v>8.98477164452268</v>
      </c>
      <c r="L176" s="58" t="s">
        <v>486</v>
      </c>
      <c r="M176" s="54" t="str">
        <f aca="false">IF($A176="","",IF(B176="CÓDIGO?","CÓDIGO NÃO ACHADO",IF($D176="","FALTA ITEM DO ANEXO",IF($D176="INDIRETO","",IF(COUNTIFS('Anexo III'!$B$8:$B$400,$D176,'Anexo III'!$E$8:$E$400,"&gt;0")=0,"ITEM NÃO ACHADO NO ANEXO","")))))</f>
        <v/>
      </c>
    </row>
    <row r="177" customFormat="false" ht="15" hidden="false" customHeight="false" outlineLevel="0" collapsed="false">
      <c r="A177" s="52" t="s">
        <v>327</v>
      </c>
      <c r="B177" s="53" t="str">
        <f aca="false">IF($A177="","",IF(ISNUMBER(MATCH($A177,'Cotação de Materiais'!$A$4:$A$200,0)),"MAT",IF(ISNUMBER(MATCH($A177,'Mão de Obra e Serviços'!$A$4:$A$200,0)),"MO","CÓDIGO?")))</f>
        <v>MO</v>
      </c>
      <c r="C177" s="54" t="str">
        <f aca="false">IF($A177="","",IFERROR(INDEX('Cotação de Materiais'!$C$4:$C$200,MATCH($A177,'Cotação de Materiais'!$A$4:$A$200,0)),IFERROR(INDEX('Mão de Obra e Serviços'!$B$4:$B$200,MATCH($A177,'Mão de Obra e Serviços'!$A$4:$A$200,0)),"")))</f>
        <v>Marceneiro / Cenotécnico (Galpão)</v>
      </c>
      <c r="D177" s="52" t="s">
        <v>397</v>
      </c>
      <c r="E177" s="55" t="n">
        <v>14</v>
      </c>
      <c r="F177" s="56" t="n">
        <v>1</v>
      </c>
      <c r="G177" s="57" t="n">
        <f aca="false">IF($A177="","",E177*IF(F177="",1,F177))</f>
        <v>14</v>
      </c>
      <c r="H177" s="31" t="n">
        <f aca="false">IF($A177="","",IF(SUMIF($A$6:$A$600,$A177,$G$6:$G$600)=0,0,G177/SUMIF($A$6:$A$600,$A177,$G$6:$G$600)))</f>
        <v>0.0230278307783407</v>
      </c>
      <c r="I177" s="30" t="n">
        <f aca="false">IF($A177="","",IFERROR(INDEX('Cotação de Materiais'!$H$4:$H$200,MATCH($A177,'Cotação de Materiais'!$A$4:$A$200,0)),IFERROR(INDEX('Mão de Obra e Serviços'!$G$4:$G$200,MATCH($A177,'Mão de Obra e Serviços'!$A$4:$A$200,0)),0)))</f>
        <v>5000</v>
      </c>
      <c r="K177" s="30" t="n">
        <f aca="false">IF($A177="","",I177*H177)</f>
        <v>115.139153891703</v>
      </c>
      <c r="L177" s="58" t="s">
        <v>487</v>
      </c>
      <c r="M177" s="54" t="str">
        <f aca="false">IF($A177="","",IF(B177="CÓDIGO?","CÓDIGO NÃO ACHADO",IF($D177="","FALTA ITEM DO ANEXO",IF($D177="INDIRETO","",IF(COUNTIFS('Anexo III'!$B$8:$B$400,$D177,'Anexo III'!$E$8:$E$400,"&gt;0")=0,"ITEM NÃO ACHADO NO ANEXO","")))))</f>
        <v/>
      </c>
    </row>
    <row r="178" customFormat="false" ht="15" hidden="false" customHeight="false" outlineLevel="0" collapsed="false">
      <c r="A178" s="52" t="s">
        <v>327</v>
      </c>
      <c r="B178" s="53" t="str">
        <f aca="false">IF($A178="","",IF(ISNUMBER(MATCH($A178,'Cotação de Materiais'!$A$4:$A$200,0)),"MAT",IF(ISNUMBER(MATCH($A178,'Mão de Obra e Serviços'!$A$4:$A$200,0)),"MO","CÓDIGO?")))</f>
        <v>MO</v>
      </c>
      <c r="C178" s="54" t="str">
        <f aca="false">IF($A178="","",IFERROR(INDEX('Cotação de Materiais'!$C$4:$C$200,MATCH($A178,'Cotação de Materiais'!$A$4:$A$200,0)),IFERROR(INDEX('Mão de Obra e Serviços'!$B$4:$B$200,MATCH($A178,'Mão de Obra e Serviços'!$A$4:$A$200,0)),"")))</f>
        <v>Marceneiro / Cenotécnico (Galpão)</v>
      </c>
      <c r="D178" s="52" t="s">
        <v>399</v>
      </c>
      <c r="E178" s="55" t="n">
        <v>11.8</v>
      </c>
      <c r="F178" s="56" t="n">
        <v>1</v>
      </c>
      <c r="G178" s="57" t="n">
        <f aca="false">IF($A178="","",E178*IF(F178="",1,F178))</f>
        <v>11.8</v>
      </c>
      <c r="H178" s="31" t="n">
        <f aca="false">IF($A178="","",IF(SUMIF($A$6:$A$600,$A178,$G$6:$G$600)=0,0,G178/SUMIF($A$6:$A$600,$A178,$G$6:$G$600)))</f>
        <v>0.01940917165603</v>
      </c>
      <c r="I178" s="30" t="n">
        <f aca="false">IF($A178="","",IFERROR(INDEX('Cotação de Materiais'!$H$4:$H$200,MATCH($A178,'Cotação de Materiais'!$A$4:$A$200,0)),IFERROR(INDEX('Mão de Obra e Serviços'!$G$4:$G$200,MATCH($A178,'Mão de Obra e Serviços'!$A$4:$A$200,0)),0)))</f>
        <v>5000</v>
      </c>
      <c r="K178" s="30" t="n">
        <f aca="false">IF($A178="","",I178*H178)</f>
        <v>97.04585828015</v>
      </c>
      <c r="L178" s="58" t="s">
        <v>487</v>
      </c>
      <c r="M178" s="54" t="str">
        <f aca="false">IF($A178="","",IF(B178="CÓDIGO?","CÓDIGO NÃO ACHADO",IF($D178="","FALTA ITEM DO ANEXO",IF($D178="INDIRETO","",IF(COUNTIFS('Anexo III'!$B$8:$B$400,$D178,'Anexo III'!$E$8:$E$400,"&gt;0")=0,"ITEM NÃO ACHADO NO ANEXO","")))))</f>
        <v/>
      </c>
    </row>
    <row r="179" customFormat="false" ht="15" hidden="false" customHeight="false" outlineLevel="0" collapsed="false">
      <c r="A179" s="52" t="s">
        <v>327</v>
      </c>
      <c r="B179" s="53" t="str">
        <f aca="false">IF($A179="","",IF(ISNUMBER(MATCH($A179,'Cotação de Materiais'!$A$4:$A$200,0)),"MAT",IF(ISNUMBER(MATCH($A179,'Mão de Obra e Serviços'!$A$4:$A$200,0)),"MO","CÓDIGO?")))</f>
        <v>MO</v>
      </c>
      <c r="C179" s="54" t="str">
        <f aca="false">IF($A179="","",IFERROR(INDEX('Cotação de Materiais'!$C$4:$C$200,MATCH($A179,'Cotação de Materiais'!$A$4:$A$200,0)),IFERROR(INDEX('Mão de Obra e Serviços'!$B$4:$B$200,MATCH($A179,'Mão de Obra e Serviços'!$A$4:$A$200,0)),"")))</f>
        <v>Marceneiro / Cenotécnico (Galpão)</v>
      </c>
      <c r="D179" s="52" t="s">
        <v>400</v>
      </c>
      <c r="E179" s="55" t="n">
        <v>32</v>
      </c>
      <c r="F179" s="56" t="n">
        <v>1</v>
      </c>
      <c r="G179" s="57" t="n">
        <f aca="false">IF($A179="","",E179*IF(F179="",1,F179))</f>
        <v>32</v>
      </c>
      <c r="H179" s="31" t="n">
        <f aca="false">IF($A179="","",IF(SUMIF($A$6:$A$600,$A179,$G$6:$G$600)=0,0,G179/SUMIF($A$6:$A$600,$A179,$G$6:$G$600)))</f>
        <v>0.0526350417790644</v>
      </c>
      <c r="I179" s="30" t="n">
        <f aca="false">IF($A179="","",IFERROR(INDEX('Cotação de Materiais'!$H$4:$H$200,MATCH($A179,'Cotação de Materiais'!$A$4:$A$200,0)),IFERROR(INDEX('Mão de Obra e Serviços'!$G$4:$G$200,MATCH($A179,'Mão de Obra e Serviços'!$A$4:$A$200,0)),0)))</f>
        <v>5000</v>
      </c>
      <c r="K179" s="30" t="n">
        <f aca="false">IF($A179="","",I179*H179)</f>
        <v>263.175208895322</v>
      </c>
      <c r="L179" s="58" t="s">
        <v>487</v>
      </c>
      <c r="M179" s="54" t="str">
        <f aca="false">IF($A179="","",IF(B179="CÓDIGO?","CÓDIGO NÃO ACHADO",IF($D179="","FALTA ITEM DO ANEXO",IF($D179="INDIRETO","",IF(COUNTIFS('Anexo III'!$B$8:$B$400,$D179,'Anexo III'!$E$8:$E$400,"&gt;0")=0,"ITEM NÃO ACHADO NO ANEXO","")))))</f>
        <v/>
      </c>
    </row>
    <row r="180" customFormat="false" ht="15" hidden="false" customHeight="false" outlineLevel="0" collapsed="false">
      <c r="A180" s="52" t="s">
        <v>327</v>
      </c>
      <c r="B180" s="53" t="str">
        <f aca="false">IF($A180="","",IF(ISNUMBER(MATCH($A180,'Cotação de Materiais'!$A$4:$A$200,0)),"MAT",IF(ISNUMBER(MATCH($A180,'Mão de Obra e Serviços'!$A$4:$A$200,0)),"MO","CÓDIGO?")))</f>
        <v>MO</v>
      </c>
      <c r="C180" s="54" t="str">
        <f aca="false">IF($A180="","",IFERROR(INDEX('Cotação de Materiais'!$C$4:$C$200,MATCH($A180,'Cotação de Materiais'!$A$4:$A$200,0)),IFERROR(INDEX('Mão de Obra e Serviços'!$B$4:$B$200,MATCH($A180,'Mão de Obra e Serviços'!$A$4:$A$200,0)),"")))</f>
        <v>Marceneiro / Cenotécnico (Galpão)</v>
      </c>
      <c r="D180" s="52" t="s">
        <v>401</v>
      </c>
      <c r="E180" s="55" t="n">
        <v>25</v>
      </c>
      <c r="F180" s="56" t="n">
        <v>1</v>
      </c>
      <c r="G180" s="57" t="n">
        <f aca="false">IF($A180="","",E180*IF(F180="",1,F180))</f>
        <v>25</v>
      </c>
      <c r="H180" s="31" t="n">
        <f aca="false">IF($A180="","",IF(SUMIF($A$6:$A$600,$A180,$G$6:$G$600)=0,0,G180/SUMIF($A$6:$A$600,$A180,$G$6:$G$600)))</f>
        <v>0.0411211263898941</v>
      </c>
      <c r="I180" s="30" t="n">
        <f aca="false">IF($A180="","",IFERROR(INDEX('Cotação de Materiais'!$H$4:$H$200,MATCH($A180,'Cotação de Materiais'!$A$4:$A$200,0)),IFERROR(INDEX('Mão de Obra e Serviços'!$G$4:$G$200,MATCH($A180,'Mão de Obra e Serviços'!$A$4:$A$200,0)),0)))</f>
        <v>5000</v>
      </c>
      <c r="K180" s="30" t="n">
        <f aca="false">IF($A180="","",I180*H180)</f>
        <v>205.60563194947</v>
      </c>
      <c r="L180" s="58" t="s">
        <v>487</v>
      </c>
      <c r="M180" s="54" t="str">
        <f aca="false">IF($A180="","",IF(B180="CÓDIGO?","CÓDIGO NÃO ACHADO",IF($D180="","FALTA ITEM DO ANEXO",IF($D180="INDIRETO","",IF(COUNTIFS('Anexo III'!$B$8:$B$400,$D180,'Anexo III'!$E$8:$E$400,"&gt;0")=0,"ITEM NÃO ACHADO NO ANEXO","")))))</f>
        <v/>
      </c>
    </row>
    <row r="181" customFormat="false" ht="15" hidden="false" customHeight="false" outlineLevel="0" collapsed="false">
      <c r="A181" s="52" t="s">
        <v>327</v>
      </c>
      <c r="B181" s="53" t="str">
        <f aca="false">IF($A181="","",IF(ISNUMBER(MATCH($A181,'Cotação de Materiais'!$A$4:$A$200,0)),"MAT",IF(ISNUMBER(MATCH($A181,'Mão de Obra e Serviços'!$A$4:$A$200,0)),"MO","CÓDIGO?")))</f>
        <v>MO</v>
      </c>
      <c r="C181" s="54" t="str">
        <f aca="false">IF($A181="","",IFERROR(INDEX('Cotação de Materiais'!$C$4:$C$200,MATCH($A181,'Cotação de Materiais'!$A$4:$A$200,0)),IFERROR(INDEX('Mão de Obra e Serviços'!$B$4:$B$200,MATCH($A181,'Mão de Obra e Serviços'!$A$4:$A$200,0)),"")))</f>
        <v>Marceneiro / Cenotécnico (Galpão)</v>
      </c>
      <c r="D181" s="52" t="s">
        <v>402</v>
      </c>
      <c r="E181" s="55" t="n">
        <v>16.5</v>
      </c>
      <c r="F181" s="56" t="n">
        <v>1.5</v>
      </c>
      <c r="G181" s="57" t="n">
        <f aca="false">IF($A181="","",E181*IF(F181="",1,F181))</f>
        <v>24.75</v>
      </c>
      <c r="H181" s="31" t="n">
        <f aca="false">IF($A181="","",IF(SUMIF($A$6:$A$600,$A181,$G$6:$G$600)=0,0,G181/SUMIF($A$6:$A$600,$A181,$G$6:$G$600)))</f>
        <v>0.0407099151259951</v>
      </c>
      <c r="I181" s="30" t="n">
        <f aca="false">IF($A181="","",IFERROR(INDEX('Cotação de Materiais'!$H$4:$H$200,MATCH($A181,'Cotação de Materiais'!$A$4:$A$200,0)),IFERROR(INDEX('Mão de Obra e Serviços'!$G$4:$G$200,MATCH($A181,'Mão de Obra e Serviços'!$A$4:$A$200,0)),0)))</f>
        <v>5000</v>
      </c>
      <c r="K181" s="30" t="n">
        <f aca="false">IF($A181="","",I181*H181)</f>
        <v>203.549575629976</v>
      </c>
      <c r="L181" s="58" t="s">
        <v>487</v>
      </c>
      <c r="M181" s="54" t="str">
        <f aca="false">IF($A181="","",IF(B181="CÓDIGO?","CÓDIGO NÃO ACHADO",IF($D181="","FALTA ITEM DO ANEXO",IF($D181="INDIRETO","",IF(COUNTIFS('Anexo III'!$B$8:$B$400,$D181,'Anexo III'!$E$8:$E$400,"&gt;0")=0,"ITEM NÃO ACHADO NO ANEXO","")))))</f>
        <v/>
      </c>
    </row>
    <row r="182" customFormat="false" ht="15" hidden="false" customHeight="false" outlineLevel="0" collapsed="false">
      <c r="A182" s="52" t="s">
        <v>327</v>
      </c>
      <c r="B182" s="53" t="str">
        <f aca="false">IF($A182="","",IF(ISNUMBER(MATCH($A182,'Cotação de Materiais'!$A$4:$A$200,0)),"MAT",IF(ISNUMBER(MATCH($A182,'Mão de Obra e Serviços'!$A$4:$A$200,0)),"MO","CÓDIGO?")))</f>
        <v>MO</v>
      </c>
      <c r="C182" s="54" t="str">
        <f aca="false">IF($A182="","",IFERROR(INDEX('Cotação de Materiais'!$C$4:$C$200,MATCH($A182,'Cotação de Materiais'!$A$4:$A$200,0)),IFERROR(INDEX('Mão de Obra e Serviços'!$B$4:$B$200,MATCH($A182,'Mão de Obra e Serviços'!$A$4:$A$200,0)),"")))</f>
        <v>Marceneiro / Cenotécnico (Galpão)</v>
      </c>
      <c r="D182" s="52" t="s">
        <v>403</v>
      </c>
      <c r="E182" s="55" t="n">
        <v>3.8</v>
      </c>
      <c r="F182" s="56" t="n">
        <v>1</v>
      </c>
      <c r="G182" s="57" t="n">
        <f aca="false">IF($A182="","",E182*IF(F182="",1,F182))</f>
        <v>3.8</v>
      </c>
      <c r="H182" s="31" t="n">
        <f aca="false">IF($A182="","",IF(SUMIF($A$6:$A$600,$A182,$G$6:$G$600)=0,0,G182/SUMIF($A$6:$A$600,$A182,$G$6:$G$600)))</f>
        <v>0.0062504112112639</v>
      </c>
      <c r="I182" s="30" t="n">
        <f aca="false">IF($A182="","",IFERROR(INDEX('Cotação de Materiais'!$H$4:$H$200,MATCH($A182,'Cotação de Materiais'!$A$4:$A$200,0)),IFERROR(INDEX('Mão de Obra e Serviços'!$G$4:$G$200,MATCH($A182,'Mão de Obra e Serviços'!$A$4:$A$200,0)),0)))</f>
        <v>5000</v>
      </c>
      <c r="K182" s="30" t="n">
        <f aca="false">IF($A182="","",I182*H182)</f>
        <v>31.2520560563195</v>
      </c>
      <c r="L182" s="58" t="s">
        <v>487</v>
      </c>
      <c r="M182" s="54" t="str">
        <f aca="false">IF($A182="","",IF(B182="CÓDIGO?","CÓDIGO NÃO ACHADO",IF($D182="","FALTA ITEM DO ANEXO",IF($D182="INDIRETO","",IF(COUNTIFS('Anexo III'!$B$8:$B$400,$D182,'Anexo III'!$E$8:$E$400,"&gt;0")=0,"ITEM NÃO ACHADO NO ANEXO","")))))</f>
        <v/>
      </c>
    </row>
    <row r="183" customFormat="false" ht="15" hidden="false" customHeight="false" outlineLevel="0" collapsed="false">
      <c r="A183" s="52" t="s">
        <v>327</v>
      </c>
      <c r="B183" s="53" t="str">
        <f aca="false">IF($A183="","",IF(ISNUMBER(MATCH($A183,'Cotação de Materiais'!$A$4:$A$200,0)),"MAT",IF(ISNUMBER(MATCH($A183,'Mão de Obra e Serviços'!$A$4:$A$200,0)),"MO","CÓDIGO?")))</f>
        <v>MO</v>
      </c>
      <c r="C183" s="54" t="str">
        <f aca="false">IF($A183="","",IFERROR(INDEX('Cotação de Materiais'!$C$4:$C$200,MATCH($A183,'Cotação de Materiais'!$A$4:$A$200,0)),IFERROR(INDEX('Mão de Obra e Serviços'!$B$4:$B$200,MATCH($A183,'Mão de Obra e Serviços'!$A$4:$A$200,0)),"")))</f>
        <v>Marceneiro / Cenotécnico (Galpão)</v>
      </c>
      <c r="D183" s="52" t="s">
        <v>404</v>
      </c>
      <c r="E183" s="55" t="n">
        <v>5.2</v>
      </c>
      <c r="F183" s="56" t="n">
        <v>0.5</v>
      </c>
      <c r="G183" s="57" t="n">
        <f aca="false">IF($A183="","",E183*IF(F183="",1,F183))</f>
        <v>2.6</v>
      </c>
      <c r="H183" s="31" t="n">
        <f aca="false">IF($A183="","",IF(SUMIF($A$6:$A$600,$A183,$G$6:$G$600)=0,0,G183/SUMIF($A$6:$A$600,$A183,$G$6:$G$600)))</f>
        <v>0.00427659714454898</v>
      </c>
      <c r="I183" s="30" t="n">
        <f aca="false">IF($A183="","",IFERROR(INDEX('Cotação de Materiais'!$H$4:$H$200,MATCH($A183,'Cotação de Materiais'!$A$4:$A$200,0)),IFERROR(INDEX('Mão de Obra e Serviços'!$G$4:$G$200,MATCH($A183,'Mão de Obra e Serviços'!$A$4:$A$200,0)),0)))</f>
        <v>5000</v>
      </c>
      <c r="K183" s="30" t="n">
        <f aca="false">IF($A183="","",I183*H183)</f>
        <v>21.3829857227449</v>
      </c>
      <c r="L183" s="58" t="s">
        <v>487</v>
      </c>
      <c r="M183" s="54" t="str">
        <f aca="false">IF($A183="","",IF(B183="CÓDIGO?","CÓDIGO NÃO ACHADO",IF($D183="","FALTA ITEM DO ANEXO",IF($D183="INDIRETO","",IF(COUNTIFS('Anexo III'!$B$8:$B$400,$D183,'Anexo III'!$E$8:$E$400,"&gt;0")=0,"ITEM NÃO ACHADO NO ANEXO","")))))</f>
        <v/>
      </c>
    </row>
    <row r="184" customFormat="false" ht="15" hidden="false" customHeight="false" outlineLevel="0" collapsed="false">
      <c r="A184" s="52" t="s">
        <v>327</v>
      </c>
      <c r="B184" s="53" t="str">
        <f aca="false">IF($A184="","",IF(ISNUMBER(MATCH($A184,'Cotação de Materiais'!$A$4:$A$200,0)),"MAT",IF(ISNUMBER(MATCH($A184,'Mão de Obra e Serviços'!$A$4:$A$200,0)),"MO","CÓDIGO?")))</f>
        <v>MO</v>
      </c>
      <c r="C184" s="54" t="str">
        <f aca="false">IF($A184="","",IFERROR(INDEX('Cotação de Materiais'!$C$4:$C$200,MATCH($A184,'Cotação de Materiais'!$A$4:$A$200,0)),IFERROR(INDEX('Mão de Obra e Serviços'!$B$4:$B$200,MATCH($A184,'Mão de Obra e Serviços'!$A$4:$A$200,0)),"")))</f>
        <v>Marceneiro / Cenotécnico (Galpão)</v>
      </c>
      <c r="D184" s="52" t="s">
        <v>405</v>
      </c>
      <c r="E184" s="55" t="n">
        <v>35</v>
      </c>
      <c r="F184" s="56" t="n">
        <v>1</v>
      </c>
      <c r="G184" s="57" t="n">
        <f aca="false">IF($A184="","",E184*IF(F184="",1,F184))</f>
        <v>35</v>
      </c>
      <c r="H184" s="31" t="n">
        <f aca="false">IF($A184="","",IF(SUMIF($A$6:$A$600,$A184,$G$6:$G$600)=0,0,G184/SUMIF($A$6:$A$600,$A184,$G$6:$G$600)))</f>
        <v>0.0575695769458517</v>
      </c>
      <c r="I184" s="30" t="n">
        <f aca="false">IF($A184="","",IFERROR(INDEX('Cotação de Materiais'!$H$4:$H$200,MATCH($A184,'Cotação de Materiais'!$A$4:$A$200,0)),IFERROR(INDEX('Mão de Obra e Serviços'!$G$4:$G$200,MATCH($A184,'Mão de Obra e Serviços'!$A$4:$A$200,0)),0)))</f>
        <v>5000</v>
      </c>
      <c r="K184" s="30" t="n">
        <f aca="false">IF($A184="","",I184*H184)</f>
        <v>287.847884729259</v>
      </c>
      <c r="L184" s="58" t="s">
        <v>487</v>
      </c>
      <c r="M184" s="54" t="str">
        <f aca="false">IF($A184="","",IF(B184="CÓDIGO?","CÓDIGO NÃO ACHADO",IF($D184="","FALTA ITEM DO ANEXO",IF($D184="INDIRETO","",IF(COUNTIFS('Anexo III'!$B$8:$B$400,$D184,'Anexo III'!$E$8:$E$400,"&gt;0")=0,"ITEM NÃO ACHADO NO ANEXO","")))))</f>
        <v/>
      </c>
    </row>
    <row r="185" customFormat="false" ht="15" hidden="false" customHeight="false" outlineLevel="0" collapsed="false">
      <c r="A185" s="52" t="s">
        <v>327</v>
      </c>
      <c r="B185" s="53" t="str">
        <f aca="false">IF($A185="","",IF(ISNUMBER(MATCH($A185,'Cotação de Materiais'!$A$4:$A$200,0)),"MAT",IF(ISNUMBER(MATCH($A185,'Mão de Obra e Serviços'!$A$4:$A$200,0)),"MO","CÓDIGO?")))</f>
        <v>MO</v>
      </c>
      <c r="C185" s="54" t="str">
        <f aca="false">IF($A185="","",IFERROR(INDEX('Cotação de Materiais'!$C$4:$C$200,MATCH($A185,'Cotação de Materiais'!$A$4:$A$200,0)),IFERROR(INDEX('Mão de Obra e Serviços'!$B$4:$B$200,MATCH($A185,'Mão de Obra e Serviços'!$A$4:$A$200,0)),"")))</f>
        <v>Marceneiro / Cenotécnico (Galpão)</v>
      </c>
      <c r="D185" s="52" t="s">
        <v>406</v>
      </c>
      <c r="E185" s="55" t="n">
        <v>97</v>
      </c>
      <c r="F185" s="56" t="n">
        <v>1</v>
      </c>
      <c r="G185" s="57" t="n">
        <f aca="false">IF($A185="","",E185*IF(F185="",1,F185))</f>
        <v>97</v>
      </c>
      <c r="H185" s="31" t="n">
        <f aca="false">IF($A185="","",IF(SUMIF($A$6:$A$600,$A185,$G$6:$G$600)=0,0,G185/SUMIF($A$6:$A$600,$A185,$G$6:$G$600)))</f>
        <v>0.159549970392789</v>
      </c>
      <c r="I185" s="30" t="n">
        <f aca="false">IF($A185="","",IFERROR(INDEX('Cotação de Materiais'!$H$4:$H$200,MATCH($A185,'Cotação de Materiais'!$A$4:$A$200,0)),IFERROR(INDEX('Mão de Obra e Serviços'!$G$4:$G$200,MATCH($A185,'Mão de Obra e Serviços'!$A$4:$A$200,0)),0)))</f>
        <v>5000</v>
      </c>
      <c r="K185" s="30" t="n">
        <f aca="false">IF($A185="","",I185*H185)</f>
        <v>797.749851963945</v>
      </c>
      <c r="L185" s="58" t="s">
        <v>487</v>
      </c>
      <c r="M185" s="54" t="str">
        <f aca="false">IF($A185="","",IF(B185="CÓDIGO?","CÓDIGO NÃO ACHADO",IF($D185="","FALTA ITEM DO ANEXO",IF($D185="INDIRETO","",IF(COUNTIFS('Anexo III'!$B$8:$B$400,$D185,'Anexo III'!$E$8:$E$400,"&gt;0")=0,"ITEM NÃO ACHADO NO ANEXO","")))))</f>
        <v/>
      </c>
    </row>
    <row r="186" customFormat="false" ht="15" hidden="false" customHeight="false" outlineLevel="0" collapsed="false">
      <c r="A186" s="52" t="s">
        <v>327</v>
      </c>
      <c r="B186" s="53" t="str">
        <f aca="false">IF($A186="","",IF(ISNUMBER(MATCH($A186,'Cotação de Materiais'!$A$4:$A$200,0)),"MAT",IF(ISNUMBER(MATCH($A186,'Mão de Obra e Serviços'!$A$4:$A$200,0)),"MO","CÓDIGO?")))</f>
        <v>MO</v>
      </c>
      <c r="C186" s="54" t="str">
        <f aca="false">IF($A186="","",IFERROR(INDEX('Cotação de Materiais'!$C$4:$C$200,MATCH($A186,'Cotação de Materiais'!$A$4:$A$200,0)),IFERROR(INDEX('Mão de Obra e Serviços'!$B$4:$B$200,MATCH($A186,'Mão de Obra e Serviços'!$A$4:$A$200,0)),"")))</f>
        <v>Marceneiro / Cenotécnico (Galpão)</v>
      </c>
      <c r="D186" s="52" t="s">
        <v>407</v>
      </c>
      <c r="E186" s="55" t="n">
        <v>38.58</v>
      </c>
      <c r="F186" s="56" t="n">
        <v>1.5</v>
      </c>
      <c r="G186" s="57" t="n">
        <f aca="false">IF($A186="","",E186*IF(F186="",1,F186))</f>
        <v>57.87</v>
      </c>
      <c r="H186" s="31" t="n">
        <f aca="false">IF($A186="","",IF(SUMIF($A$6:$A$600,$A186,$G$6:$G$600)=0,0,G186/SUMIF($A$6:$A$600,$A186,$G$6:$G$600)))</f>
        <v>0.0951871833673268</v>
      </c>
      <c r="I186" s="30" t="n">
        <f aca="false">IF($A186="","",IFERROR(INDEX('Cotação de Materiais'!$H$4:$H$200,MATCH($A186,'Cotação de Materiais'!$A$4:$A$200,0)),IFERROR(INDEX('Mão de Obra e Serviços'!$G$4:$G$200,MATCH($A186,'Mão de Obra e Serviços'!$A$4:$A$200,0)),0)))</f>
        <v>5000</v>
      </c>
      <c r="K186" s="30" t="n">
        <f aca="false">IF($A186="","",I186*H186)</f>
        <v>475.935916836634</v>
      </c>
      <c r="L186" s="58" t="s">
        <v>487</v>
      </c>
      <c r="M186" s="54" t="str">
        <f aca="false">IF($A186="","",IF(B186="CÓDIGO?","CÓDIGO NÃO ACHADO",IF($D186="","FALTA ITEM DO ANEXO",IF($D186="INDIRETO","",IF(COUNTIFS('Anexo III'!$B$8:$B$400,$D186,'Anexo III'!$E$8:$E$400,"&gt;0")=0,"ITEM NÃO ACHADO NO ANEXO","")))))</f>
        <v/>
      </c>
    </row>
    <row r="187" customFormat="false" ht="15" hidden="false" customHeight="false" outlineLevel="0" collapsed="false">
      <c r="A187" s="52" t="s">
        <v>327</v>
      </c>
      <c r="B187" s="53" t="str">
        <f aca="false">IF($A187="","",IF(ISNUMBER(MATCH($A187,'Cotação de Materiais'!$A$4:$A$200,0)),"MAT",IF(ISNUMBER(MATCH($A187,'Mão de Obra e Serviços'!$A$4:$A$200,0)),"MO","CÓDIGO?")))</f>
        <v>MO</v>
      </c>
      <c r="C187" s="54" t="str">
        <f aca="false">IF($A187="","",IFERROR(INDEX('Cotação de Materiais'!$C$4:$C$200,MATCH($A187,'Cotação de Materiais'!$A$4:$A$200,0)),IFERROR(INDEX('Mão de Obra e Serviços'!$B$4:$B$200,MATCH($A187,'Mão de Obra e Serviços'!$A$4:$A$200,0)),"")))</f>
        <v>Marceneiro / Cenotécnico (Galpão)</v>
      </c>
      <c r="D187" s="52" t="s">
        <v>408</v>
      </c>
      <c r="E187" s="55" t="n">
        <v>12.5</v>
      </c>
      <c r="F187" s="56" t="n">
        <v>1.5</v>
      </c>
      <c r="G187" s="57" t="n">
        <f aca="false">IF($A187="","",E187*IF(F187="",1,F187))</f>
        <v>18.75</v>
      </c>
      <c r="H187" s="31" t="n">
        <f aca="false">IF($A187="","",IF(SUMIF($A$6:$A$600,$A187,$G$6:$G$600)=0,0,G187/SUMIF($A$6:$A$600,$A187,$G$6:$G$600)))</f>
        <v>0.0308408447924206</v>
      </c>
      <c r="I187" s="30" t="n">
        <f aca="false">IF($A187="","",IFERROR(INDEX('Cotação de Materiais'!$H$4:$H$200,MATCH($A187,'Cotação de Materiais'!$A$4:$A$200,0)),IFERROR(INDEX('Mão de Obra e Serviços'!$G$4:$G$200,MATCH($A187,'Mão de Obra e Serviços'!$A$4:$A$200,0)),0)))</f>
        <v>5000</v>
      </c>
      <c r="K187" s="30" t="n">
        <f aca="false">IF($A187="","",I187*H187)</f>
        <v>154.204223962103</v>
      </c>
      <c r="L187" s="58" t="s">
        <v>487</v>
      </c>
      <c r="M187" s="54" t="str">
        <f aca="false">IF($A187="","",IF(B187="CÓDIGO?","CÓDIGO NÃO ACHADO",IF($D187="","FALTA ITEM DO ANEXO",IF($D187="INDIRETO","",IF(COUNTIFS('Anexo III'!$B$8:$B$400,$D187,'Anexo III'!$E$8:$E$400,"&gt;0")=0,"ITEM NÃO ACHADO NO ANEXO","")))))</f>
        <v/>
      </c>
    </row>
    <row r="188" customFormat="false" ht="15" hidden="false" customHeight="false" outlineLevel="0" collapsed="false">
      <c r="A188" s="52" t="s">
        <v>327</v>
      </c>
      <c r="B188" s="53" t="str">
        <f aca="false">IF($A188="","",IF(ISNUMBER(MATCH($A188,'Cotação de Materiais'!$A$4:$A$200,0)),"MAT",IF(ISNUMBER(MATCH($A188,'Mão de Obra e Serviços'!$A$4:$A$200,0)),"MO","CÓDIGO?")))</f>
        <v>MO</v>
      </c>
      <c r="C188" s="54" t="str">
        <f aca="false">IF($A188="","",IFERROR(INDEX('Cotação de Materiais'!$C$4:$C$200,MATCH($A188,'Cotação de Materiais'!$A$4:$A$200,0)),IFERROR(INDEX('Mão de Obra e Serviços'!$B$4:$B$200,MATCH($A188,'Mão de Obra e Serviços'!$A$4:$A$200,0)),"")))</f>
        <v>Marceneiro / Cenotécnico (Galpão)</v>
      </c>
      <c r="D188" s="52" t="s">
        <v>409</v>
      </c>
      <c r="E188" s="55" t="n">
        <v>2.11</v>
      </c>
      <c r="F188" s="56" t="n">
        <v>1.5</v>
      </c>
      <c r="G188" s="57" t="n">
        <f aca="false">IF($A188="","",E188*IF(F188="",1,F188))</f>
        <v>3.165</v>
      </c>
      <c r="H188" s="31" t="n">
        <f aca="false">IF($A188="","",IF(SUMIF($A$6:$A$600,$A188,$G$6:$G$600)=0,0,G188/SUMIF($A$6:$A$600,$A188,$G$6:$G$600)))</f>
        <v>0.00520593460096059</v>
      </c>
      <c r="I188" s="30" t="n">
        <f aca="false">IF($A188="","",IFERROR(INDEX('Cotação de Materiais'!$H$4:$H$200,MATCH($A188,'Cotação de Materiais'!$A$4:$A$200,0)),IFERROR(INDEX('Mão de Obra e Serviços'!$G$4:$G$200,MATCH($A188,'Mão de Obra e Serviços'!$A$4:$A$200,0)),0)))</f>
        <v>5000</v>
      </c>
      <c r="K188" s="30" t="n">
        <f aca="false">IF($A188="","",I188*H188)</f>
        <v>26.0296730048029</v>
      </c>
      <c r="L188" s="58" t="s">
        <v>487</v>
      </c>
      <c r="M188" s="54" t="str">
        <f aca="false">IF($A188="","",IF(B188="CÓDIGO?","CÓDIGO NÃO ACHADO",IF($D188="","FALTA ITEM DO ANEXO",IF($D188="INDIRETO","",IF(COUNTIFS('Anexo III'!$B$8:$B$400,$D188,'Anexo III'!$E$8:$E$400,"&gt;0")=0,"ITEM NÃO ACHADO NO ANEXO","")))))</f>
        <v/>
      </c>
    </row>
    <row r="189" customFormat="false" ht="15" hidden="false" customHeight="false" outlineLevel="0" collapsed="false">
      <c r="A189" s="52" t="s">
        <v>327</v>
      </c>
      <c r="B189" s="53" t="str">
        <f aca="false">IF($A189="","",IF(ISNUMBER(MATCH($A189,'Cotação de Materiais'!$A$4:$A$200,0)),"MAT",IF(ISNUMBER(MATCH($A189,'Mão de Obra e Serviços'!$A$4:$A$200,0)),"MO","CÓDIGO?")))</f>
        <v>MO</v>
      </c>
      <c r="C189" s="54" t="str">
        <f aca="false">IF($A189="","",IFERROR(INDEX('Cotação de Materiais'!$C$4:$C$200,MATCH($A189,'Cotação de Materiais'!$A$4:$A$200,0)),IFERROR(INDEX('Mão de Obra e Serviços'!$B$4:$B$200,MATCH($A189,'Mão de Obra e Serviços'!$A$4:$A$200,0)),"")))</f>
        <v>Marceneiro / Cenotécnico (Galpão)</v>
      </c>
      <c r="D189" s="52" t="s">
        <v>410</v>
      </c>
      <c r="E189" s="55" t="n">
        <v>14.85</v>
      </c>
      <c r="F189" s="56" t="n">
        <v>1.5</v>
      </c>
      <c r="G189" s="57" t="n">
        <f aca="false">IF($A189="","",E189*IF(F189="",1,F189))</f>
        <v>22.275</v>
      </c>
      <c r="H189" s="31" t="n">
        <f aca="false">IF($A189="","",IF(SUMIF($A$6:$A$600,$A189,$G$6:$G$600)=0,0,G189/SUMIF($A$6:$A$600,$A189,$G$6:$G$600)))</f>
        <v>0.0366389236133956</v>
      </c>
      <c r="I189" s="30" t="n">
        <f aca="false">IF($A189="","",IFERROR(INDEX('Cotação de Materiais'!$H$4:$H$200,MATCH($A189,'Cotação de Materiais'!$A$4:$A$200,0)),IFERROR(INDEX('Mão de Obra e Serviços'!$G$4:$G$200,MATCH($A189,'Mão de Obra e Serviços'!$A$4:$A$200,0)),0)))</f>
        <v>5000</v>
      </c>
      <c r="K189" s="30" t="n">
        <f aca="false">IF($A189="","",I189*H189)</f>
        <v>183.194618066978</v>
      </c>
      <c r="L189" s="58" t="s">
        <v>487</v>
      </c>
      <c r="M189" s="54" t="str">
        <f aca="false">IF($A189="","",IF(B189="CÓDIGO?","CÓDIGO NÃO ACHADO",IF($D189="","FALTA ITEM DO ANEXO",IF($D189="INDIRETO","",IF(COUNTIFS('Anexo III'!$B$8:$B$400,$D189,'Anexo III'!$E$8:$E$400,"&gt;0")=0,"ITEM NÃO ACHADO NO ANEXO","")))))</f>
        <v/>
      </c>
    </row>
    <row r="190" customFormat="false" ht="15" hidden="false" customHeight="false" outlineLevel="0" collapsed="false">
      <c r="A190" s="52" t="s">
        <v>327</v>
      </c>
      <c r="B190" s="53" t="str">
        <f aca="false">IF($A190="","",IF(ISNUMBER(MATCH($A190,'Cotação de Materiais'!$A$4:$A$200,0)),"MAT",IF(ISNUMBER(MATCH($A190,'Mão de Obra e Serviços'!$A$4:$A$200,0)),"MO","CÓDIGO?")))</f>
        <v>MO</v>
      </c>
      <c r="C190" s="54" t="str">
        <f aca="false">IF($A190="","",IFERROR(INDEX('Cotação de Materiais'!$C$4:$C$200,MATCH($A190,'Cotação de Materiais'!$A$4:$A$200,0)),IFERROR(INDEX('Mão de Obra e Serviços'!$B$4:$B$200,MATCH($A190,'Mão de Obra e Serviços'!$A$4:$A$200,0)),"")))</f>
        <v>Marceneiro / Cenotécnico (Galpão)</v>
      </c>
      <c r="D190" s="52" t="s">
        <v>411</v>
      </c>
      <c r="E190" s="55" t="n">
        <v>6.86</v>
      </c>
      <c r="F190" s="56" t="n">
        <v>1.5</v>
      </c>
      <c r="G190" s="57" t="n">
        <f aca="false">IF($A190="","",E190*IF(F190="",1,F190))</f>
        <v>10.29</v>
      </c>
      <c r="H190" s="31" t="n">
        <f aca="false">IF($A190="","",IF(SUMIF($A$6:$A$600,$A190,$G$6:$G$600)=0,0,G190/SUMIF($A$6:$A$600,$A190,$G$6:$G$600)))</f>
        <v>0.0169254556220804</v>
      </c>
      <c r="I190" s="30" t="n">
        <f aca="false">IF($A190="","",IFERROR(INDEX('Cotação de Materiais'!$H$4:$H$200,MATCH($A190,'Cotação de Materiais'!$A$4:$A$200,0)),IFERROR(INDEX('Mão de Obra e Serviços'!$G$4:$G$200,MATCH($A190,'Mão de Obra e Serviços'!$A$4:$A$200,0)),0)))</f>
        <v>5000</v>
      </c>
      <c r="K190" s="30" t="n">
        <f aca="false">IF($A190="","",I190*H190)</f>
        <v>84.627278110402</v>
      </c>
      <c r="L190" s="58" t="s">
        <v>487</v>
      </c>
      <c r="M190" s="54" t="str">
        <f aca="false">IF($A190="","",IF(B190="CÓDIGO?","CÓDIGO NÃO ACHADO",IF($D190="","FALTA ITEM DO ANEXO",IF($D190="INDIRETO","",IF(COUNTIFS('Anexo III'!$B$8:$B$400,$D190,'Anexo III'!$E$8:$E$400,"&gt;0")=0,"ITEM NÃO ACHADO NO ANEXO","")))))</f>
        <v/>
      </c>
    </row>
    <row r="191" customFormat="false" ht="15" hidden="false" customHeight="false" outlineLevel="0" collapsed="false">
      <c r="A191" s="52" t="s">
        <v>327</v>
      </c>
      <c r="B191" s="53" t="str">
        <f aca="false">IF($A191="","",IF(ISNUMBER(MATCH($A191,'Cotação de Materiais'!$A$4:$A$200,0)),"MAT",IF(ISNUMBER(MATCH($A191,'Mão de Obra e Serviços'!$A$4:$A$200,0)),"MO","CÓDIGO?")))</f>
        <v>MO</v>
      </c>
      <c r="C191" s="54" t="str">
        <f aca="false">IF($A191="","",IFERROR(INDEX('Cotação de Materiais'!$C$4:$C$200,MATCH($A191,'Cotação de Materiais'!$A$4:$A$200,0)),IFERROR(INDEX('Mão de Obra e Serviços'!$B$4:$B$200,MATCH($A191,'Mão de Obra e Serviços'!$A$4:$A$200,0)),"")))</f>
        <v>Marceneiro / Cenotécnico (Galpão)</v>
      </c>
      <c r="D191" s="52" t="s">
        <v>412</v>
      </c>
      <c r="E191" s="55" t="n">
        <v>5.45</v>
      </c>
      <c r="F191" s="56" t="n">
        <v>1.5</v>
      </c>
      <c r="G191" s="57" t="n">
        <f aca="false">IF($A191="","",E191*IF(F191="",1,F191))</f>
        <v>8.175</v>
      </c>
      <c r="H191" s="31" t="n">
        <f aca="false">IF($A191="","",IF(SUMIF($A$6:$A$600,$A191,$G$6:$G$600)=0,0,G191/SUMIF($A$6:$A$600,$A191,$G$6:$G$600)))</f>
        <v>0.0134466083294954</v>
      </c>
      <c r="I191" s="30" t="n">
        <f aca="false">IF($A191="","",IFERROR(INDEX('Cotação de Materiais'!$H$4:$H$200,MATCH($A191,'Cotação de Materiais'!$A$4:$A$200,0)),IFERROR(INDEX('Mão de Obra e Serviços'!$G$4:$G$200,MATCH($A191,'Mão de Obra e Serviços'!$A$4:$A$200,0)),0)))</f>
        <v>5000</v>
      </c>
      <c r="K191" s="30" t="n">
        <f aca="false">IF($A191="","",I191*H191)</f>
        <v>67.2330416474768</v>
      </c>
      <c r="L191" s="58" t="s">
        <v>487</v>
      </c>
      <c r="M191" s="54" t="str">
        <f aca="false">IF($A191="","",IF(B191="CÓDIGO?","CÓDIGO NÃO ACHADO",IF($D191="","FALTA ITEM DO ANEXO",IF($D191="INDIRETO","",IF(COUNTIFS('Anexo III'!$B$8:$B$400,$D191,'Anexo III'!$E$8:$E$400,"&gt;0")=0,"ITEM NÃO ACHADO NO ANEXO","")))))</f>
        <v/>
      </c>
    </row>
    <row r="192" customFormat="false" ht="15" hidden="false" customHeight="false" outlineLevel="0" collapsed="false">
      <c r="A192" s="52" t="s">
        <v>327</v>
      </c>
      <c r="B192" s="53" t="str">
        <f aca="false">IF($A192="","",IF(ISNUMBER(MATCH($A192,'Cotação de Materiais'!$A$4:$A$200,0)),"MAT",IF(ISNUMBER(MATCH($A192,'Mão de Obra e Serviços'!$A$4:$A$200,0)),"MO","CÓDIGO?")))</f>
        <v>MO</v>
      </c>
      <c r="C192" s="54" t="str">
        <f aca="false">IF($A192="","",IFERROR(INDEX('Cotação de Materiais'!$C$4:$C$200,MATCH($A192,'Cotação de Materiais'!$A$4:$A$200,0)),IFERROR(INDEX('Mão de Obra e Serviços'!$B$4:$B$200,MATCH($A192,'Mão de Obra e Serviços'!$A$4:$A$200,0)),"")))</f>
        <v>Marceneiro / Cenotécnico (Galpão)</v>
      </c>
      <c r="D192" s="52" t="s">
        <v>413</v>
      </c>
      <c r="E192" s="55" t="n">
        <v>2.86</v>
      </c>
      <c r="F192" s="56" t="n">
        <v>1.5</v>
      </c>
      <c r="G192" s="57" t="n">
        <f aca="false">IF($A192="","",E192*IF(F192="",1,F192))</f>
        <v>4.29</v>
      </c>
      <c r="H192" s="31" t="n">
        <f aca="false">IF($A192="","",IF(SUMIF($A$6:$A$600,$A192,$G$6:$G$600)=0,0,G192/SUMIF($A$6:$A$600,$A192,$G$6:$G$600)))</f>
        <v>0.00705638528850582</v>
      </c>
      <c r="I192" s="30" t="n">
        <f aca="false">IF($A192="","",IFERROR(INDEX('Cotação de Materiais'!$H$4:$H$200,MATCH($A192,'Cotação de Materiais'!$A$4:$A$200,0)),IFERROR(INDEX('Mão de Obra e Serviços'!$G$4:$G$200,MATCH($A192,'Mão de Obra e Serviços'!$A$4:$A$200,0)),0)))</f>
        <v>5000</v>
      </c>
      <c r="K192" s="30" t="n">
        <f aca="false">IF($A192="","",I192*H192)</f>
        <v>35.2819264425291</v>
      </c>
      <c r="L192" s="58" t="s">
        <v>487</v>
      </c>
      <c r="M192" s="54" t="str">
        <f aca="false">IF($A192="","",IF(B192="CÓDIGO?","CÓDIGO NÃO ACHADO",IF($D192="","FALTA ITEM DO ANEXO",IF($D192="INDIRETO","",IF(COUNTIFS('Anexo III'!$B$8:$B$400,$D192,'Anexo III'!$E$8:$E$400,"&gt;0")=0,"ITEM NÃO ACHADO NO ANEXO","")))))</f>
        <v/>
      </c>
    </row>
    <row r="193" customFormat="false" ht="15" hidden="false" customHeight="false" outlineLevel="0" collapsed="false">
      <c r="A193" s="52" t="s">
        <v>327</v>
      </c>
      <c r="B193" s="53" t="str">
        <f aca="false">IF($A193="","",IF(ISNUMBER(MATCH($A193,'Cotação de Materiais'!$A$4:$A$200,0)),"MAT",IF(ISNUMBER(MATCH($A193,'Mão de Obra e Serviços'!$A$4:$A$200,0)),"MO","CÓDIGO?")))</f>
        <v>MO</v>
      </c>
      <c r="C193" s="54" t="str">
        <f aca="false">IF($A193="","",IFERROR(INDEX('Cotação de Materiais'!$C$4:$C$200,MATCH($A193,'Cotação de Materiais'!$A$4:$A$200,0)),IFERROR(INDEX('Mão de Obra e Serviços'!$B$4:$B$200,MATCH($A193,'Mão de Obra e Serviços'!$A$4:$A$200,0)),"")))</f>
        <v>Marceneiro / Cenotécnico (Galpão)</v>
      </c>
      <c r="D193" s="52" t="s">
        <v>414</v>
      </c>
      <c r="E193" s="55" t="n">
        <v>3.98</v>
      </c>
      <c r="F193" s="56" t="n">
        <v>1.5</v>
      </c>
      <c r="G193" s="57" t="n">
        <f aca="false">IF($A193="","",E193*IF(F193="",1,F193))</f>
        <v>5.97</v>
      </c>
      <c r="H193" s="31" t="n">
        <f aca="false">IF($A193="","",IF(SUMIF($A$6:$A$600,$A193,$G$6:$G$600)=0,0,G193/SUMIF($A$6:$A$600,$A193,$G$6:$G$600)))</f>
        <v>0.0098197249819067</v>
      </c>
      <c r="I193" s="30" t="n">
        <f aca="false">IF($A193="","",IFERROR(INDEX('Cotação de Materiais'!$H$4:$H$200,MATCH($A193,'Cotação de Materiais'!$A$4:$A$200,0)),IFERROR(INDEX('Mão de Obra e Serviços'!$G$4:$G$200,MATCH($A193,'Mão de Obra e Serviços'!$A$4:$A$200,0)),0)))</f>
        <v>5000</v>
      </c>
      <c r="K193" s="30" t="n">
        <f aca="false">IF($A193="","",I193*H193)</f>
        <v>49.0986249095335</v>
      </c>
      <c r="L193" s="58" t="s">
        <v>487</v>
      </c>
      <c r="M193" s="54" t="str">
        <f aca="false">IF($A193="","",IF(B193="CÓDIGO?","CÓDIGO NÃO ACHADO",IF($D193="","FALTA ITEM DO ANEXO",IF($D193="INDIRETO","",IF(COUNTIFS('Anexo III'!$B$8:$B$400,$D193,'Anexo III'!$E$8:$E$400,"&gt;0")=0,"ITEM NÃO ACHADO NO ANEXO","")))))</f>
        <v/>
      </c>
    </row>
    <row r="194" customFormat="false" ht="15" hidden="false" customHeight="false" outlineLevel="0" collapsed="false">
      <c r="A194" s="52" t="s">
        <v>327</v>
      </c>
      <c r="B194" s="53" t="str">
        <f aca="false">IF($A194="","",IF(ISNUMBER(MATCH($A194,'Cotação de Materiais'!$A$4:$A$200,0)),"MAT",IF(ISNUMBER(MATCH($A194,'Mão de Obra e Serviços'!$A$4:$A$200,0)),"MO","CÓDIGO?")))</f>
        <v>MO</v>
      </c>
      <c r="C194" s="54" t="str">
        <f aca="false">IF($A194="","",IFERROR(INDEX('Cotação de Materiais'!$C$4:$C$200,MATCH($A194,'Cotação de Materiais'!$A$4:$A$200,0)),IFERROR(INDEX('Mão de Obra e Serviços'!$B$4:$B$200,MATCH($A194,'Mão de Obra e Serviços'!$A$4:$A$200,0)),"")))</f>
        <v>Marceneiro / Cenotécnico (Galpão)</v>
      </c>
      <c r="D194" s="52" t="s">
        <v>415</v>
      </c>
      <c r="E194" s="55" t="n">
        <v>2.88</v>
      </c>
      <c r="F194" s="56" t="n">
        <v>1.5</v>
      </c>
      <c r="G194" s="57" t="n">
        <f aca="false">IF($A194="","",E194*IF(F194="",1,F194))</f>
        <v>4.32</v>
      </c>
      <c r="H194" s="31" t="n">
        <f aca="false">IF($A194="","",IF(SUMIF($A$6:$A$600,$A194,$G$6:$G$600)=0,0,G194/SUMIF($A$6:$A$600,$A194,$G$6:$G$600)))</f>
        <v>0.0071057306401737</v>
      </c>
      <c r="I194" s="30" t="n">
        <f aca="false">IF($A194="","",IFERROR(INDEX('Cotação de Materiais'!$H$4:$H$200,MATCH($A194,'Cotação de Materiais'!$A$4:$A$200,0)),IFERROR(INDEX('Mão de Obra e Serviços'!$G$4:$G$200,MATCH($A194,'Mão de Obra e Serviços'!$A$4:$A$200,0)),0)))</f>
        <v>5000</v>
      </c>
      <c r="K194" s="30" t="n">
        <f aca="false">IF($A194="","",I194*H194)</f>
        <v>35.5286532008685</v>
      </c>
      <c r="L194" s="58" t="s">
        <v>487</v>
      </c>
      <c r="M194" s="54" t="str">
        <f aca="false">IF($A194="","",IF(B194="CÓDIGO?","CÓDIGO NÃO ACHADO",IF($D194="","FALTA ITEM DO ANEXO",IF($D194="INDIRETO","",IF(COUNTIFS('Anexo III'!$B$8:$B$400,$D194,'Anexo III'!$E$8:$E$400,"&gt;0")=0,"ITEM NÃO ACHADO NO ANEXO","")))))</f>
        <v/>
      </c>
    </row>
    <row r="195" customFormat="false" ht="15" hidden="false" customHeight="false" outlineLevel="0" collapsed="false">
      <c r="A195" s="52" t="s">
        <v>327</v>
      </c>
      <c r="B195" s="53" t="str">
        <f aca="false">IF($A195="","",IF(ISNUMBER(MATCH($A195,'Cotação de Materiais'!$A$4:$A$200,0)),"MAT",IF(ISNUMBER(MATCH($A195,'Mão de Obra e Serviços'!$A$4:$A$200,0)),"MO","CÓDIGO?")))</f>
        <v>MO</v>
      </c>
      <c r="C195" s="54" t="str">
        <f aca="false">IF($A195="","",IFERROR(INDEX('Cotação de Materiais'!$C$4:$C$200,MATCH($A195,'Cotação de Materiais'!$A$4:$A$200,0)),IFERROR(INDEX('Mão de Obra e Serviços'!$B$4:$B$200,MATCH($A195,'Mão de Obra e Serviços'!$A$4:$A$200,0)),"")))</f>
        <v>Marceneiro / Cenotécnico (Galpão)</v>
      </c>
      <c r="D195" s="52" t="s">
        <v>416</v>
      </c>
      <c r="E195" s="55" t="n">
        <v>17.78</v>
      </c>
      <c r="F195" s="56" t="n">
        <v>1.5</v>
      </c>
      <c r="G195" s="57" t="n">
        <f aca="false">IF($A195="","",E195*IF(F195="",1,F195))</f>
        <v>26.67</v>
      </c>
      <c r="H195" s="31" t="n">
        <f aca="false">IF($A195="","",IF(SUMIF($A$6:$A$600,$A195,$G$6:$G$600)=0,0,G195/SUMIF($A$6:$A$600,$A195,$G$6:$G$600)))</f>
        <v>0.043868017632739</v>
      </c>
      <c r="I195" s="30" t="n">
        <f aca="false">IF($A195="","",IFERROR(INDEX('Cotação de Materiais'!$H$4:$H$200,MATCH($A195,'Cotação de Materiais'!$A$4:$A$200,0)),IFERROR(INDEX('Mão de Obra e Serviços'!$G$4:$G$200,MATCH($A195,'Mão de Obra e Serviços'!$A$4:$A$200,0)),0)))</f>
        <v>5000</v>
      </c>
      <c r="K195" s="30" t="n">
        <f aca="false">IF($A195="","",I195*H195)</f>
        <v>219.340088163695</v>
      </c>
      <c r="L195" s="58" t="s">
        <v>487</v>
      </c>
      <c r="M195" s="54" t="str">
        <f aca="false">IF($A195="","",IF(B195="CÓDIGO?","CÓDIGO NÃO ACHADO",IF($D195="","FALTA ITEM DO ANEXO",IF($D195="INDIRETO","",IF(COUNTIFS('Anexo III'!$B$8:$B$400,$D195,'Anexo III'!$E$8:$E$400,"&gt;0")=0,"ITEM NÃO ACHADO NO ANEXO","")))))</f>
        <v/>
      </c>
    </row>
    <row r="196" customFormat="false" ht="15" hidden="false" customHeight="false" outlineLevel="0" collapsed="false">
      <c r="A196" s="52" t="s">
        <v>327</v>
      </c>
      <c r="B196" s="53" t="str">
        <f aca="false">IF($A196="","",IF(ISNUMBER(MATCH($A196,'Cotação de Materiais'!$A$4:$A$200,0)),"MAT",IF(ISNUMBER(MATCH($A196,'Mão de Obra e Serviços'!$A$4:$A$200,0)),"MO","CÓDIGO?")))</f>
        <v>MO</v>
      </c>
      <c r="C196" s="54" t="str">
        <f aca="false">IF($A196="","",IFERROR(INDEX('Cotação de Materiais'!$C$4:$C$200,MATCH($A196,'Cotação de Materiais'!$A$4:$A$200,0)),IFERROR(INDEX('Mão de Obra e Serviços'!$B$4:$B$200,MATCH($A196,'Mão de Obra e Serviços'!$A$4:$A$200,0)),"")))</f>
        <v>Marceneiro / Cenotécnico (Galpão)</v>
      </c>
      <c r="D196" s="52" t="s">
        <v>417</v>
      </c>
      <c r="E196" s="55" t="n">
        <v>17.23</v>
      </c>
      <c r="F196" s="56" t="n">
        <v>1.5</v>
      </c>
      <c r="G196" s="57" t="n">
        <f aca="false">IF($A196="","",E196*IF(F196="",1,F196))</f>
        <v>25.845</v>
      </c>
      <c r="H196" s="31" t="n">
        <f aca="false">IF($A196="","",IF(SUMIF($A$6:$A$600,$A196,$G$6:$G$600)=0,0,G196/SUMIF($A$6:$A$600,$A196,$G$6:$G$600)))</f>
        <v>0.0425110204618725</v>
      </c>
      <c r="I196" s="30" t="n">
        <f aca="false">IF($A196="","",IFERROR(INDEX('Cotação de Materiais'!$H$4:$H$200,MATCH($A196,'Cotação de Materiais'!$A$4:$A$200,0)),IFERROR(INDEX('Mão de Obra e Serviços'!$G$4:$G$200,MATCH($A196,'Mão de Obra e Serviços'!$A$4:$A$200,0)),0)))</f>
        <v>5000</v>
      </c>
      <c r="K196" s="30" t="n">
        <f aca="false">IF($A196="","",I196*H196)</f>
        <v>212.555102309362</v>
      </c>
      <c r="L196" s="58" t="s">
        <v>487</v>
      </c>
      <c r="M196" s="54" t="str">
        <f aca="false">IF($A196="","",IF(B196="CÓDIGO?","CÓDIGO NÃO ACHADO",IF($D196="","FALTA ITEM DO ANEXO",IF($D196="INDIRETO","",IF(COUNTIFS('Anexo III'!$B$8:$B$400,$D196,'Anexo III'!$E$8:$E$400,"&gt;0")=0,"ITEM NÃO ACHADO NO ANEXO","")))))</f>
        <v/>
      </c>
    </row>
    <row r="197" customFormat="false" ht="15" hidden="false" customHeight="false" outlineLevel="0" collapsed="false">
      <c r="A197" s="52" t="s">
        <v>327</v>
      </c>
      <c r="B197" s="53" t="str">
        <f aca="false">IF($A197="","",IF(ISNUMBER(MATCH($A197,'Cotação de Materiais'!$A$4:$A$200,0)),"MAT",IF(ISNUMBER(MATCH($A197,'Mão de Obra e Serviços'!$A$4:$A$200,0)),"MO","CÓDIGO?")))</f>
        <v>MO</v>
      </c>
      <c r="C197" s="54" t="str">
        <f aca="false">IF($A197="","",IFERROR(INDEX('Cotação de Materiais'!$C$4:$C$200,MATCH($A197,'Cotação de Materiais'!$A$4:$A$200,0)),IFERROR(INDEX('Mão de Obra e Serviços'!$B$4:$B$200,MATCH($A197,'Mão de Obra e Serviços'!$A$4:$A$200,0)),"")))</f>
        <v>Marceneiro / Cenotécnico (Galpão)</v>
      </c>
      <c r="D197" s="52" t="s">
        <v>418</v>
      </c>
      <c r="E197" s="55" t="n">
        <v>32.41</v>
      </c>
      <c r="F197" s="56" t="n">
        <v>1.5</v>
      </c>
      <c r="G197" s="57" t="n">
        <f aca="false">IF($A197="","",E197*IF(F197="",1,F197))</f>
        <v>48.615</v>
      </c>
      <c r="H197" s="31" t="n">
        <f aca="false">IF($A197="","",IF(SUMIF($A$6:$A$600,$A197,$G$6:$G$600)=0,0,G197/SUMIF($A$6:$A$600,$A197,$G$6:$G$600)))</f>
        <v>0.079964142377788</v>
      </c>
      <c r="I197" s="30" t="n">
        <f aca="false">IF($A197="","",IFERROR(INDEX('Cotação de Materiais'!$H$4:$H$200,MATCH($A197,'Cotação de Materiais'!$A$4:$A$200,0)),IFERROR(INDEX('Mão de Obra e Serviços'!$G$4:$G$200,MATCH($A197,'Mão de Obra e Serviços'!$A$4:$A$200,0)),0)))</f>
        <v>5000</v>
      </c>
      <c r="K197" s="30" t="n">
        <f aca="false">IF($A197="","",I197*H197)</f>
        <v>399.82071188894</v>
      </c>
      <c r="L197" s="58" t="s">
        <v>487</v>
      </c>
      <c r="M197" s="54" t="str">
        <f aca="false">IF($A197="","",IF(B197="CÓDIGO?","CÓDIGO NÃO ACHADO",IF($D197="","FALTA ITEM DO ANEXO",IF($D197="INDIRETO","",IF(COUNTIFS('Anexo III'!$B$8:$B$400,$D197,'Anexo III'!$E$8:$E$400,"&gt;0")=0,"ITEM NÃO ACHADO NO ANEXO","")))))</f>
        <v/>
      </c>
    </row>
    <row r="198" customFormat="false" ht="15" hidden="false" customHeight="false" outlineLevel="0" collapsed="false">
      <c r="A198" s="52" t="s">
        <v>327</v>
      </c>
      <c r="B198" s="53" t="str">
        <f aca="false">IF($A198="","",IF(ISNUMBER(MATCH($A198,'Cotação de Materiais'!$A$4:$A$200,0)),"MAT",IF(ISNUMBER(MATCH($A198,'Mão de Obra e Serviços'!$A$4:$A$200,0)),"MO","CÓDIGO?")))</f>
        <v>MO</v>
      </c>
      <c r="C198" s="54" t="str">
        <f aca="false">IF($A198="","",IFERROR(INDEX('Cotação de Materiais'!$C$4:$C$200,MATCH($A198,'Cotação de Materiais'!$A$4:$A$200,0)),IFERROR(INDEX('Mão de Obra e Serviços'!$B$4:$B$200,MATCH($A198,'Mão de Obra e Serviços'!$A$4:$A$200,0)),"")))</f>
        <v>Marceneiro / Cenotécnico (Galpão)</v>
      </c>
      <c r="D198" s="52" t="s">
        <v>419</v>
      </c>
      <c r="E198" s="55" t="n">
        <v>5.86</v>
      </c>
      <c r="F198" s="56" t="n">
        <v>2.5</v>
      </c>
      <c r="G198" s="57" t="n">
        <f aca="false">IF($A198="","",E198*IF(F198="",1,F198))</f>
        <v>14.65</v>
      </c>
      <c r="H198" s="31" t="n">
        <f aca="false">IF($A198="","",IF(SUMIF($A$6:$A$600,$A198,$G$6:$G$600)=0,0,G198/SUMIF($A$6:$A$600,$A198,$G$6:$G$600)))</f>
        <v>0.0240969800644779</v>
      </c>
      <c r="I198" s="30" t="n">
        <f aca="false">IF($A198="","",IFERROR(INDEX('Cotação de Materiais'!$H$4:$H$200,MATCH($A198,'Cotação de Materiais'!$A$4:$A$200,0)),IFERROR(INDEX('Mão de Obra e Serviços'!$G$4:$G$200,MATCH($A198,'Mão de Obra e Serviços'!$A$4:$A$200,0)),0)))</f>
        <v>5000</v>
      </c>
      <c r="K198" s="30" t="n">
        <f aca="false">IF($A198="","",I198*H198)</f>
        <v>120.48490032239</v>
      </c>
      <c r="L198" s="58" t="s">
        <v>487</v>
      </c>
      <c r="M198" s="54" t="str">
        <f aca="false">IF($A198="","",IF(B198="CÓDIGO?","CÓDIGO NÃO ACHADO",IF($D198="","FALTA ITEM DO ANEXO",IF($D198="INDIRETO","",IF(COUNTIFS('Anexo III'!$B$8:$B$400,$D198,'Anexo III'!$E$8:$E$400,"&gt;0")=0,"ITEM NÃO ACHADO NO ANEXO","")))))</f>
        <v/>
      </c>
    </row>
    <row r="199" customFormat="false" ht="15" hidden="false" customHeight="false" outlineLevel="0" collapsed="false">
      <c r="A199" s="52" t="s">
        <v>327</v>
      </c>
      <c r="B199" s="53" t="str">
        <f aca="false">IF($A199="","",IF(ISNUMBER(MATCH($A199,'Cotação de Materiais'!$A$4:$A$200,0)),"MAT",IF(ISNUMBER(MATCH($A199,'Mão de Obra e Serviços'!$A$4:$A$200,0)),"MO","CÓDIGO?")))</f>
        <v>MO</v>
      </c>
      <c r="C199" s="54" t="str">
        <f aca="false">IF($A199="","",IFERROR(INDEX('Cotação de Materiais'!$C$4:$C$200,MATCH($A199,'Cotação de Materiais'!$A$4:$A$200,0)),IFERROR(INDEX('Mão de Obra e Serviços'!$B$4:$B$200,MATCH($A199,'Mão de Obra e Serviços'!$A$4:$A$200,0)),"")))</f>
        <v>Marceneiro / Cenotécnico (Galpão)</v>
      </c>
      <c r="D199" s="52" t="s">
        <v>421</v>
      </c>
      <c r="E199" s="55" t="n">
        <v>2.93</v>
      </c>
      <c r="F199" s="56" t="n">
        <v>2.5</v>
      </c>
      <c r="G199" s="57" t="n">
        <f aca="false">IF($A199="","",E199*IF(F199="",1,F199))</f>
        <v>7.325</v>
      </c>
      <c r="H199" s="31" t="n">
        <f aca="false">IF($A199="","",IF(SUMIF($A$6:$A$600,$A199,$G$6:$G$600)=0,0,G199/SUMIF($A$6:$A$600,$A199,$G$6:$G$600)))</f>
        <v>0.012048490032239</v>
      </c>
      <c r="I199" s="30" t="n">
        <f aca="false">IF($A199="","",IFERROR(INDEX('Cotação de Materiais'!$H$4:$H$200,MATCH($A199,'Cotação de Materiais'!$A$4:$A$200,0)),IFERROR(INDEX('Mão de Obra e Serviços'!$G$4:$G$200,MATCH($A199,'Mão de Obra e Serviços'!$A$4:$A$200,0)),0)))</f>
        <v>5000</v>
      </c>
      <c r="K199" s="30" t="n">
        <f aca="false">IF($A199="","",I199*H199)</f>
        <v>60.2424501611948</v>
      </c>
      <c r="L199" s="58" t="s">
        <v>487</v>
      </c>
      <c r="M199" s="54" t="str">
        <f aca="false">IF($A199="","",IF(B199="CÓDIGO?","CÓDIGO NÃO ACHADO",IF($D199="","FALTA ITEM DO ANEXO",IF($D199="INDIRETO","",IF(COUNTIFS('Anexo III'!$B$8:$B$400,$D199,'Anexo III'!$E$8:$E$400,"&gt;0")=0,"ITEM NÃO ACHADO NO ANEXO","")))))</f>
        <v/>
      </c>
    </row>
    <row r="200" customFormat="false" ht="15" hidden="false" customHeight="false" outlineLevel="0" collapsed="false">
      <c r="A200" s="52" t="s">
        <v>327</v>
      </c>
      <c r="B200" s="53" t="str">
        <f aca="false">IF($A200="","",IF(ISNUMBER(MATCH($A200,'Cotação de Materiais'!$A$4:$A$200,0)),"MAT",IF(ISNUMBER(MATCH($A200,'Mão de Obra e Serviços'!$A$4:$A$200,0)),"MO","CÓDIGO?")))</f>
        <v>MO</v>
      </c>
      <c r="C200" s="54" t="str">
        <f aca="false">IF($A200="","",IFERROR(INDEX('Cotação de Materiais'!$C$4:$C$200,MATCH($A200,'Cotação de Materiais'!$A$4:$A$200,0)),IFERROR(INDEX('Mão de Obra e Serviços'!$B$4:$B$200,MATCH($A200,'Mão de Obra e Serviços'!$A$4:$A$200,0)),"")))</f>
        <v>Marceneiro / Cenotécnico (Galpão)</v>
      </c>
      <c r="D200" s="52" t="s">
        <v>422</v>
      </c>
      <c r="E200" s="55" t="n">
        <v>2.93</v>
      </c>
      <c r="F200" s="56" t="n">
        <v>2.5</v>
      </c>
      <c r="G200" s="57" t="n">
        <f aca="false">IF($A200="","",E200*IF(F200="",1,F200))</f>
        <v>7.325</v>
      </c>
      <c r="H200" s="31" t="n">
        <f aca="false">IF($A200="","",IF(SUMIF($A$6:$A$600,$A200,$G$6:$G$600)=0,0,G200/SUMIF($A$6:$A$600,$A200,$G$6:$G$600)))</f>
        <v>0.012048490032239</v>
      </c>
      <c r="I200" s="30" t="n">
        <f aca="false">IF($A200="","",IFERROR(INDEX('Cotação de Materiais'!$H$4:$H$200,MATCH($A200,'Cotação de Materiais'!$A$4:$A$200,0)),IFERROR(INDEX('Mão de Obra e Serviços'!$G$4:$G$200,MATCH($A200,'Mão de Obra e Serviços'!$A$4:$A$200,0)),0)))</f>
        <v>5000</v>
      </c>
      <c r="K200" s="30" t="n">
        <f aca="false">IF($A200="","",I200*H200)</f>
        <v>60.2424501611948</v>
      </c>
      <c r="L200" s="58" t="s">
        <v>487</v>
      </c>
      <c r="M200" s="54" t="str">
        <f aca="false">IF($A200="","",IF(B200="CÓDIGO?","CÓDIGO NÃO ACHADO",IF($D200="","FALTA ITEM DO ANEXO",IF($D200="INDIRETO","",IF(COUNTIFS('Anexo III'!$B$8:$B$400,$D200,'Anexo III'!$E$8:$E$400,"&gt;0")=0,"ITEM NÃO ACHADO NO ANEXO","")))))</f>
        <v/>
      </c>
    </row>
    <row r="201" customFormat="false" ht="15" hidden="false" customHeight="false" outlineLevel="0" collapsed="false">
      <c r="A201" s="52" t="s">
        <v>327</v>
      </c>
      <c r="B201" s="53" t="str">
        <f aca="false">IF($A201="","",IF(ISNUMBER(MATCH($A201,'Cotação de Materiais'!$A$4:$A$200,0)),"MAT",IF(ISNUMBER(MATCH($A201,'Mão de Obra e Serviços'!$A$4:$A$200,0)),"MO","CÓDIGO?")))</f>
        <v>MO</v>
      </c>
      <c r="C201" s="54" t="str">
        <f aca="false">IF($A201="","",IFERROR(INDEX('Cotação de Materiais'!$C$4:$C$200,MATCH($A201,'Cotação de Materiais'!$A$4:$A$200,0)),IFERROR(INDEX('Mão de Obra e Serviços'!$B$4:$B$200,MATCH($A201,'Mão de Obra e Serviços'!$A$4:$A$200,0)),"")))</f>
        <v>Marceneiro / Cenotécnico (Galpão)</v>
      </c>
      <c r="D201" s="52" t="s">
        <v>423</v>
      </c>
      <c r="E201" s="55" t="n">
        <v>2.43</v>
      </c>
      <c r="F201" s="56" t="n">
        <v>2.5</v>
      </c>
      <c r="G201" s="57" t="n">
        <f aca="false">IF($A201="","",E201*IF(F201="",1,F201))</f>
        <v>6.075</v>
      </c>
      <c r="H201" s="31" t="n">
        <f aca="false">IF($A201="","",IF(SUMIF($A$6:$A$600,$A201,$G$6:$G$600)=0,0,G201/SUMIF($A$6:$A$600,$A201,$G$6:$G$600)))</f>
        <v>0.00999243371274426</v>
      </c>
      <c r="I201" s="30" t="n">
        <f aca="false">IF($A201="","",IFERROR(INDEX('Cotação de Materiais'!$H$4:$H$200,MATCH($A201,'Cotação de Materiais'!$A$4:$A$200,0)),IFERROR(INDEX('Mão de Obra e Serviços'!$G$4:$G$200,MATCH($A201,'Mão de Obra e Serviços'!$A$4:$A$200,0)),0)))</f>
        <v>5000</v>
      </c>
      <c r="K201" s="30" t="n">
        <f aca="false">IF($A201="","",I201*H201)</f>
        <v>49.9621685637213</v>
      </c>
      <c r="L201" s="58" t="s">
        <v>487</v>
      </c>
      <c r="M201" s="54" t="str">
        <f aca="false">IF($A201="","",IF(B201="CÓDIGO?","CÓDIGO NÃO ACHADO",IF($D201="","FALTA ITEM DO ANEXO",IF($D201="INDIRETO","",IF(COUNTIFS('Anexo III'!$B$8:$B$400,$D201,'Anexo III'!$E$8:$E$400,"&gt;0")=0,"ITEM NÃO ACHADO NO ANEXO","")))))</f>
        <v/>
      </c>
    </row>
    <row r="202" customFormat="false" ht="15" hidden="false" customHeight="false" outlineLevel="0" collapsed="false">
      <c r="A202" s="52" t="s">
        <v>327</v>
      </c>
      <c r="B202" s="53" t="str">
        <f aca="false">IF($A202="","",IF(ISNUMBER(MATCH($A202,'Cotação de Materiais'!$A$4:$A$200,0)),"MAT",IF(ISNUMBER(MATCH($A202,'Mão de Obra e Serviços'!$A$4:$A$200,0)),"MO","CÓDIGO?")))</f>
        <v>MO</v>
      </c>
      <c r="C202" s="54" t="str">
        <f aca="false">IF($A202="","",IFERROR(INDEX('Cotação de Materiais'!$C$4:$C$200,MATCH($A202,'Cotação de Materiais'!$A$4:$A$200,0)),IFERROR(INDEX('Mão de Obra e Serviços'!$B$4:$B$200,MATCH($A202,'Mão de Obra e Serviços'!$A$4:$A$200,0)),"")))</f>
        <v>Marceneiro / Cenotécnico (Galpão)</v>
      </c>
      <c r="D202" s="52" t="s">
        <v>424</v>
      </c>
      <c r="E202" s="55" t="n">
        <v>8.79</v>
      </c>
      <c r="F202" s="56" t="n">
        <v>2.5</v>
      </c>
      <c r="G202" s="57" t="n">
        <f aca="false">IF($A202="","",E202*IF(F202="",1,F202))</f>
        <v>21.975</v>
      </c>
      <c r="H202" s="31" t="n">
        <f aca="false">IF($A202="","",IF(SUMIF($A$6:$A$600,$A202,$G$6:$G$600)=0,0,G202/SUMIF($A$6:$A$600,$A202,$G$6:$G$600)))</f>
        <v>0.0361454700967169</v>
      </c>
      <c r="I202" s="30" t="n">
        <f aca="false">IF($A202="","",IFERROR(INDEX('Cotação de Materiais'!$H$4:$H$200,MATCH($A202,'Cotação de Materiais'!$A$4:$A$200,0)),IFERROR(INDEX('Mão de Obra e Serviços'!$G$4:$G$200,MATCH($A202,'Mão de Obra e Serviços'!$A$4:$A$200,0)),0)))</f>
        <v>5000</v>
      </c>
      <c r="K202" s="30" t="n">
        <f aca="false">IF($A202="","",I202*H202)</f>
        <v>180.727350483584</v>
      </c>
      <c r="L202" s="58" t="s">
        <v>487</v>
      </c>
      <c r="M202" s="54" t="str">
        <f aca="false">IF($A202="","",IF(B202="CÓDIGO?","CÓDIGO NÃO ACHADO",IF($D202="","FALTA ITEM DO ANEXO",IF($D202="INDIRETO","",IF(COUNTIFS('Anexo III'!$B$8:$B$400,$D202,'Anexo III'!$E$8:$E$400,"&gt;0")=0,"ITEM NÃO ACHADO NO ANEXO","")))))</f>
        <v/>
      </c>
    </row>
    <row r="203" customFormat="false" ht="15" hidden="false" customHeight="false" outlineLevel="0" collapsed="false">
      <c r="A203" s="52" t="s">
        <v>327</v>
      </c>
      <c r="B203" s="53" t="str">
        <f aca="false">IF($A203="","",IF(ISNUMBER(MATCH($A203,'Cotação de Materiais'!$A$4:$A$200,0)),"MAT",IF(ISNUMBER(MATCH($A203,'Mão de Obra e Serviços'!$A$4:$A$200,0)),"MO","CÓDIGO?")))</f>
        <v>MO</v>
      </c>
      <c r="C203" s="54" t="str">
        <f aca="false">IF($A203="","",IFERROR(INDEX('Cotação de Materiais'!$C$4:$C$200,MATCH($A203,'Cotação de Materiais'!$A$4:$A$200,0)),IFERROR(INDEX('Mão de Obra e Serviços'!$B$4:$B$200,MATCH($A203,'Mão de Obra e Serviços'!$A$4:$A$200,0)),"")))</f>
        <v>Marceneiro / Cenotécnico (Galpão)</v>
      </c>
      <c r="D203" s="52" t="s">
        <v>425</v>
      </c>
      <c r="E203" s="55" t="n">
        <v>0.23</v>
      </c>
      <c r="F203" s="56" t="n">
        <v>2.5</v>
      </c>
      <c r="G203" s="57" t="n">
        <f aca="false">IF($A203="","",E203*IF(F203="",1,F203))</f>
        <v>0.575</v>
      </c>
      <c r="H203" s="31" t="n">
        <f aca="false">IF($A203="","",IF(SUMIF($A$6:$A$600,$A203,$G$6:$G$600)=0,0,G203/SUMIF($A$6:$A$600,$A203,$G$6:$G$600)))</f>
        <v>0.000945785906967564</v>
      </c>
      <c r="I203" s="30" t="n">
        <f aca="false">IF($A203="","",IFERROR(INDEX('Cotação de Materiais'!$H$4:$H$200,MATCH($A203,'Cotação de Materiais'!$A$4:$A$200,0)),IFERROR(INDEX('Mão de Obra e Serviços'!$G$4:$G$200,MATCH($A203,'Mão de Obra e Serviços'!$A$4:$A$200,0)),0)))</f>
        <v>5000</v>
      </c>
      <c r="K203" s="30" t="n">
        <f aca="false">IF($A203="","",I203*H203)</f>
        <v>4.72892953483782</v>
      </c>
      <c r="L203" s="58" t="s">
        <v>487</v>
      </c>
      <c r="M203" s="54" t="str">
        <f aca="false">IF($A203="","",IF(B203="CÓDIGO?","CÓDIGO NÃO ACHADO",IF($D203="","FALTA ITEM DO ANEXO",IF($D203="INDIRETO","",IF(COUNTIFS('Anexo III'!$B$8:$B$400,$D203,'Anexo III'!$E$8:$E$400,"&gt;0")=0,"ITEM NÃO ACHADO NO ANEXO","")))))</f>
        <v/>
      </c>
    </row>
    <row r="204" customFormat="false" ht="15" hidden="false" customHeight="false" outlineLevel="0" collapsed="false">
      <c r="A204" s="52" t="s">
        <v>327</v>
      </c>
      <c r="B204" s="53" t="str">
        <f aca="false">IF($A204="","",IF(ISNUMBER(MATCH($A204,'Cotação de Materiais'!$A$4:$A$200,0)),"MAT",IF(ISNUMBER(MATCH($A204,'Mão de Obra e Serviços'!$A$4:$A$200,0)),"MO","CÓDIGO?")))</f>
        <v>MO</v>
      </c>
      <c r="C204" s="54" t="str">
        <f aca="false">IF($A204="","",IFERROR(INDEX('Cotação de Materiais'!$C$4:$C$200,MATCH($A204,'Cotação de Materiais'!$A$4:$A$200,0)),IFERROR(INDEX('Mão de Obra e Serviços'!$B$4:$B$200,MATCH($A204,'Mão de Obra e Serviços'!$A$4:$A$200,0)),"")))</f>
        <v>Marceneiro / Cenotécnico (Galpão)</v>
      </c>
      <c r="D204" s="52" t="s">
        <v>426</v>
      </c>
      <c r="E204" s="55" t="n">
        <v>3.8</v>
      </c>
      <c r="F204" s="56" t="n">
        <v>2.5</v>
      </c>
      <c r="G204" s="57" t="n">
        <f aca="false">IF($A204="","",E204*IF(F204="",1,F204))</f>
        <v>9.5</v>
      </c>
      <c r="H204" s="31" t="n">
        <f aca="false">IF($A204="","",IF(SUMIF($A$6:$A$600,$A204,$G$6:$G$600)=0,0,G204/SUMIF($A$6:$A$600,$A204,$G$6:$G$600)))</f>
        <v>0.0156260280281597</v>
      </c>
      <c r="I204" s="30" t="n">
        <f aca="false">IF($A204="","",IFERROR(INDEX('Cotação de Materiais'!$H$4:$H$200,MATCH($A204,'Cotação de Materiais'!$A$4:$A$200,0)),IFERROR(INDEX('Mão de Obra e Serviços'!$G$4:$G$200,MATCH($A204,'Mão de Obra e Serviços'!$A$4:$A$200,0)),0)))</f>
        <v>5000</v>
      </c>
      <c r="K204" s="30" t="n">
        <f aca="false">IF($A204="","",I204*H204)</f>
        <v>78.1301401407987</v>
      </c>
      <c r="L204" s="58" t="s">
        <v>487</v>
      </c>
      <c r="M204" s="54" t="str">
        <f aca="false">IF($A204="","",IF(B204="CÓDIGO?","CÓDIGO NÃO ACHADO",IF($D204="","FALTA ITEM DO ANEXO",IF($D204="INDIRETO","",IF(COUNTIFS('Anexo III'!$B$8:$B$400,$D204,'Anexo III'!$E$8:$E$400,"&gt;0")=0,"ITEM NÃO ACHADO NO ANEXO","")))))</f>
        <v/>
      </c>
    </row>
    <row r="205" customFormat="false" ht="15" hidden="false" customHeight="false" outlineLevel="0" collapsed="false">
      <c r="A205" s="52" t="s">
        <v>327</v>
      </c>
      <c r="B205" s="53" t="str">
        <f aca="false">IF($A205="","",IF(ISNUMBER(MATCH($A205,'Cotação de Materiais'!$A$4:$A$200,0)),"MAT",IF(ISNUMBER(MATCH($A205,'Mão de Obra e Serviços'!$A$4:$A$200,0)),"MO","CÓDIGO?")))</f>
        <v>MO</v>
      </c>
      <c r="C205" s="54" t="str">
        <f aca="false">IF($A205="","",IFERROR(INDEX('Cotação de Materiais'!$C$4:$C$200,MATCH($A205,'Cotação de Materiais'!$A$4:$A$200,0)),IFERROR(INDEX('Mão de Obra e Serviços'!$B$4:$B$200,MATCH($A205,'Mão de Obra e Serviços'!$A$4:$A$200,0)),"")))</f>
        <v>Marceneiro / Cenotécnico (Galpão)</v>
      </c>
      <c r="D205" s="52" t="s">
        <v>428</v>
      </c>
      <c r="E205" s="55" t="n">
        <v>3.24</v>
      </c>
      <c r="F205" s="56" t="n">
        <v>1.5</v>
      </c>
      <c r="G205" s="57" t="n">
        <f aca="false">IF($A205="","",E205*IF(F205="",1,F205))</f>
        <v>4.86</v>
      </c>
      <c r="H205" s="31" t="n">
        <f aca="false">IF($A205="","",IF(SUMIF($A$6:$A$600,$A205,$G$6:$G$600)=0,0,G205/SUMIF($A$6:$A$600,$A205,$G$6:$G$600)))</f>
        <v>0.00799394697019541</v>
      </c>
      <c r="I205" s="30" t="n">
        <f aca="false">IF($A205="","",IFERROR(INDEX('Cotação de Materiais'!$H$4:$H$200,MATCH($A205,'Cotação de Materiais'!$A$4:$A$200,0)),IFERROR(INDEX('Mão de Obra e Serviços'!$G$4:$G$200,MATCH($A205,'Mão de Obra e Serviços'!$A$4:$A$200,0)),0)))</f>
        <v>5000</v>
      </c>
      <c r="K205" s="30" t="n">
        <f aca="false">IF($A205="","",I205*H205)</f>
        <v>39.969734850977</v>
      </c>
      <c r="L205" s="58" t="s">
        <v>487</v>
      </c>
      <c r="M205" s="54" t="str">
        <f aca="false">IF($A205="","",IF(B205="CÓDIGO?","CÓDIGO NÃO ACHADO",IF($D205="","FALTA ITEM DO ANEXO",IF($D205="INDIRETO","",IF(COUNTIFS('Anexo III'!$B$8:$B$400,$D205,'Anexo III'!$E$8:$E$400,"&gt;0")=0,"ITEM NÃO ACHADO NO ANEXO","")))))</f>
        <v/>
      </c>
    </row>
    <row r="206" customFormat="false" ht="15" hidden="false" customHeight="false" outlineLevel="0" collapsed="false">
      <c r="A206" s="52" t="s">
        <v>327</v>
      </c>
      <c r="B206" s="53" t="str">
        <f aca="false">IF($A206="","",IF(ISNUMBER(MATCH($A206,'Cotação de Materiais'!$A$4:$A$200,0)),"MAT",IF(ISNUMBER(MATCH($A206,'Mão de Obra e Serviços'!$A$4:$A$200,0)),"MO","CÓDIGO?")))</f>
        <v>MO</v>
      </c>
      <c r="C206" s="54" t="str">
        <f aca="false">IF($A206="","",IFERROR(INDEX('Cotação de Materiais'!$C$4:$C$200,MATCH($A206,'Cotação de Materiais'!$A$4:$A$200,0)),IFERROR(INDEX('Mão de Obra e Serviços'!$B$4:$B$200,MATCH($A206,'Mão de Obra e Serviços'!$A$4:$A$200,0)),"")))</f>
        <v>Marceneiro / Cenotécnico (Galpão)</v>
      </c>
      <c r="D206" s="52" t="s">
        <v>429</v>
      </c>
      <c r="E206" s="55" t="n">
        <v>30.76</v>
      </c>
      <c r="F206" s="56" t="n">
        <v>1.5</v>
      </c>
      <c r="G206" s="57" t="n">
        <f aca="false">IF($A206="","",E206*IF(F206="",1,F206))</f>
        <v>46.14</v>
      </c>
      <c r="H206" s="31" t="n">
        <f aca="false">IF($A206="","",IF(SUMIF($A$6:$A$600,$A206,$G$6:$G$600)=0,0,G206/SUMIF($A$6:$A$600,$A206,$G$6:$G$600)))</f>
        <v>0.0758931508651885</v>
      </c>
      <c r="I206" s="30" t="n">
        <f aca="false">IF($A206="","",IFERROR(INDEX('Cotação de Materiais'!$H$4:$H$200,MATCH($A206,'Cotação de Materiais'!$A$4:$A$200,0)),IFERROR(INDEX('Mão de Obra e Serviços'!$G$4:$G$200,MATCH($A206,'Mão de Obra e Serviços'!$A$4:$A$200,0)),0)))</f>
        <v>5000</v>
      </c>
      <c r="K206" s="30" t="n">
        <f aca="false">IF($A206="","",I206*H206)</f>
        <v>379.465754325943</v>
      </c>
      <c r="L206" s="58" t="s">
        <v>487</v>
      </c>
      <c r="M206" s="54" t="str">
        <f aca="false">IF($A206="","",IF(B206="CÓDIGO?","CÓDIGO NÃO ACHADO",IF($D206="","FALTA ITEM DO ANEXO",IF($D206="INDIRETO","",IF(COUNTIFS('Anexo III'!$B$8:$B$400,$D206,'Anexo III'!$E$8:$E$400,"&gt;0")=0,"ITEM NÃO ACHADO NO ANEXO","")))))</f>
        <v/>
      </c>
    </row>
    <row r="207" customFormat="false" ht="15" hidden="false" customHeight="false" outlineLevel="0" collapsed="false">
      <c r="A207" s="52" t="s">
        <v>327</v>
      </c>
      <c r="B207" s="53" t="str">
        <f aca="false">IF($A207="","",IF(ISNUMBER(MATCH($A207,'Cotação de Materiais'!$A$4:$A$200,0)),"MAT",IF(ISNUMBER(MATCH($A207,'Mão de Obra e Serviços'!$A$4:$A$200,0)),"MO","CÓDIGO?")))</f>
        <v>MO</v>
      </c>
      <c r="C207" s="54" t="str">
        <f aca="false">IF($A207="","",IFERROR(INDEX('Cotação de Materiais'!$C$4:$C$200,MATCH($A207,'Cotação de Materiais'!$A$4:$A$200,0)),IFERROR(INDEX('Mão de Obra e Serviços'!$B$4:$B$200,MATCH($A207,'Mão de Obra e Serviços'!$A$4:$A$200,0)),"")))</f>
        <v>Marceneiro / Cenotécnico (Galpão)</v>
      </c>
      <c r="D207" s="52" t="s">
        <v>435</v>
      </c>
      <c r="E207" s="55" t="n">
        <v>2.94</v>
      </c>
      <c r="F207" s="56" t="n">
        <v>2.5</v>
      </c>
      <c r="G207" s="57" t="n">
        <f aca="false">IF($A207="","",E207*IF(F207="",1,F207))</f>
        <v>7.35</v>
      </c>
      <c r="H207" s="31" t="n">
        <f aca="false">IF($A207="","",IF(SUMIF($A$6:$A$600,$A207,$G$6:$G$600)=0,0,G207/SUMIF($A$6:$A$600,$A207,$G$6:$G$600)))</f>
        <v>0.0120896111586289</v>
      </c>
      <c r="I207" s="30" t="n">
        <f aca="false">IF($A207="","",IFERROR(INDEX('Cotação de Materiais'!$H$4:$H$200,MATCH($A207,'Cotação de Materiais'!$A$4:$A$200,0)),IFERROR(INDEX('Mão de Obra e Serviços'!$G$4:$G$200,MATCH($A207,'Mão de Obra e Serviços'!$A$4:$A$200,0)),0)))</f>
        <v>5000</v>
      </c>
      <c r="K207" s="30" t="n">
        <f aca="false">IF($A207="","",I207*H207)</f>
        <v>60.4480557931443</v>
      </c>
      <c r="L207" s="58" t="s">
        <v>487</v>
      </c>
      <c r="M207" s="54" t="str">
        <f aca="false">IF($A207="","",IF(B207="CÓDIGO?","CÓDIGO NÃO ACHADO",IF($D207="","FALTA ITEM DO ANEXO",IF($D207="INDIRETO","",IF(COUNTIFS('Anexo III'!$B$8:$B$400,$D207,'Anexo III'!$E$8:$E$400,"&gt;0")=0,"ITEM NÃO ACHADO NO ANEXO","")))))</f>
        <v/>
      </c>
    </row>
    <row r="208" customFormat="false" ht="15" hidden="false" customHeight="false" outlineLevel="0" collapsed="false">
      <c r="A208" s="52" t="s">
        <v>331</v>
      </c>
      <c r="B208" s="53" t="str">
        <f aca="false">IF($A208="","",IF(ISNUMBER(MATCH($A208,'Cotação de Materiais'!$A$4:$A$200,0)),"MAT",IF(ISNUMBER(MATCH($A208,'Mão de Obra e Serviços'!$A$4:$A$200,0)),"MO","CÓDIGO?")))</f>
        <v>MO</v>
      </c>
      <c r="C208" s="54" t="str">
        <f aca="false">IF($A208="","",IFERROR(INDEX('Cotação de Materiais'!$C$4:$C$200,MATCH($A208,'Cotação de Materiais'!$A$4:$A$200,0)),IFERROR(INDEX('Mão de Obra e Serviços'!$B$4:$B$200,MATCH($A208,'Mão de Obra e Serviços'!$A$4:$A$200,0)),"")))</f>
        <v>Marceneiro / Cenotécnico (SESC)</v>
      </c>
      <c r="D208" s="52" t="s">
        <v>397</v>
      </c>
      <c r="E208" s="55" t="n">
        <v>14</v>
      </c>
      <c r="F208" s="56" t="n">
        <v>1</v>
      </c>
      <c r="G208" s="57" t="n">
        <f aca="false">IF($A208="","",E208*IF(F208="",1,F208))</f>
        <v>14</v>
      </c>
      <c r="H208" s="31" t="n">
        <f aca="false">IF($A208="","",IF(SUMIF($A$6:$A$600,$A208,$G$6:$G$600)=0,0,G208/SUMIF($A$6:$A$600,$A208,$G$6:$G$600)))</f>
        <v>0.0230278307783407</v>
      </c>
      <c r="I208" s="30" t="n">
        <f aca="false">IF($A208="","",IFERROR(INDEX('Cotação de Materiais'!$H$4:$H$200,MATCH($A208,'Cotação de Materiais'!$A$4:$A$200,0)),IFERROR(INDEX('Mão de Obra e Serviços'!$G$4:$G$200,MATCH($A208,'Mão de Obra e Serviços'!$A$4:$A$200,0)),0)))</f>
        <v>43200</v>
      </c>
      <c r="K208" s="30" t="n">
        <f aca="false">IF($A208="","",I208*H208)</f>
        <v>994.802289624317</v>
      </c>
      <c r="L208" s="58" t="s">
        <v>487</v>
      </c>
      <c r="M208" s="54" t="str">
        <f aca="false">IF($A208="","",IF(B208="CÓDIGO?","CÓDIGO NÃO ACHADO",IF($D208="","FALTA ITEM DO ANEXO",IF($D208="INDIRETO","",IF(COUNTIFS('Anexo III'!$B$8:$B$400,$D208,'Anexo III'!$E$8:$E$400,"&gt;0")=0,"ITEM NÃO ACHADO NO ANEXO","")))))</f>
        <v/>
      </c>
    </row>
    <row r="209" customFormat="false" ht="15" hidden="false" customHeight="false" outlineLevel="0" collapsed="false">
      <c r="A209" s="52" t="s">
        <v>331</v>
      </c>
      <c r="B209" s="53" t="str">
        <f aca="false">IF($A209="","",IF(ISNUMBER(MATCH($A209,'Cotação de Materiais'!$A$4:$A$200,0)),"MAT",IF(ISNUMBER(MATCH($A209,'Mão de Obra e Serviços'!$A$4:$A$200,0)),"MO","CÓDIGO?")))</f>
        <v>MO</v>
      </c>
      <c r="C209" s="54" t="str">
        <f aca="false">IF($A209="","",IFERROR(INDEX('Cotação de Materiais'!$C$4:$C$200,MATCH($A209,'Cotação de Materiais'!$A$4:$A$200,0)),IFERROR(INDEX('Mão de Obra e Serviços'!$B$4:$B$200,MATCH($A209,'Mão de Obra e Serviços'!$A$4:$A$200,0)),"")))</f>
        <v>Marceneiro / Cenotécnico (SESC)</v>
      </c>
      <c r="D209" s="52" t="s">
        <v>399</v>
      </c>
      <c r="E209" s="55" t="n">
        <v>11.8</v>
      </c>
      <c r="F209" s="56" t="n">
        <v>1</v>
      </c>
      <c r="G209" s="57" t="n">
        <f aca="false">IF($A209="","",E209*IF(F209="",1,F209))</f>
        <v>11.8</v>
      </c>
      <c r="H209" s="31" t="n">
        <f aca="false">IF($A209="","",IF(SUMIF($A$6:$A$600,$A209,$G$6:$G$600)=0,0,G209/SUMIF($A$6:$A$600,$A209,$G$6:$G$600)))</f>
        <v>0.01940917165603</v>
      </c>
      <c r="I209" s="30" t="n">
        <f aca="false">IF($A209="","",IFERROR(INDEX('Cotação de Materiais'!$H$4:$H$200,MATCH($A209,'Cotação de Materiais'!$A$4:$A$200,0)),IFERROR(INDEX('Mão de Obra e Serviços'!$G$4:$G$200,MATCH($A209,'Mão de Obra e Serviços'!$A$4:$A$200,0)),0)))</f>
        <v>43200</v>
      </c>
      <c r="K209" s="30" t="n">
        <f aca="false">IF($A209="","",I209*H209)</f>
        <v>838.476215540496</v>
      </c>
      <c r="L209" s="58" t="s">
        <v>487</v>
      </c>
      <c r="M209" s="54" t="str">
        <f aca="false">IF($A209="","",IF(B209="CÓDIGO?","CÓDIGO NÃO ACHADO",IF($D209="","FALTA ITEM DO ANEXO",IF($D209="INDIRETO","",IF(COUNTIFS('Anexo III'!$B$8:$B$400,$D209,'Anexo III'!$E$8:$E$400,"&gt;0")=0,"ITEM NÃO ACHADO NO ANEXO","")))))</f>
        <v/>
      </c>
    </row>
    <row r="210" customFormat="false" ht="15" hidden="false" customHeight="false" outlineLevel="0" collapsed="false">
      <c r="A210" s="52" t="s">
        <v>331</v>
      </c>
      <c r="B210" s="53" t="str">
        <f aca="false">IF($A210="","",IF(ISNUMBER(MATCH($A210,'Cotação de Materiais'!$A$4:$A$200,0)),"MAT",IF(ISNUMBER(MATCH($A210,'Mão de Obra e Serviços'!$A$4:$A$200,0)),"MO","CÓDIGO?")))</f>
        <v>MO</v>
      </c>
      <c r="C210" s="54" t="str">
        <f aca="false">IF($A210="","",IFERROR(INDEX('Cotação de Materiais'!$C$4:$C$200,MATCH($A210,'Cotação de Materiais'!$A$4:$A$200,0)),IFERROR(INDEX('Mão de Obra e Serviços'!$B$4:$B$200,MATCH($A210,'Mão de Obra e Serviços'!$A$4:$A$200,0)),"")))</f>
        <v>Marceneiro / Cenotécnico (SESC)</v>
      </c>
      <c r="D210" s="52" t="s">
        <v>400</v>
      </c>
      <c r="E210" s="55" t="n">
        <v>32</v>
      </c>
      <c r="F210" s="56" t="n">
        <v>1</v>
      </c>
      <c r="G210" s="57" t="n">
        <f aca="false">IF($A210="","",E210*IF(F210="",1,F210))</f>
        <v>32</v>
      </c>
      <c r="H210" s="31" t="n">
        <f aca="false">IF($A210="","",IF(SUMIF($A$6:$A$600,$A210,$G$6:$G$600)=0,0,G210/SUMIF($A$6:$A$600,$A210,$G$6:$G$600)))</f>
        <v>0.0526350417790644</v>
      </c>
      <c r="I210" s="30" t="n">
        <f aca="false">IF($A210="","",IFERROR(INDEX('Cotação de Materiais'!$H$4:$H$200,MATCH($A210,'Cotação de Materiais'!$A$4:$A$200,0)),IFERROR(INDEX('Mão de Obra e Serviços'!$G$4:$G$200,MATCH($A210,'Mão de Obra e Serviços'!$A$4:$A$200,0)),0)))</f>
        <v>43200</v>
      </c>
      <c r="K210" s="30" t="n">
        <f aca="false">IF($A210="","",I210*H210)</f>
        <v>2273.83380485558</v>
      </c>
      <c r="L210" s="58" t="s">
        <v>487</v>
      </c>
      <c r="M210" s="54" t="str">
        <f aca="false">IF($A210="","",IF(B210="CÓDIGO?","CÓDIGO NÃO ACHADO",IF($D210="","FALTA ITEM DO ANEXO",IF($D210="INDIRETO","",IF(COUNTIFS('Anexo III'!$B$8:$B$400,$D210,'Anexo III'!$E$8:$E$400,"&gt;0")=0,"ITEM NÃO ACHADO NO ANEXO","")))))</f>
        <v/>
      </c>
    </row>
    <row r="211" customFormat="false" ht="15" hidden="false" customHeight="false" outlineLevel="0" collapsed="false">
      <c r="A211" s="52" t="s">
        <v>331</v>
      </c>
      <c r="B211" s="53" t="str">
        <f aca="false">IF($A211="","",IF(ISNUMBER(MATCH($A211,'Cotação de Materiais'!$A$4:$A$200,0)),"MAT",IF(ISNUMBER(MATCH($A211,'Mão de Obra e Serviços'!$A$4:$A$200,0)),"MO","CÓDIGO?")))</f>
        <v>MO</v>
      </c>
      <c r="C211" s="54" t="str">
        <f aca="false">IF($A211="","",IFERROR(INDEX('Cotação de Materiais'!$C$4:$C$200,MATCH($A211,'Cotação de Materiais'!$A$4:$A$200,0)),IFERROR(INDEX('Mão de Obra e Serviços'!$B$4:$B$200,MATCH($A211,'Mão de Obra e Serviços'!$A$4:$A$200,0)),"")))</f>
        <v>Marceneiro / Cenotécnico (SESC)</v>
      </c>
      <c r="D211" s="52" t="s">
        <v>401</v>
      </c>
      <c r="E211" s="55" t="n">
        <v>25</v>
      </c>
      <c r="F211" s="56" t="n">
        <v>1</v>
      </c>
      <c r="G211" s="57" t="n">
        <f aca="false">IF($A211="","",E211*IF(F211="",1,F211))</f>
        <v>25</v>
      </c>
      <c r="H211" s="31" t="n">
        <f aca="false">IF($A211="","",IF(SUMIF($A$6:$A$600,$A211,$G$6:$G$600)=0,0,G211/SUMIF($A$6:$A$600,$A211,$G$6:$G$600)))</f>
        <v>0.0411211263898941</v>
      </c>
      <c r="I211" s="30" t="n">
        <f aca="false">IF($A211="","",IFERROR(INDEX('Cotação de Materiais'!$H$4:$H$200,MATCH($A211,'Cotação de Materiais'!$A$4:$A$200,0)),IFERROR(INDEX('Mão de Obra e Serviços'!$G$4:$G$200,MATCH($A211,'Mão de Obra e Serviços'!$A$4:$A$200,0)),0)))</f>
        <v>43200</v>
      </c>
      <c r="K211" s="30" t="n">
        <f aca="false">IF($A211="","",I211*H211)</f>
        <v>1776.43266004342</v>
      </c>
      <c r="L211" s="58" t="s">
        <v>487</v>
      </c>
      <c r="M211" s="54" t="str">
        <f aca="false">IF($A211="","",IF(B211="CÓDIGO?","CÓDIGO NÃO ACHADO",IF($D211="","FALTA ITEM DO ANEXO",IF($D211="INDIRETO","",IF(COUNTIFS('Anexo III'!$B$8:$B$400,$D211,'Anexo III'!$E$8:$E$400,"&gt;0")=0,"ITEM NÃO ACHADO NO ANEXO","")))))</f>
        <v/>
      </c>
    </row>
    <row r="212" customFormat="false" ht="15" hidden="false" customHeight="false" outlineLevel="0" collapsed="false">
      <c r="A212" s="52" t="s">
        <v>331</v>
      </c>
      <c r="B212" s="53" t="str">
        <f aca="false">IF($A212="","",IF(ISNUMBER(MATCH($A212,'Cotação de Materiais'!$A$4:$A$200,0)),"MAT",IF(ISNUMBER(MATCH($A212,'Mão de Obra e Serviços'!$A$4:$A$200,0)),"MO","CÓDIGO?")))</f>
        <v>MO</v>
      </c>
      <c r="C212" s="54" t="str">
        <f aca="false">IF($A212="","",IFERROR(INDEX('Cotação de Materiais'!$C$4:$C$200,MATCH($A212,'Cotação de Materiais'!$A$4:$A$200,0)),IFERROR(INDEX('Mão de Obra e Serviços'!$B$4:$B$200,MATCH($A212,'Mão de Obra e Serviços'!$A$4:$A$200,0)),"")))</f>
        <v>Marceneiro / Cenotécnico (SESC)</v>
      </c>
      <c r="D212" s="52" t="s">
        <v>402</v>
      </c>
      <c r="E212" s="55" t="n">
        <v>16.5</v>
      </c>
      <c r="F212" s="56" t="n">
        <v>1.5</v>
      </c>
      <c r="G212" s="57" t="n">
        <f aca="false">IF($A212="","",E212*IF(F212="",1,F212))</f>
        <v>24.75</v>
      </c>
      <c r="H212" s="31" t="n">
        <f aca="false">IF($A212="","",IF(SUMIF($A$6:$A$600,$A212,$G$6:$G$600)=0,0,G212/SUMIF($A$6:$A$600,$A212,$G$6:$G$600)))</f>
        <v>0.0407099151259951</v>
      </c>
      <c r="I212" s="30" t="n">
        <f aca="false">IF($A212="","",IFERROR(INDEX('Cotação de Materiais'!$H$4:$H$200,MATCH($A212,'Cotação de Materiais'!$A$4:$A$200,0)),IFERROR(INDEX('Mão de Obra e Serviços'!$G$4:$G$200,MATCH($A212,'Mão de Obra e Serviços'!$A$4:$A$200,0)),0)))</f>
        <v>43200</v>
      </c>
      <c r="K212" s="30" t="n">
        <f aca="false">IF($A212="","",I212*H212)</f>
        <v>1758.66833344299</v>
      </c>
      <c r="L212" s="58" t="s">
        <v>487</v>
      </c>
      <c r="M212" s="54" t="str">
        <f aca="false">IF($A212="","",IF(B212="CÓDIGO?","CÓDIGO NÃO ACHADO",IF($D212="","FALTA ITEM DO ANEXO",IF($D212="INDIRETO","",IF(COUNTIFS('Anexo III'!$B$8:$B$400,$D212,'Anexo III'!$E$8:$E$400,"&gt;0")=0,"ITEM NÃO ACHADO NO ANEXO","")))))</f>
        <v/>
      </c>
    </row>
    <row r="213" customFormat="false" ht="15" hidden="false" customHeight="false" outlineLevel="0" collapsed="false">
      <c r="A213" s="52" t="s">
        <v>331</v>
      </c>
      <c r="B213" s="53" t="str">
        <f aca="false">IF($A213="","",IF(ISNUMBER(MATCH($A213,'Cotação de Materiais'!$A$4:$A$200,0)),"MAT",IF(ISNUMBER(MATCH($A213,'Mão de Obra e Serviços'!$A$4:$A$200,0)),"MO","CÓDIGO?")))</f>
        <v>MO</v>
      </c>
      <c r="C213" s="54" t="str">
        <f aca="false">IF($A213="","",IFERROR(INDEX('Cotação de Materiais'!$C$4:$C$200,MATCH($A213,'Cotação de Materiais'!$A$4:$A$200,0)),IFERROR(INDEX('Mão de Obra e Serviços'!$B$4:$B$200,MATCH($A213,'Mão de Obra e Serviços'!$A$4:$A$200,0)),"")))</f>
        <v>Marceneiro / Cenotécnico (SESC)</v>
      </c>
      <c r="D213" s="52" t="s">
        <v>403</v>
      </c>
      <c r="E213" s="55" t="n">
        <v>3.8</v>
      </c>
      <c r="F213" s="56" t="n">
        <v>1</v>
      </c>
      <c r="G213" s="57" t="n">
        <f aca="false">IF($A213="","",E213*IF(F213="",1,F213))</f>
        <v>3.8</v>
      </c>
      <c r="H213" s="31" t="n">
        <f aca="false">IF($A213="","",IF(SUMIF($A$6:$A$600,$A213,$G$6:$G$600)=0,0,G213/SUMIF($A$6:$A$600,$A213,$G$6:$G$600)))</f>
        <v>0.0062504112112639</v>
      </c>
      <c r="I213" s="30" t="n">
        <f aca="false">IF($A213="","",IFERROR(INDEX('Cotação de Materiais'!$H$4:$H$200,MATCH($A213,'Cotação de Materiais'!$A$4:$A$200,0)),IFERROR(INDEX('Mão de Obra e Serviços'!$G$4:$G$200,MATCH($A213,'Mão de Obra e Serviços'!$A$4:$A$200,0)),0)))</f>
        <v>43200</v>
      </c>
      <c r="K213" s="30" t="n">
        <f aca="false">IF($A213="","",I213*H213)</f>
        <v>270.0177643266</v>
      </c>
      <c r="L213" s="58" t="s">
        <v>487</v>
      </c>
      <c r="M213" s="54" t="str">
        <f aca="false">IF($A213="","",IF(B213="CÓDIGO?","CÓDIGO NÃO ACHADO",IF($D213="","FALTA ITEM DO ANEXO",IF($D213="INDIRETO","",IF(COUNTIFS('Anexo III'!$B$8:$B$400,$D213,'Anexo III'!$E$8:$E$400,"&gt;0")=0,"ITEM NÃO ACHADO NO ANEXO","")))))</f>
        <v/>
      </c>
    </row>
    <row r="214" customFormat="false" ht="15" hidden="false" customHeight="false" outlineLevel="0" collapsed="false">
      <c r="A214" s="52" t="s">
        <v>331</v>
      </c>
      <c r="B214" s="53" t="str">
        <f aca="false">IF($A214="","",IF(ISNUMBER(MATCH($A214,'Cotação de Materiais'!$A$4:$A$200,0)),"MAT",IF(ISNUMBER(MATCH($A214,'Mão de Obra e Serviços'!$A$4:$A$200,0)),"MO","CÓDIGO?")))</f>
        <v>MO</v>
      </c>
      <c r="C214" s="54" t="str">
        <f aca="false">IF($A214="","",IFERROR(INDEX('Cotação de Materiais'!$C$4:$C$200,MATCH($A214,'Cotação de Materiais'!$A$4:$A$200,0)),IFERROR(INDEX('Mão de Obra e Serviços'!$B$4:$B$200,MATCH($A214,'Mão de Obra e Serviços'!$A$4:$A$200,0)),"")))</f>
        <v>Marceneiro / Cenotécnico (SESC)</v>
      </c>
      <c r="D214" s="52" t="s">
        <v>404</v>
      </c>
      <c r="E214" s="55" t="n">
        <v>5.2</v>
      </c>
      <c r="F214" s="56" t="n">
        <v>0.5</v>
      </c>
      <c r="G214" s="57" t="n">
        <f aca="false">IF($A214="","",E214*IF(F214="",1,F214))</f>
        <v>2.6</v>
      </c>
      <c r="H214" s="31" t="n">
        <f aca="false">IF($A214="","",IF(SUMIF($A$6:$A$600,$A214,$G$6:$G$600)=0,0,G214/SUMIF($A$6:$A$600,$A214,$G$6:$G$600)))</f>
        <v>0.00427659714454898</v>
      </c>
      <c r="I214" s="30" t="n">
        <f aca="false">IF($A214="","",IFERROR(INDEX('Cotação de Materiais'!$H$4:$H$200,MATCH($A214,'Cotação de Materiais'!$A$4:$A$200,0)),IFERROR(INDEX('Mão de Obra e Serviços'!$G$4:$G$200,MATCH($A214,'Mão de Obra e Serviços'!$A$4:$A$200,0)),0)))</f>
        <v>43200</v>
      </c>
      <c r="K214" s="30" t="n">
        <f aca="false">IF($A214="","",I214*H214)</f>
        <v>184.748996644516</v>
      </c>
      <c r="L214" s="58" t="s">
        <v>487</v>
      </c>
      <c r="M214" s="54" t="str">
        <f aca="false">IF($A214="","",IF(B214="CÓDIGO?","CÓDIGO NÃO ACHADO",IF($D214="","FALTA ITEM DO ANEXO",IF($D214="INDIRETO","",IF(COUNTIFS('Anexo III'!$B$8:$B$400,$D214,'Anexo III'!$E$8:$E$400,"&gt;0")=0,"ITEM NÃO ACHADO NO ANEXO","")))))</f>
        <v/>
      </c>
    </row>
    <row r="215" customFormat="false" ht="15" hidden="false" customHeight="false" outlineLevel="0" collapsed="false">
      <c r="A215" s="52" t="s">
        <v>331</v>
      </c>
      <c r="B215" s="53" t="str">
        <f aca="false">IF($A215="","",IF(ISNUMBER(MATCH($A215,'Cotação de Materiais'!$A$4:$A$200,0)),"MAT",IF(ISNUMBER(MATCH($A215,'Mão de Obra e Serviços'!$A$4:$A$200,0)),"MO","CÓDIGO?")))</f>
        <v>MO</v>
      </c>
      <c r="C215" s="54" t="str">
        <f aca="false">IF($A215="","",IFERROR(INDEX('Cotação de Materiais'!$C$4:$C$200,MATCH($A215,'Cotação de Materiais'!$A$4:$A$200,0)),IFERROR(INDEX('Mão de Obra e Serviços'!$B$4:$B$200,MATCH($A215,'Mão de Obra e Serviços'!$A$4:$A$200,0)),"")))</f>
        <v>Marceneiro / Cenotécnico (SESC)</v>
      </c>
      <c r="D215" s="52" t="s">
        <v>405</v>
      </c>
      <c r="E215" s="55" t="n">
        <v>35</v>
      </c>
      <c r="F215" s="56" t="n">
        <v>1</v>
      </c>
      <c r="G215" s="57" t="n">
        <f aca="false">IF($A215="","",E215*IF(F215="",1,F215))</f>
        <v>35</v>
      </c>
      <c r="H215" s="31" t="n">
        <f aca="false">IF($A215="","",IF(SUMIF($A$6:$A$600,$A215,$G$6:$G$600)=0,0,G215/SUMIF($A$6:$A$600,$A215,$G$6:$G$600)))</f>
        <v>0.0575695769458517</v>
      </c>
      <c r="I215" s="30" t="n">
        <f aca="false">IF($A215="","",IFERROR(INDEX('Cotação de Materiais'!$H$4:$H$200,MATCH($A215,'Cotação de Materiais'!$A$4:$A$200,0)),IFERROR(INDEX('Mão de Obra e Serviços'!$G$4:$G$200,MATCH($A215,'Mão de Obra e Serviços'!$A$4:$A$200,0)),0)))</f>
        <v>43200</v>
      </c>
      <c r="K215" s="30" t="n">
        <f aca="false">IF($A215="","",I215*H215)</f>
        <v>2487.00572406079</v>
      </c>
      <c r="L215" s="58" t="s">
        <v>487</v>
      </c>
      <c r="M215" s="54" t="str">
        <f aca="false">IF($A215="","",IF(B215="CÓDIGO?","CÓDIGO NÃO ACHADO",IF($D215="","FALTA ITEM DO ANEXO",IF($D215="INDIRETO","",IF(COUNTIFS('Anexo III'!$B$8:$B$400,$D215,'Anexo III'!$E$8:$E$400,"&gt;0")=0,"ITEM NÃO ACHADO NO ANEXO","")))))</f>
        <v/>
      </c>
    </row>
    <row r="216" customFormat="false" ht="15" hidden="false" customHeight="false" outlineLevel="0" collapsed="false">
      <c r="A216" s="52" t="s">
        <v>331</v>
      </c>
      <c r="B216" s="53" t="str">
        <f aca="false">IF($A216="","",IF(ISNUMBER(MATCH($A216,'Cotação de Materiais'!$A$4:$A$200,0)),"MAT",IF(ISNUMBER(MATCH($A216,'Mão de Obra e Serviços'!$A$4:$A$200,0)),"MO","CÓDIGO?")))</f>
        <v>MO</v>
      </c>
      <c r="C216" s="54" t="str">
        <f aca="false">IF($A216="","",IFERROR(INDEX('Cotação de Materiais'!$C$4:$C$200,MATCH($A216,'Cotação de Materiais'!$A$4:$A$200,0)),IFERROR(INDEX('Mão de Obra e Serviços'!$B$4:$B$200,MATCH($A216,'Mão de Obra e Serviços'!$A$4:$A$200,0)),"")))</f>
        <v>Marceneiro / Cenotécnico (SESC)</v>
      </c>
      <c r="D216" s="52" t="s">
        <v>406</v>
      </c>
      <c r="E216" s="55" t="n">
        <v>97</v>
      </c>
      <c r="F216" s="56" t="n">
        <v>1</v>
      </c>
      <c r="G216" s="57" t="n">
        <f aca="false">IF($A216="","",E216*IF(F216="",1,F216))</f>
        <v>97</v>
      </c>
      <c r="H216" s="31" t="n">
        <f aca="false">IF($A216="","",IF(SUMIF($A$6:$A$600,$A216,$G$6:$G$600)=0,0,G216/SUMIF($A$6:$A$600,$A216,$G$6:$G$600)))</f>
        <v>0.159549970392789</v>
      </c>
      <c r="I216" s="30" t="n">
        <f aca="false">IF($A216="","",IFERROR(INDEX('Cotação de Materiais'!$H$4:$H$200,MATCH($A216,'Cotação de Materiais'!$A$4:$A$200,0)),IFERROR(INDEX('Mão de Obra e Serviços'!$G$4:$G$200,MATCH($A216,'Mão de Obra e Serviços'!$A$4:$A$200,0)),0)))</f>
        <v>43200</v>
      </c>
      <c r="K216" s="30" t="n">
        <f aca="false">IF($A216="","",I216*H216)</f>
        <v>6892.55872096848</v>
      </c>
      <c r="L216" s="58" t="s">
        <v>487</v>
      </c>
      <c r="M216" s="54" t="str">
        <f aca="false">IF($A216="","",IF(B216="CÓDIGO?","CÓDIGO NÃO ACHADO",IF($D216="","FALTA ITEM DO ANEXO",IF($D216="INDIRETO","",IF(COUNTIFS('Anexo III'!$B$8:$B$400,$D216,'Anexo III'!$E$8:$E$400,"&gt;0")=0,"ITEM NÃO ACHADO NO ANEXO","")))))</f>
        <v/>
      </c>
    </row>
    <row r="217" customFormat="false" ht="15" hidden="false" customHeight="false" outlineLevel="0" collapsed="false">
      <c r="A217" s="52" t="s">
        <v>331</v>
      </c>
      <c r="B217" s="53" t="str">
        <f aca="false">IF($A217="","",IF(ISNUMBER(MATCH($A217,'Cotação de Materiais'!$A$4:$A$200,0)),"MAT",IF(ISNUMBER(MATCH($A217,'Mão de Obra e Serviços'!$A$4:$A$200,0)),"MO","CÓDIGO?")))</f>
        <v>MO</v>
      </c>
      <c r="C217" s="54" t="str">
        <f aca="false">IF($A217="","",IFERROR(INDEX('Cotação de Materiais'!$C$4:$C$200,MATCH($A217,'Cotação de Materiais'!$A$4:$A$200,0)),IFERROR(INDEX('Mão de Obra e Serviços'!$B$4:$B$200,MATCH($A217,'Mão de Obra e Serviços'!$A$4:$A$200,0)),"")))</f>
        <v>Marceneiro / Cenotécnico (SESC)</v>
      </c>
      <c r="D217" s="52" t="s">
        <v>407</v>
      </c>
      <c r="E217" s="55" t="n">
        <v>38.58</v>
      </c>
      <c r="F217" s="56" t="n">
        <v>1.5</v>
      </c>
      <c r="G217" s="57" t="n">
        <f aca="false">IF($A217="","",E217*IF(F217="",1,F217))</f>
        <v>57.87</v>
      </c>
      <c r="H217" s="31" t="n">
        <f aca="false">IF($A217="","",IF(SUMIF($A$6:$A$600,$A217,$G$6:$G$600)=0,0,G217/SUMIF($A$6:$A$600,$A217,$G$6:$G$600)))</f>
        <v>0.0951871833673268</v>
      </c>
      <c r="I217" s="30" t="n">
        <f aca="false">IF($A217="","",IFERROR(INDEX('Cotação de Materiais'!$H$4:$H$200,MATCH($A217,'Cotação de Materiais'!$A$4:$A$200,0)),IFERROR(INDEX('Mão de Obra e Serviços'!$G$4:$G$200,MATCH($A217,'Mão de Obra e Serviços'!$A$4:$A$200,0)),0)))</f>
        <v>43200</v>
      </c>
      <c r="K217" s="30" t="n">
        <f aca="false">IF($A217="","",I217*H217)</f>
        <v>4112.08632146852</v>
      </c>
      <c r="L217" s="58" t="s">
        <v>487</v>
      </c>
      <c r="M217" s="54" t="str">
        <f aca="false">IF($A217="","",IF(B217="CÓDIGO?","CÓDIGO NÃO ACHADO",IF($D217="","FALTA ITEM DO ANEXO",IF($D217="INDIRETO","",IF(COUNTIFS('Anexo III'!$B$8:$B$400,$D217,'Anexo III'!$E$8:$E$400,"&gt;0")=0,"ITEM NÃO ACHADO NO ANEXO","")))))</f>
        <v/>
      </c>
    </row>
    <row r="218" customFormat="false" ht="15" hidden="false" customHeight="false" outlineLevel="0" collapsed="false">
      <c r="A218" s="52" t="s">
        <v>331</v>
      </c>
      <c r="B218" s="53" t="str">
        <f aca="false">IF($A218="","",IF(ISNUMBER(MATCH($A218,'Cotação de Materiais'!$A$4:$A$200,0)),"MAT",IF(ISNUMBER(MATCH($A218,'Mão de Obra e Serviços'!$A$4:$A$200,0)),"MO","CÓDIGO?")))</f>
        <v>MO</v>
      </c>
      <c r="C218" s="54" t="str">
        <f aca="false">IF($A218="","",IFERROR(INDEX('Cotação de Materiais'!$C$4:$C$200,MATCH($A218,'Cotação de Materiais'!$A$4:$A$200,0)),IFERROR(INDEX('Mão de Obra e Serviços'!$B$4:$B$200,MATCH($A218,'Mão de Obra e Serviços'!$A$4:$A$200,0)),"")))</f>
        <v>Marceneiro / Cenotécnico (SESC)</v>
      </c>
      <c r="D218" s="52" t="s">
        <v>408</v>
      </c>
      <c r="E218" s="55" t="n">
        <v>12.5</v>
      </c>
      <c r="F218" s="56" t="n">
        <v>1.5</v>
      </c>
      <c r="G218" s="57" t="n">
        <f aca="false">IF($A218="","",E218*IF(F218="",1,F218))</f>
        <v>18.75</v>
      </c>
      <c r="H218" s="31" t="n">
        <f aca="false">IF($A218="","",IF(SUMIF($A$6:$A$600,$A218,$G$6:$G$600)=0,0,G218/SUMIF($A$6:$A$600,$A218,$G$6:$G$600)))</f>
        <v>0.0308408447924206</v>
      </c>
      <c r="I218" s="30" t="n">
        <f aca="false">IF($A218="","",IFERROR(INDEX('Cotação de Materiais'!$H$4:$H$200,MATCH($A218,'Cotação de Materiais'!$A$4:$A$200,0)),IFERROR(INDEX('Mão de Obra e Serviços'!$G$4:$G$200,MATCH($A218,'Mão de Obra e Serviços'!$A$4:$A$200,0)),0)))</f>
        <v>43200</v>
      </c>
      <c r="K218" s="30" t="n">
        <f aca="false">IF($A218="","",I218*H218)</f>
        <v>1332.32449503257</v>
      </c>
      <c r="L218" s="58" t="s">
        <v>487</v>
      </c>
      <c r="M218" s="54" t="str">
        <f aca="false">IF($A218="","",IF(B218="CÓDIGO?","CÓDIGO NÃO ACHADO",IF($D218="","FALTA ITEM DO ANEXO",IF($D218="INDIRETO","",IF(COUNTIFS('Anexo III'!$B$8:$B$400,$D218,'Anexo III'!$E$8:$E$400,"&gt;0")=0,"ITEM NÃO ACHADO NO ANEXO","")))))</f>
        <v/>
      </c>
    </row>
    <row r="219" customFormat="false" ht="15" hidden="false" customHeight="false" outlineLevel="0" collapsed="false">
      <c r="A219" s="52" t="s">
        <v>331</v>
      </c>
      <c r="B219" s="53" t="str">
        <f aca="false">IF($A219="","",IF(ISNUMBER(MATCH($A219,'Cotação de Materiais'!$A$4:$A$200,0)),"MAT",IF(ISNUMBER(MATCH($A219,'Mão de Obra e Serviços'!$A$4:$A$200,0)),"MO","CÓDIGO?")))</f>
        <v>MO</v>
      </c>
      <c r="C219" s="54" t="str">
        <f aca="false">IF($A219="","",IFERROR(INDEX('Cotação de Materiais'!$C$4:$C$200,MATCH($A219,'Cotação de Materiais'!$A$4:$A$200,0)),IFERROR(INDEX('Mão de Obra e Serviços'!$B$4:$B$200,MATCH($A219,'Mão de Obra e Serviços'!$A$4:$A$200,0)),"")))</f>
        <v>Marceneiro / Cenotécnico (SESC)</v>
      </c>
      <c r="D219" s="52" t="s">
        <v>409</v>
      </c>
      <c r="E219" s="55" t="n">
        <v>2.11</v>
      </c>
      <c r="F219" s="56" t="n">
        <v>1.5</v>
      </c>
      <c r="G219" s="57" t="n">
        <f aca="false">IF($A219="","",E219*IF(F219="",1,F219))</f>
        <v>3.165</v>
      </c>
      <c r="H219" s="31" t="n">
        <f aca="false">IF($A219="","",IF(SUMIF($A$6:$A$600,$A219,$G$6:$G$600)=0,0,G219/SUMIF($A$6:$A$600,$A219,$G$6:$G$600)))</f>
        <v>0.00520593460096059</v>
      </c>
      <c r="I219" s="30" t="n">
        <f aca="false">IF($A219="","",IFERROR(INDEX('Cotação de Materiais'!$H$4:$H$200,MATCH($A219,'Cotação de Materiais'!$A$4:$A$200,0)),IFERROR(INDEX('Mão de Obra e Serviços'!$G$4:$G$200,MATCH($A219,'Mão de Obra e Serviços'!$A$4:$A$200,0)),0)))</f>
        <v>43200</v>
      </c>
      <c r="K219" s="30" t="n">
        <f aca="false">IF($A219="","",I219*H219)</f>
        <v>224.896374761497</v>
      </c>
      <c r="L219" s="58" t="s">
        <v>487</v>
      </c>
      <c r="M219" s="54" t="str">
        <f aca="false">IF($A219="","",IF(B219="CÓDIGO?","CÓDIGO NÃO ACHADO",IF($D219="","FALTA ITEM DO ANEXO",IF($D219="INDIRETO","",IF(COUNTIFS('Anexo III'!$B$8:$B$400,$D219,'Anexo III'!$E$8:$E$400,"&gt;0")=0,"ITEM NÃO ACHADO NO ANEXO","")))))</f>
        <v/>
      </c>
    </row>
    <row r="220" customFormat="false" ht="15" hidden="false" customHeight="false" outlineLevel="0" collapsed="false">
      <c r="A220" s="52" t="s">
        <v>331</v>
      </c>
      <c r="B220" s="53" t="str">
        <f aca="false">IF($A220="","",IF(ISNUMBER(MATCH($A220,'Cotação de Materiais'!$A$4:$A$200,0)),"MAT",IF(ISNUMBER(MATCH($A220,'Mão de Obra e Serviços'!$A$4:$A$200,0)),"MO","CÓDIGO?")))</f>
        <v>MO</v>
      </c>
      <c r="C220" s="54" t="str">
        <f aca="false">IF($A220="","",IFERROR(INDEX('Cotação de Materiais'!$C$4:$C$200,MATCH($A220,'Cotação de Materiais'!$A$4:$A$200,0)),IFERROR(INDEX('Mão de Obra e Serviços'!$B$4:$B$200,MATCH($A220,'Mão de Obra e Serviços'!$A$4:$A$200,0)),"")))</f>
        <v>Marceneiro / Cenotécnico (SESC)</v>
      </c>
      <c r="D220" s="52" t="s">
        <v>410</v>
      </c>
      <c r="E220" s="55" t="n">
        <v>14.85</v>
      </c>
      <c r="F220" s="56" t="n">
        <v>1.5</v>
      </c>
      <c r="G220" s="57" t="n">
        <f aca="false">IF($A220="","",E220*IF(F220="",1,F220))</f>
        <v>22.275</v>
      </c>
      <c r="H220" s="31" t="n">
        <f aca="false">IF($A220="","",IF(SUMIF($A$6:$A$600,$A220,$G$6:$G$600)=0,0,G220/SUMIF($A$6:$A$600,$A220,$G$6:$G$600)))</f>
        <v>0.0366389236133956</v>
      </c>
      <c r="I220" s="30" t="n">
        <f aca="false">IF($A220="","",IFERROR(INDEX('Cotação de Materiais'!$H$4:$H$200,MATCH($A220,'Cotação de Materiais'!$A$4:$A$200,0)),IFERROR(INDEX('Mão de Obra e Serviços'!$G$4:$G$200,MATCH($A220,'Mão de Obra e Serviços'!$A$4:$A$200,0)),0)))</f>
        <v>43200</v>
      </c>
      <c r="K220" s="30" t="n">
        <f aca="false">IF($A220="","",I220*H220)</f>
        <v>1582.80150009869</v>
      </c>
      <c r="L220" s="58" t="s">
        <v>487</v>
      </c>
      <c r="M220" s="54" t="str">
        <f aca="false">IF($A220="","",IF(B220="CÓDIGO?","CÓDIGO NÃO ACHADO",IF($D220="","FALTA ITEM DO ANEXO",IF($D220="INDIRETO","",IF(COUNTIFS('Anexo III'!$B$8:$B$400,$D220,'Anexo III'!$E$8:$E$400,"&gt;0")=0,"ITEM NÃO ACHADO NO ANEXO","")))))</f>
        <v/>
      </c>
    </row>
    <row r="221" customFormat="false" ht="15" hidden="false" customHeight="false" outlineLevel="0" collapsed="false">
      <c r="A221" s="52" t="s">
        <v>331</v>
      </c>
      <c r="B221" s="53" t="str">
        <f aca="false">IF($A221="","",IF(ISNUMBER(MATCH($A221,'Cotação de Materiais'!$A$4:$A$200,0)),"MAT",IF(ISNUMBER(MATCH($A221,'Mão de Obra e Serviços'!$A$4:$A$200,0)),"MO","CÓDIGO?")))</f>
        <v>MO</v>
      </c>
      <c r="C221" s="54" t="str">
        <f aca="false">IF($A221="","",IFERROR(INDEX('Cotação de Materiais'!$C$4:$C$200,MATCH($A221,'Cotação de Materiais'!$A$4:$A$200,0)),IFERROR(INDEX('Mão de Obra e Serviços'!$B$4:$B$200,MATCH($A221,'Mão de Obra e Serviços'!$A$4:$A$200,0)),"")))</f>
        <v>Marceneiro / Cenotécnico (SESC)</v>
      </c>
      <c r="D221" s="52" t="s">
        <v>411</v>
      </c>
      <c r="E221" s="55" t="n">
        <v>6.86</v>
      </c>
      <c r="F221" s="56" t="n">
        <v>1.5</v>
      </c>
      <c r="G221" s="57" t="n">
        <f aca="false">IF($A221="","",E221*IF(F221="",1,F221))</f>
        <v>10.29</v>
      </c>
      <c r="H221" s="31" t="n">
        <f aca="false">IF($A221="","",IF(SUMIF($A$6:$A$600,$A221,$G$6:$G$600)=0,0,G221/SUMIF($A$6:$A$600,$A221,$G$6:$G$600)))</f>
        <v>0.0169254556220804</v>
      </c>
      <c r="I221" s="30" t="n">
        <f aca="false">IF($A221="","",IFERROR(INDEX('Cotação de Materiais'!$H$4:$H$200,MATCH($A221,'Cotação de Materiais'!$A$4:$A$200,0)),IFERROR(INDEX('Mão de Obra e Serviços'!$G$4:$G$200,MATCH($A221,'Mão de Obra e Serviços'!$A$4:$A$200,0)),0)))</f>
        <v>43200</v>
      </c>
      <c r="K221" s="30" t="n">
        <f aca="false">IF($A221="","",I221*H221)</f>
        <v>731.179682873873</v>
      </c>
      <c r="L221" s="58" t="s">
        <v>487</v>
      </c>
      <c r="M221" s="54" t="str">
        <f aca="false">IF($A221="","",IF(B221="CÓDIGO?","CÓDIGO NÃO ACHADO",IF($D221="","FALTA ITEM DO ANEXO",IF($D221="INDIRETO","",IF(COUNTIFS('Anexo III'!$B$8:$B$400,$D221,'Anexo III'!$E$8:$E$400,"&gt;0")=0,"ITEM NÃO ACHADO NO ANEXO","")))))</f>
        <v/>
      </c>
    </row>
    <row r="222" customFormat="false" ht="15" hidden="false" customHeight="false" outlineLevel="0" collapsed="false">
      <c r="A222" s="52" t="s">
        <v>331</v>
      </c>
      <c r="B222" s="53" t="str">
        <f aca="false">IF($A222="","",IF(ISNUMBER(MATCH($A222,'Cotação de Materiais'!$A$4:$A$200,0)),"MAT",IF(ISNUMBER(MATCH($A222,'Mão de Obra e Serviços'!$A$4:$A$200,0)),"MO","CÓDIGO?")))</f>
        <v>MO</v>
      </c>
      <c r="C222" s="54" t="str">
        <f aca="false">IF($A222="","",IFERROR(INDEX('Cotação de Materiais'!$C$4:$C$200,MATCH($A222,'Cotação de Materiais'!$A$4:$A$200,0)),IFERROR(INDEX('Mão de Obra e Serviços'!$B$4:$B$200,MATCH($A222,'Mão de Obra e Serviços'!$A$4:$A$200,0)),"")))</f>
        <v>Marceneiro / Cenotécnico (SESC)</v>
      </c>
      <c r="D222" s="52" t="s">
        <v>412</v>
      </c>
      <c r="E222" s="55" t="n">
        <v>5.45</v>
      </c>
      <c r="F222" s="56" t="n">
        <v>1.5</v>
      </c>
      <c r="G222" s="57" t="n">
        <f aca="false">IF($A222="","",E222*IF(F222="",1,F222))</f>
        <v>8.175</v>
      </c>
      <c r="H222" s="31" t="n">
        <f aca="false">IF($A222="","",IF(SUMIF($A$6:$A$600,$A222,$G$6:$G$600)=0,0,G222/SUMIF($A$6:$A$600,$A222,$G$6:$G$600)))</f>
        <v>0.0134466083294954</v>
      </c>
      <c r="I222" s="30" t="n">
        <f aca="false">IF($A222="","",IFERROR(INDEX('Cotação de Materiais'!$H$4:$H$200,MATCH($A222,'Cotação de Materiais'!$A$4:$A$200,0)),IFERROR(INDEX('Mão de Obra e Serviços'!$G$4:$G$200,MATCH($A222,'Mão de Obra e Serviços'!$A$4:$A$200,0)),0)))</f>
        <v>43200</v>
      </c>
      <c r="K222" s="30" t="n">
        <f aca="false">IF($A222="","",I222*H222)</f>
        <v>580.8934798342</v>
      </c>
      <c r="L222" s="58" t="s">
        <v>487</v>
      </c>
      <c r="M222" s="54" t="str">
        <f aca="false">IF($A222="","",IF(B222="CÓDIGO?","CÓDIGO NÃO ACHADO",IF($D222="","FALTA ITEM DO ANEXO",IF($D222="INDIRETO","",IF(COUNTIFS('Anexo III'!$B$8:$B$400,$D222,'Anexo III'!$E$8:$E$400,"&gt;0")=0,"ITEM NÃO ACHADO NO ANEXO","")))))</f>
        <v/>
      </c>
    </row>
    <row r="223" customFormat="false" ht="15" hidden="false" customHeight="false" outlineLevel="0" collapsed="false">
      <c r="A223" s="52" t="s">
        <v>331</v>
      </c>
      <c r="B223" s="53" t="str">
        <f aca="false">IF($A223="","",IF(ISNUMBER(MATCH($A223,'Cotação de Materiais'!$A$4:$A$200,0)),"MAT",IF(ISNUMBER(MATCH($A223,'Mão de Obra e Serviços'!$A$4:$A$200,0)),"MO","CÓDIGO?")))</f>
        <v>MO</v>
      </c>
      <c r="C223" s="54" t="str">
        <f aca="false">IF($A223="","",IFERROR(INDEX('Cotação de Materiais'!$C$4:$C$200,MATCH($A223,'Cotação de Materiais'!$A$4:$A$200,0)),IFERROR(INDEX('Mão de Obra e Serviços'!$B$4:$B$200,MATCH($A223,'Mão de Obra e Serviços'!$A$4:$A$200,0)),"")))</f>
        <v>Marceneiro / Cenotécnico (SESC)</v>
      </c>
      <c r="D223" s="52" t="s">
        <v>413</v>
      </c>
      <c r="E223" s="55" t="n">
        <v>2.86</v>
      </c>
      <c r="F223" s="56" t="n">
        <v>1.5</v>
      </c>
      <c r="G223" s="57" t="n">
        <f aca="false">IF($A223="","",E223*IF(F223="",1,F223))</f>
        <v>4.29</v>
      </c>
      <c r="H223" s="31" t="n">
        <f aca="false">IF($A223="","",IF(SUMIF($A$6:$A$600,$A223,$G$6:$G$600)=0,0,G223/SUMIF($A$6:$A$600,$A223,$G$6:$G$600)))</f>
        <v>0.00705638528850582</v>
      </c>
      <c r="I223" s="30" t="n">
        <f aca="false">IF($A223="","",IFERROR(INDEX('Cotação de Materiais'!$H$4:$H$200,MATCH($A223,'Cotação de Materiais'!$A$4:$A$200,0)),IFERROR(INDEX('Mão de Obra e Serviços'!$G$4:$G$200,MATCH($A223,'Mão de Obra e Serviços'!$A$4:$A$200,0)),0)))</f>
        <v>43200</v>
      </c>
      <c r="K223" s="30" t="n">
        <f aca="false">IF($A223="","",I223*H223)</f>
        <v>304.835844463452</v>
      </c>
      <c r="L223" s="58" t="s">
        <v>487</v>
      </c>
      <c r="M223" s="54" t="str">
        <f aca="false">IF($A223="","",IF(B223="CÓDIGO?","CÓDIGO NÃO ACHADO",IF($D223="","FALTA ITEM DO ANEXO",IF($D223="INDIRETO","",IF(COUNTIFS('Anexo III'!$B$8:$B$400,$D223,'Anexo III'!$E$8:$E$400,"&gt;0")=0,"ITEM NÃO ACHADO NO ANEXO","")))))</f>
        <v/>
      </c>
    </row>
    <row r="224" customFormat="false" ht="15" hidden="false" customHeight="false" outlineLevel="0" collapsed="false">
      <c r="A224" s="52" t="s">
        <v>331</v>
      </c>
      <c r="B224" s="53" t="str">
        <f aca="false">IF($A224="","",IF(ISNUMBER(MATCH($A224,'Cotação de Materiais'!$A$4:$A$200,0)),"MAT",IF(ISNUMBER(MATCH($A224,'Mão de Obra e Serviços'!$A$4:$A$200,0)),"MO","CÓDIGO?")))</f>
        <v>MO</v>
      </c>
      <c r="C224" s="54" t="str">
        <f aca="false">IF($A224="","",IFERROR(INDEX('Cotação de Materiais'!$C$4:$C$200,MATCH($A224,'Cotação de Materiais'!$A$4:$A$200,0)),IFERROR(INDEX('Mão de Obra e Serviços'!$B$4:$B$200,MATCH($A224,'Mão de Obra e Serviços'!$A$4:$A$200,0)),"")))</f>
        <v>Marceneiro / Cenotécnico (SESC)</v>
      </c>
      <c r="D224" s="52" t="s">
        <v>414</v>
      </c>
      <c r="E224" s="55" t="n">
        <v>3.98</v>
      </c>
      <c r="F224" s="56" t="n">
        <v>1.5</v>
      </c>
      <c r="G224" s="57" t="n">
        <f aca="false">IF($A224="","",E224*IF(F224="",1,F224))</f>
        <v>5.97</v>
      </c>
      <c r="H224" s="31" t="n">
        <f aca="false">IF($A224="","",IF(SUMIF($A$6:$A$600,$A224,$G$6:$G$600)=0,0,G224/SUMIF($A$6:$A$600,$A224,$G$6:$G$600)))</f>
        <v>0.0098197249819067</v>
      </c>
      <c r="I224" s="30" t="n">
        <f aca="false">IF($A224="","",IFERROR(INDEX('Cotação de Materiais'!$H$4:$H$200,MATCH($A224,'Cotação de Materiais'!$A$4:$A$200,0)),IFERROR(INDEX('Mão de Obra e Serviços'!$G$4:$G$200,MATCH($A224,'Mão de Obra e Serviços'!$A$4:$A$200,0)),0)))</f>
        <v>43200</v>
      </c>
      <c r="K224" s="30" t="n">
        <f aca="false">IF($A224="","",I224*H224)</f>
        <v>424.21211921837</v>
      </c>
      <c r="L224" s="58" t="s">
        <v>487</v>
      </c>
      <c r="M224" s="54" t="str">
        <f aca="false">IF($A224="","",IF(B224="CÓDIGO?","CÓDIGO NÃO ACHADO",IF($D224="","FALTA ITEM DO ANEXO",IF($D224="INDIRETO","",IF(COUNTIFS('Anexo III'!$B$8:$B$400,$D224,'Anexo III'!$E$8:$E$400,"&gt;0")=0,"ITEM NÃO ACHADO NO ANEXO","")))))</f>
        <v/>
      </c>
    </row>
    <row r="225" customFormat="false" ht="15" hidden="false" customHeight="false" outlineLevel="0" collapsed="false">
      <c r="A225" s="52" t="s">
        <v>331</v>
      </c>
      <c r="B225" s="53" t="str">
        <f aca="false">IF($A225="","",IF(ISNUMBER(MATCH($A225,'Cotação de Materiais'!$A$4:$A$200,0)),"MAT",IF(ISNUMBER(MATCH($A225,'Mão de Obra e Serviços'!$A$4:$A$200,0)),"MO","CÓDIGO?")))</f>
        <v>MO</v>
      </c>
      <c r="C225" s="54" t="str">
        <f aca="false">IF($A225="","",IFERROR(INDEX('Cotação de Materiais'!$C$4:$C$200,MATCH($A225,'Cotação de Materiais'!$A$4:$A$200,0)),IFERROR(INDEX('Mão de Obra e Serviços'!$B$4:$B$200,MATCH($A225,'Mão de Obra e Serviços'!$A$4:$A$200,0)),"")))</f>
        <v>Marceneiro / Cenotécnico (SESC)</v>
      </c>
      <c r="D225" s="52" t="s">
        <v>415</v>
      </c>
      <c r="E225" s="55" t="n">
        <v>2.88</v>
      </c>
      <c r="F225" s="56" t="n">
        <v>1.5</v>
      </c>
      <c r="G225" s="57" t="n">
        <f aca="false">IF($A225="","",E225*IF(F225="",1,F225))</f>
        <v>4.32</v>
      </c>
      <c r="H225" s="31" t="n">
        <f aca="false">IF($A225="","",IF(SUMIF($A$6:$A$600,$A225,$G$6:$G$600)=0,0,G225/SUMIF($A$6:$A$600,$A225,$G$6:$G$600)))</f>
        <v>0.0071057306401737</v>
      </c>
      <c r="I225" s="30" t="n">
        <f aca="false">IF($A225="","",IFERROR(INDEX('Cotação de Materiais'!$H$4:$H$200,MATCH($A225,'Cotação de Materiais'!$A$4:$A$200,0)),IFERROR(INDEX('Mão de Obra e Serviços'!$G$4:$G$200,MATCH($A225,'Mão de Obra e Serviços'!$A$4:$A$200,0)),0)))</f>
        <v>43200</v>
      </c>
      <c r="K225" s="30" t="n">
        <f aca="false">IF($A225="","",I225*H225)</f>
        <v>306.967563655504</v>
      </c>
      <c r="L225" s="58" t="s">
        <v>487</v>
      </c>
      <c r="M225" s="54" t="str">
        <f aca="false">IF($A225="","",IF(B225="CÓDIGO?","CÓDIGO NÃO ACHADO",IF($D225="","FALTA ITEM DO ANEXO",IF($D225="INDIRETO","",IF(COUNTIFS('Anexo III'!$B$8:$B$400,$D225,'Anexo III'!$E$8:$E$400,"&gt;0")=0,"ITEM NÃO ACHADO NO ANEXO","")))))</f>
        <v/>
      </c>
    </row>
    <row r="226" customFormat="false" ht="15" hidden="false" customHeight="false" outlineLevel="0" collapsed="false">
      <c r="A226" s="52" t="s">
        <v>331</v>
      </c>
      <c r="B226" s="53" t="str">
        <f aca="false">IF($A226="","",IF(ISNUMBER(MATCH($A226,'Cotação de Materiais'!$A$4:$A$200,0)),"MAT",IF(ISNUMBER(MATCH($A226,'Mão de Obra e Serviços'!$A$4:$A$200,0)),"MO","CÓDIGO?")))</f>
        <v>MO</v>
      </c>
      <c r="C226" s="54" t="str">
        <f aca="false">IF($A226="","",IFERROR(INDEX('Cotação de Materiais'!$C$4:$C$200,MATCH($A226,'Cotação de Materiais'!$A$4:$A$200,0)),IFERROR(INDEX('Mão de Obra e Serviços'!$B$4:$B$200,MATCH($A226,'Mão de Obra e Serviços'!$A$4:$A$200,0)),"")))</f>
        <v>Marceneiro / Cenotécnico (SESC)</v>
      </c>
      <c r="D226" s="52" t="s">
        <v>416</v>
      </c>
      <c r="E226" s="55" t="n">
        <v>17.78</v>
      </c>
      <c r="F226" s="56" t="n">
        <v>1.5</v>
      </c>
      <c r="G226" s="57" t="n">
        <f aca="false">IF($A226="","",E226*IF(F226="",1,F226))</f>
        <v>26.67</v>
      </c>
      <c r="H226" s="31" t="n">
        <f aca="false">IF($A226="","",IF(SUMIF($A$6:$A$600,$A226,$G$6:$G$600)=0,0,G226/SUMIF($A$6:$A$600,$A226,$G$6:$G$600)))</f>
        <v>0.043868017632739</v>
      </c>
      <c r="I226" s="30" t="n">
        <f aca="false">IF($A226="","",IFERROR(INDEX('Cotação de Materiais'!$H$4:$H$200,MATCH($A226,'Cotação de Materiais'!$A$4:$A$200,0)),IFERROR(INDEX('Mão de Obra e Serviços'!$G$4:$G$200,MATCH($A226,'Mão de Obra e Serviços'!$A$4:$A$200,0)),0)))</f>
        <v>43200</v>
      </c>
      <c r="K226" s="30" t="n">
        <f aca="false">IF($A226="","",I226*H226)</f>
        <v>1895.09836173432</v>
      </c>
      <c r="L226" s="58" t="s">
        <v>487</v>
      </c>
      <c r="M226" s="54" t="str">
        <f aca="false">IF($A226="","",IF(B226="CÓDIGO?","CÓDIGO NÃO ACHADO",IF($D226="","FALTA ITEM DO ANEXO",IF($D226="INDIRETO","",IF(COUNTIFS('Anexo III'!$B$8:$B$400,$D226,'Anexo III'!$E$8:$E$400,"&gt;0")=0,"ITEM NÃO ACHADO NO ANEXO","")))))</f>
        <v/>
      </c>
    </row>
    <row r="227" customFormat="false" ht="15" hidden="false" customHeight="false" outlineLevel="0" collapsed="false">
      <c r="A227" s="52" t="s">
        <v>331</v>
      </c>
      <c r="B227" s="53" t="str">
        <f aca="false">IF($A227="","",IF(ISNUMBER(MATCH($A227,'Cotação de Materiais'!$A$4:$A$200,0)),"MAT",IF(ISNUMBER(MATCH($A227,'Mão de Obra e Serviços'!$A$4:$A$200,0)),"MO","CÓDIGO?")))</f>
        <v>MO</v>
      </c>
      <c r="C227" s="54" t="str">
        <f aca="false">IF($A227="","",IFERROR(INDEX('Cotação de Materiais'!$C$4:$C$200,MATCH($A227,'Cotação de Materiais'!$A$4:$A$200,0)),IFERROR(INDEX('Mão de Obra e Serviços'!$B$4:$B$200,MATCH($A227,'Mão de Obra e Serviços'!$A$4:$A$200,0)),"")))</f>
        <v>Marceneiro / Cenotécnico (SESC)</v>
      </c>
      <c r="D227" s="52" t="s">
        <v>417</v>
      </c>
      <c r="E227" s="55" t="n">
        <v>17.23</v>
      </c>
      <c r="F227" s="56" t="n">
        <v>1.5</v>
      </c>
      <c r="G227" s="57" t="n">
        <f aca="false">IF($A227="","",E227*IF(F227="",1,F227))</f>
        <v>25.845</v>
      </c>
      <c r="H227" s="31" t="n">
        <f aca="false">IF($A227="","",IF(SUMIF($A$6:$A$600,$A227,$G$6:$G$600)=0,0,G227/SUMIF($A$6:$A$600,$A227,$G$6:$G$600)))</f>
        <v>0.0425110204618725</v>
      </c>
      <c r="I227" s="30" t="n">
        <f aca="false">IF($A227="","",IFERROR(INDEX('Cotação de Materiais'!$H$4:$H$200,MATCH($A227,'Cotação de Materiais'!$A$4:$A$200,0)),IFERROR(INDEX('Mão de Obra e Serviços'!$G$4:$G$200,MATCH($A227,'Mão de Obra e Serviços'!$A$4:$A$200,0)),0)))</f>
        <v>43200</v>
      </c>
      <c r="K227" s="30" t="n">
        <f aca="false">IF($A227="","",I227*H227)</f>
        <v>1836.47608395289</v>
      </c>
      <c r="L227" s="58" t="s">
        <v>487</v>
      </c>
      <c r="M227" s="54" t="str">
        <f aca="false">IF($A227="","",IF(B227="CÓDIGO?","CÓDIGO NÃO ACHADO",IF($D227="","FALTA ITEM DO ANEXO",IF($D227="INDIRETO","",IF(COUNTIFS('Anexo III'!$B$8:$B$400,$D227,'Anexo III'!$E$8:$E$400,"&gt;0")=0,"ITEM NÃO ACHADO NO ANEXO","")))))</f>
        <v/>
      </c>
    </row>
    <row r="228" customFormat="false" ht="15" hidden="false" customHeight="false" outlineLevel="0" collapsed="false">
      <c r="A228" s="52" t="s">
        <v>331</v>
      </c>
      <c r="B228" s="53" t="str">
        <f aca="false">IF($A228="","",IF(ISNUMBER(MATCH($A228,'Cotação de Materiais'!$A$4:$A$200,0)),"MAT",IF(ISNUMBER(MATCH($A228,'Mão de Obra e Serviços'!$A$4:$A$200,0)),"MO","CÓDIGO?")))</f>
        <v>MO</v>
      </c>
      <c r="C228" s="54" t="str">
        <f aca="false">IF($A228="","",IFERROR(INDEX('Cotação de Materiais'!$C$4:$C$200,MATCH($A228,'Cotação de Materiais'!$A$4:$A$200,0)),IFERROR(INDEX('Mão de Obra e Serviços'!$B$4:$B$200,MATCH($A228,'Mão de Obra e Serviços'!$A$4:$A$200,0)),"")))</f>
        <v>Marceneiro / Cenotécnico (SESC)</v>
      </c>
      <c r="D228" s="52" t="s">
        <v>418</v>
      </c>
      <c r="E228" s="55" t="n">
        <v>32.41</v>
      </c>
      <c r="F228" s="56" t="n">
        <v>1.5</v>
      </c>
      <c r="G228" s="57" t="n">
        <f aca="false">IF($A228="","",E228*IF(F228="",1,F228))</f>
        <v>48.615</v>
      </c>
      <c r="H228" s="31" t="n">
        <f aca="false">IF($A228="","",IF(SUMIF($A$6:$A$600,$A228,$G$6:$G$600)=0,0,G228/SUMIF($A$6:$A$600,$A228,$G$6:$G$600)))</f>
        <v>0.079964142377788</v>
      </c>
      <c r="I228" s="30" t="n">
        <f aca="false">IF($A228="","",IFERROR(INDEX('Cotação de Materiais'!$H$4:$H$200,MATCH($A228,'Cotação de Materiais'!$A$4:$A$200,0)),IFERROR(INDEX('Mão de Obra e Serviços'!$G$4:$G$200,MATCH($A228,'Mão de Obra e Serviços'!$A$4:$A$200,0)),0)))</f>
        <v>43200</v>
      </c>
      <c r="K228" s="30" t="n">
        <f aca="false">IF($A228="","",I228*H228)</f>
        <v>3454.45095072044</v>
      </c>
      <c r="L228" s="58" t="s">
        <v>487</v>
      </c>
      <c r="M228" s="54" t="str">
        <f aca="false">IF($A228="","",IF(B228="CÓDIGO?","CÓDIGO NÃO ACHADO",IF($D228="","FALTA ITEM DO ANEXO",IF($D228="INDIRETO","",IF(COUNTIFS('Anexo III'!$B$8:$B$400,$D228,'Anexo III'!$E$8:$E$400,"&gt;0")=0,"ITEM NÃO ACHADO NO ANEXO","")))))</f>
        <v/>
      </c>
    </row>
    <row r="229" customFormat="false" ht="15" hidden="false" customHeight="false" outlineLevel="0" collapsed="false">
      <c r="A229" s="52" t="s">
        <v>331</v>
      </c>
      <c r="B229" s="53" t="str">
        <f aca="false">IF($A229="","",IF(ISNUMBER(MATCH($A229,'Cotação de Materiais'!$A$4:$A$200,0)),"MAT",IF(ISNUMBER(MATCH($A229,'Mão de Obra e Serviços'!$A$4:$A$200,0)),"MO","CÓDIGO?")))</f>
        <v>MO</v>
      </c>
      <c r="C229" s="54" t="str">
        <f aca="false">IF($A229="","",IFERROR(INDEX('Cotação de Materiais'!$C$4:$C$200,MATCH($A229,'Cotação de Materiais'!$A$4:$A$200,0)),IFERROR(INDEX('Mão de Obra e Serviços'!$B$4:$B$200,MATCH($A229,'Mão de Obra e Serviços'!$A$4:$A$200,0)),"")))</f>
        <v>Marceneiro / Cenotécnico (SESC)</v>
      </c>
      <c r="D229" s="52" t="s">
        <v>419</v>
      </c>
      <c r="E229" s="55" t="n">
        <v>5.86</v>
      </c>
      <c r="F229" s="56" t="n">
        <v>2.5</v>
      </c>
      <c r="G229" s="57" t="n">
        <f aca="false">IF($A229="","",E229*IF(F229="",1,F229))</f>
        <v>14.65</v>
      </c>
      <c r="H229" s="31" t="n">
        <f aca="false">IF($A229="","",IF(SUMIF($A$6:$A$600,$A229,$G$6:$G$600)=0,0,G229/SUMIF($A$6:$A$600,$A229,$G$6:$G$600)))</f>
        <v>0.0240969800644779</v>
      </c>
      <c r="I229" s="30" t="n">
        <f aca="false">IF($A229="","",IFERROR(INDEX('Cotação de Materiais'!$H$4:$H$200,MATCH($A229,'Cotação de Materiais'!$A$4:$A$200,0)),IFERROR(INDEX('Mão de Obra e Serviços'!$G$4:$G$200,MATCH($A229,'Mão de Obra e Serviços'!$A$4:$A$200,0)),0)))</f>
        <v>43200</v>
      </c>
      <c r="K229" s="30" t="n">
        <f aca="false">IF($A229="","",I229*H229)</f>
        <v>1040.98953878545</v>
      </c>
      <c r="L229" s="58" t="s">
        <v>487</v>
      </c>
      <c r="M229" s="54" t="str">
        <f aca="false">IF($A229="","",IF(B229="CÓDIGO?","CÓDIGO NÃO ACHADO",IF($D229="","FALTA ITEM DO ANEXO",IF($D229="INDIRETO","",IF(COUNTIFS('Anexo III'!$B$8:$B$400,$D229,'Anexo III'!$E$8:$E$400,"&gt;0")=0,"ITEM NÃO ACHADO NO ANEXO","")))))</f>
        <v/>
      </c>
    </row>
    <row r="230" customFormat="false" ht="15" hidden="false" customHeight="false" outlineLevel="0" collapsed="false">
      <c r="A230" s="52" t="s">
        <v>331</v>
      </c>
      <c r="B230" s="53" t="str">
        <f aca="false">IF($A230="","",IF(ISNUMBER(MATCH($A230,'Cotação de Materiais'!$A$4:$A$200,0)),"MAT",IF(ISNUMBER(MATCH($A230,'Mão de Obra e Serviços'!$A$4:$A$200,0)),"MO","CÓDIGO?")))</f>
        <v>MO</v>
      </c>
      <c r="C230" s="54" t="str">
        <f aca="false">IF($A230="","",IFERROR(INDEX('Cotação de Materiais'!$C$4:$C$200,MATCH($A230,'Cotação de Materiais'!$A$4:$A$200,0)),IFERROR(INDEX('Mão de Obra e Serviços'!$B$4:$B$200,MATCH($A230,'Mão de Obra e Serviços'!$A$4:$A$200,0)),"")))</f>
        <v>Marceneiro / Cenotécnico (SESC)</v>
      </c>
      <c r="D230" s="52" t="s">
        <v>421</v>
      </c>
      <c r="E230" s="55" t="n">
        <v>2.93</v>
      </c>
      <c r="F230" s="56" t="n">
        <v>2.5</v>
      </c>
      <c r="G230" s="57" t="n">
        <f aca="false">IF($A230="","",E230*IF(F230="",1,F230))</f>
        <v>7.325</v>
      </c>
      <c r="H230" s="31" t="n">
        <f aca="false">IF($A230="","",IF(SUMIF($A$6:$A$600,$A230,$G$6:$G$600)=0,0,G230/SUMIF($A$6:$A$600,$A230,$G$6:$G$600)))</f>
        <v>0.012048490032239</v>
      </c>
      <c r="I230" s="30" t="n">
        <f aca="false">IF($A230="","",IFERROR(INDEX('Cotação de Materiais'!$H$4:$H$200,MATCH($A230,'Cotação de Materiais'!$A$4:$A$200,0)),IFERROR(INDEX('Mão de Obra e Serviços'!$G$4:$G$200,MATCH($A230,'Mão de Obra e Serviços'!$A$4:$A$200,0)),0)))</f>
        <v>43200</v>
      </c>
      <c r="K230" s="30" t="n">
        <f aca="false">IF($A230="","",I230*H230)</f>
        <v>520.494769392723</v>
      </c>
      <c r="L230" s="58" t="s">
        <v>487</v>
      </c>
      <c r="M230" s="54" t="str">
        <f aca="false">IF($A230="","",IF(B230="CÓDIGO?","CÓDIGO NÃO ACHADO",IF($D230="","FALTA ITEM DO ANEXO",IF($D230="INDIRETO","",IF(COUNTIFS('Anexo III'!$B$8:$B$400,$D230,'Anexo III'!$E$8:$E$400,"&gt;0")=0,"ITEM NÃO ACHADO NO ANEXO","")))))</f>
        <v/>
      </c>
    </row>
    <row r="231" customFormat="false" ht="15" hidden="false" customHeight="false" outlineLevel="0" collapsed="false">
      <c r="A231" s="52" t="s">
        <v>331</v>
      </c>
      <c r="B231" s="53" t="str">
        <f aca="false">IF($A231="","",IF(ISNUMBER(MATCH($A231,'Cotação de Materiais'!$A$4:$A$200,0)),"MAT",IF(ISNUMBER(MATCH($A231,'Mão de Obra e Serviços'!$A$4:$A$200,0)),"MO","CÓDIGO?")))</f>
        <v>MO</v>
      </c>
      <c r="C231" s="54" t="str">
        <f aca="false">IF($A231="","",IFERROR(INDEX('Cotação de Materiais'!$C$4:$C$200,MATCH($A231,'Cotação de Materiais'!$A$4:$A$200,0)),IFERROR(INDEX('Mão de Obra e Serviços'!$B$4:$B$200,MATCH($A231,'Mão de Obra e Serviços'!$A$4:$A$200,0)),"")))</f>
        <v>Marceneiro / Cenotécnico (SESC)</v>
      </c>
      <c r="D231" s="52" t="s">
        <v>422</v>
      </c>
      <c r="E231" s="55" t="n">
        <v>2.93</v>
      </c>
      <c r="F231" s="56" t="n">
        <v>2.5</v>
      </c>
      <c r="G231" s="57" t="n">
        <f aca="false">IF($A231="","",E231*IF(F231="",1,F231))</f>
        <v>7.325</v>
      </c>
      <c r="H231" s="31" t="n">
        <f aca="false">IF($A231="","",IF(SUMIF($A$6:$A$600,$A231,$G$6:$G$600)=0,0,G231/SUMIF($A$6:$A$600,$A231,$G$6:$G$600)))</f>
        <v>0.012048490032239</v>
      </c>
      <c r="I231" s="30" t="n">
        <f aca="false">IF($A231="","",IFERROR(INDEX('Cotação de Materiais'!$H$4:$H$200,MATCH($A231,'Cotação de Materiais'!$A$4:$A$200,0)),IFERROR(INDEX('Mão de Obra e Serviços'!$G$4:$G$200,MATCH($A231,'Mão de Obra e Serviços'!$A$4:$A$200,0)),0)))</f>
        <v>43200</v>
      </c>
      <c r="K231" s="30" t="n">
        <f aca="false">IF($A231="","",I231*H231)</f>
        <v>520.494769392723</v>
      </c>
      <c r="L231" s="58" t="s">
        <v>487</v>
      </c>
      <c r="M231" s="54" t="str">
        <f aca="false">IF($A231="","",IF(B231="CÓDIGO?","CÓDIGO NÃO ACHADO",IF($D231="","FALTA ITEM DO ANEXO",IF($D231="INDIRETO","",IF(COUNTIFS('Anexo III'!$B$8:$B$400,$D231,'Anexo III'!$E$8:$E$400,"&gt;0")=0,"ITEM NÃO ACHADO NO ANEXO","")))))</f>
        <v/>
      </c>
    </row>
    <row r="232" customFormat="false" ht="15" hidden="false" customHeight="false" outlineLevel="0" collapsed="false">
      <c r="A232" s="52" t="s">
        <v>331</v>
      </c>
      <c r="B232" s="53" t="str">
        <f aca="false">IF($A232="","",IF(ISNUMBER(MATCH($A232,'Cotação de Materiais'!$A$4:$A$200,0)),"MAT",IF(ISNUMBER(MATCH($A232,'Mão de Obra e Serviços'!$A$4:$A$200,0)),"MO","CÓDIGO?")))</f>
        <v>MO</v>
      </c>
      <c r="C232" s="54" t="str">
        <f aca="false">IF($A232="","",IFERROR(INDEX('Cotação de Materiais'!$C$4:$C$200,MATCH($A232,'Cotação de Materiais'!$A$4:$A$200,0)),IFERROR(INDEX('Mão de Obra e Serviços'!$B$4:$B$200,MATCH($A232,'Mão de Obra e Serviços'!$A$4:$A$200,0)),"")))</f>
        <v>Marceneiro / Cenotécnico (SESC)</v>
      </c>
      <c r="D232" s="52" t="s">
        <v>423</v>
      </c>
      <c r="E232" s="55" t="n">
        <v>2.43</v>
      </c>
      <c r="F232" s="56" t="n">
        <v>2.5</v>
      </c>
      <c r="G232" s="57" t="n">
        <f aca="false">IF($A232="","",E232*IF(F232="",1,F232))</f>
        <v>6.075</v>
      </c>
      <c r="H232" s="31" t="n">
        <f aca="false">IF($A232="","",IF(SUMIF($A$6:$A$600,$A232,$G$6:$G$600)=0,0,G232/SUMIF($A$6:$A$600,$A232,$G$6:$G$600)))</f>
        <v>0.00999243371274426</v>
      </c>
      <c r="I232" s="30" t="n">
        <f aca="false">IF($A232="","",IFERROR(INDEX('Cotação de Materiais'!$H$4:$H$200,MATCH($A232,'Cotação de Materiais'!$A$4:$A$200,0)),IFERROR(INDEX('Mão de Obra e Serviços'!$G$4:$G$200,MATCH($A232,'Mão de Obra e Serviços'!$A$4:$A$200,0)),0)))</f>
        <v>43200</v>
      </c>
      <c r="K232" s="30" t="n">
        <f aca="false">IF($A232="","",I232*H232)</f>
        <v>431.673136390552</v>
      </c>
      <c r="L232" s="58" t="s">
        <v>487</v>
      </c>
      <c r="M232" s="54" t="str">
        <f aca="false">IF($A232="","",IF(B232="CÓDIGO?","CÓDIGO NÃO ACHADO",IF($D232="","FALTA ITEM DO ANEXO",IF($D232="INDIRETO","",IF(COUNTIFS('Anexo III'!$B$8:$B$400,$D232,'Anexo III'!$E$8:$E$400,"&gt;0")=0,"ITEM NÃO ACHADO NO ANEXO","")))))</f>
        <v/>
      </c>
    </row>
    <row r="233" customFormat="false" ht="15" hidden="false" customHeight="false" outlineLevel="0" collapsed="false">
      <c r="A233" s="52" t="s">
        <v>331</v>
      </c>
      <c r="B233" s="53" t="str">
        <f aca="false">IF($A233="","",IF(ISNUMBER(MATCH($A233,'Cotação de Materiais'!$A$4:$A$200,0)),"MAT",IF(ISNUMBER(MATCH($A233,'Mão de Obra e Serviços'!$A$4:$A$200,0)),"MO","CÓDIGO?")))</f>
        <v>MO</v>
      </c>
      <c r="C233" s="54" t="str">
        <f aca="false">IF($A233="","",IFERROR(INDEX('Cotação de Materiais'!$C$4:$C$200,MATCH($A233,'Cotação de Materiais'!$A$4:$A$200,0)),IFERROR(INDEX('Mão de Obra e Serviços'!$B$4:$B$200,MATCH($A233,'Mão de Obra e Serviços'!$A$4:$A$200,0)),"")))</f>
        <v>Marceneiro / Cenotécnico (SESC)</v>
      </c>
      <c r="D233" s="52" t="s">
        <v>424</v>
      </c>
      <c r="E233" s="55" t="n">
        <v>8.79</v>
      </c>
      <c r="F233" s="56" t="n">
        <v>2.5</v>
      </c>
      <c r="G233" s="57" t="n">
        <f aca="false">IF($A233="","",E233*IF(F233="",1,F233))</f>
        <v>21.975</v>
      </c>
      <c r="H233" s="31" t="n">
        <f aca="false">IF($A233="","",IF(SUMIF($A$6:$A$600,$A233,$G$6:$G$600)=0,0,G233/SUMIF($A$6:$A$600,$A233,$G$6:$G$600)))</f>
        <v>0.0361454700967169</v>
      </c>
      <c r="I233" s="30" t="n">
        <f aca="false">IF($A233="","",IFERROR(INDEX('Cotação de Materiais'!$H$4:$H$200,MATCH($A233,'Cotação de Materiais'!$A$4:$A$200,0)),IFERROR(INDEX('Mão de Obra e Serviços'!$G$4:$G$200,MATCH($A233,'Mão de Obra e Serviços'!$A$4:$A$200,0)),0)))</f>
        <v>43200</v>
      </c>
      <c r="K233" s="30" t="n">
        <f aca="false">IF($A233="","",I233*H233)</f>
        <v>1561.48430817817</v>
      </c>
      <c r="L233" s="58" t="s">
        <v>487</v>
      </c>
      <c r="M233" s="54" t="str">
        <f aca="false">IF($A233="","",IF(B233="CÓDIGO?","CÓDIGO NÃO ACHADO",IF($D233="","FALTA ITEM DO ANEXO",IF($D233="INDIRETO","",IF(COUNTIFS('Anexo III'!$B$8:$B$400,$D233,'Anexo III'!$E$8:$E$400,"&gt;0")=0,"ITEM NÃO ACHADO NO ANEXO","")))))</f>
        <v/>
      </c>
    </row>
    <row r="234" customFormat="false" ht="15" hidden="false" customHeight="false" outlineLevel="0" collapsed="false">
      <c r="A234" s="52" t="s">
        <v>331</v>
      </c>
      <c r="B234" s="53" t="str">
        <f aca="false">IF($A234="","",IF(ISNUMBER(MATCH($A234,'Cotação de Materiais'!$A$4:$A$200,0)),"MAT",IF(ISNUMBER(MATCH($A234,'Mão de Obra e Serviços'!$A$4:$A$200,0)),"MO","CÓDIGO?")))</f>
        <v>MO</v>
      </c>
      <c r="C234" s="54" t="str">
        <f aca="false">IF($A234="","",IFERROR(INDEX('Cotação de Materiais'!$C$4:$C$200,MATCH($A234,'Cotação de Materiais'!$A$4:$A$200,0)),IFERROR(INDEX('Mão de Obra e Serviços'!$B$4:$B$200,MATCH($A234,'Mão de Obra e Serviços'!$A$4:$A$200,0)),"")))</f>
        <v>Marceneiro / Cenotécnico (SESC)</v>
      </c>
      <c r="D234" s="52" t="s">
        <v>425</v>
      </c>
      <c r="E234" s="55" t="n">
        <v>0.23</v>
      </c>
      <c r="F234" s="56" t="n">
        <v>2.5</v>
      </c>
      <c r="G234" s="57" t="n">
        <f aca="false">IF($A234="","",E234*IF(F234="",1,F234))</f>
        <v>0.575</v>
      </c>
      <c r="H234" s="31" t="n">
        <f aca="false">IF($A234="","",IF(SUMIF($A$6:$A$600,$A234,$G$6:$G$600)=0,0,G234/SUMIF($A$6:$A$600,$A234,$G$6:$G$600)))</f>
        <v>0.000945785906967564</v>
      </c>
      <c r="I234" s="30" t="n">
        <f aca="false">IF($A234="","",IFERROR(INDEX('Cotação de Materiais'!$H$4:$H$200,MATCH($A234,'Cotação de Materiais'!$A$4:$A$200,0)),IFERROR(INDEX('Mão de Obra e Serviços'!$G$4:$G$200,MATCH($A234,'Mão de Obra e Serviços'!$A$4:$A$200,0)),0)))</f>
        <v>43200</v>
      </c>
      <c r="K234" s="30" t="n">
        <f aca="false">IF($A234="","",I234*H234)</f>
        <v>40.8579511809988</v>
      </c>
      <c r="L234" s="58" t="s">
        <v>487</v>
      </c>
      <c r="M234" s="54" t="str">
        <f aca="false">IF($A234="","",IF(B234="CÓDIGO?","CÓDIGO NÃO ACHADO",IF($D234="","FALTA ITEM DO ANEXO",IF($D234="INDIRETO","",IF(COUNTIFS('Anexo III'!$B$8:$B$400,$D234,'Anexo III'!$E$8:$E$400,"&gt;0")=0,"ITEM NÃO ACHADO NO ANEXO","")))))</f>
        <v/>
      </c>
    </row>
    <row r="235" customFormat="false" ht="15" hidden="false" customHeight="false" outlineLevel="0" collapsed="false">
      <c r="A235" s="52" t="s">
        <v>331</v>
      </c>
      <c r="B235" s="53" t="str">
        <f aca="false">IF($A235="","",IF(ISNUMBER(MATCH($A235,'Cotação de Materiais'!$A$4:$A$200,0)),"MAT",IF(ISNUMBER(MATCH($A235,'Mão de Obra e Serviços'!$A$4:$A$200,0)),"MO","CÓDIGO?")))</f>
        <v>MO</v>
      </c>
      <c r="C235" s="54" t="str">
        <f aca="false">IF($A235="","",IFERROR(INDEX('Cotação de Materiais'!$C$4:$C$200,MATCH($A235,'Cotação de Materiais'!$A$4:$A$200,0)),IFERROR(INDEX('Mão de Obra e Serviços'!$B$4:$B$200,MATCH($A235,'Mão de Obra e Serviços'!$A$4:$A$200,0)),"")))</f>
        <v>Marceneiro / Cenotécnico (SESC)</v>
      </c>
      <c r="D235" s="52" t="s">
        <v>426</v>
      </c>
      <c r="E235" s="55" t="n">
        <v>3.8</v>
      </c>
      <c r="F235" s="56" t="n">
        <v>2.5</v>
      </c>
      <c r="G235" s="57" t="n">
        <f aca="false">IF($A235="","",E235*IF(F235="",1,F235))</f>
        <v>9.5</v>
      </c>
      <c r="H235" s="31" t="n">
        <f aca="false">IF($A235="","",IF(SUMIF($A$6:$A$600,$A235,$G$6:$G$600)=0,0,G235/SUMIF($A$6:$A$600,$A235,$G$6:$G$600)))</f>
        <v>0.0156260280281597</v>
      </c>
      <c r="I235" s="30" t="n">
        <f aca="false">IF($A235="","",IFERROR(INDEX('Cotação de Materiais'!$H$4:$H$200,MATCH($A235,'Cotação de Materiais'!$A$4:$A$200,0)),IFERROR(INDEX('Mão de Obra e Serviços'!$G$4:$G$200,MATCH($A235,'Mão de Obra e Serviços'!$A$4:$A$200,0)),0)))</f>
        <v>43200</v>
      </c>
      <c r="K235" s="30" t="n">
        <f aca="false">IF($A235="","",I235*H235)</f>
        <v>675.044410816501</v>
      </c>
      <c r="L235" s="58" t="s">
        <v>487</v>
      </c>
      <c r="M235" s="54" t="str">
        <f aca="false">IF($A235="","",IF(B235="CÓDIGO?","CÓDIGO NÃO ACHADO",IF($D235="","FALTA ITEM DO ANEXO",IF($D235="INDIRETO","",IF(COUNTIFS('Anexo III'!$B$8:$B$400,$D235,'Anexo III'!$E$8:$E$400,"&gt;0")=0,"ITEM NÃO ACHADO NO ANEXO","")))))</f>
        <v/>
      </c>
    </row>
    <row r="236" customFormat="false" ht="15" hidden="false" customHeight="false" outlineLevel="0" collapsed="false">
      <c r="A236" s="52" t="s">
        <v>331</v>
      </c>
      <c r="B236" s="53" t="str">
        <f aca="false">IF($A236="","",IF(ISNUMBER(MATCH($A236,'Cotação de Materiais'!$A$4:$A$200,0)),"MAT",IF(ISNUMBER(MATCH($A236,'Mão de Obra e Serviços'!$A$4:$A$200,0)),"MO","CÓDIGO?")))</f>
        <v>MO</v>
      </c>
      <c r="C236" s="54" t="str">
        <f aca="false">IF($A236="","",IFERROR(INDEX('Cotação de Materiais'!$C$4:$C$200,MATCH($A236,'Cotação de Materiais'!$A$4:$A$200,0)),IFERROR(INDEX('Mão de Obra e Serviços'!$B$4:$B$200,MATCH($A236,'Mão de Obra e Serviços'!$A$4:$A$200,0)),"")))</f>
        <v>Marceneiro / Cenotécnico (SESC)</v>
      </c>
      <c r="D236" s="52" t="s">
        <v>428</v>
      </c>
      <c r="E236" s="55" t="n">
        <v>3.24</v>
      </c>
      <c r="F236" s="56" t="n">
        <v>1.5</v>
      </c>
      <c r="G236" s="57" t="n">
        <f aca="false">IF($A236="","",E236*IF(F236="",1,F236))</f>
        <v>4.86</v>
      </c>
      <c r="H236" s="31" t="n">
        <f aca="false">IF($A236="","",IF(SUMIF($A$6:$A$600,$A236,$G$6:$G$600)=0,0,G236/SUMIF($A$6:$A$600,$A236,$G$6:$G$600)))</f>
        <v>0.00799394697019541</v>
      </c>
      <c r="I236" s="30" t="n">
        <f aca="false">IF($A236="","",IFERROR(INDEX('Cotação de Materiais'!$H$4:$H$200,MATCH($A236,'Cotação de Materiais'!$A$4:$A$200,0)),IFERROR(INDEX('Mão de Obra e Serviços'!$G$4:$G$200,MATCH($A236,'Mão de Obra e Serviços'!$A$4:$A$200,0)),0)))</f>
        <v>43200</v>
      </c>
      <c r="K236" s="30" t="n">
        <f aca="false">IF($A236="","",I236*H236)</f>
        <v>345.338509112442</v>
      </c>
      <c r="L236" s="58" t="s">
        <v>487</v>
      </c>
      <c r="M236" s="54" t="str">
        <f aca="false">IF($A236="","",IF(B236="CÓDIGO?","CÓDIGO NÃO ACHADO",IF($D236="","FALTA ITEM DO ANEXO",IF($D236="INDIRETO","",IF(COUNTIFS('Anexo III'!$B$8:$B$400,$D236,'Anexo III'!$E$8:$E$400,"&gt;0")=0,"ITEM NÃO ACHADO NO ANEXO","")))))</f>
        <v/>
      </c>
    </row>
    <row r="237" customFormat="false" ht="15" hidden="false" customHeight="false" outlineLevel="0" collapsed="false">
      <c r="A237" s="52" t="s">
        <v>331</v>
      </c>
      <c r="B237" s="53" t="str">
        <f aca="false">IF($A237="","",IF(ISNUMBER(MATCH($A237,'Cotação de Materiais'!$A$4:$A$200,0)),"MAT",IF(ISNUMBER(MATCH($A237,'Mão de Obra e Serviços'!$A$4:$A$200,0)),"MO","CÓDIGO?")))</f>
        <v>MO</v>
      </c>
      <c r="C237" s="54" t="str">
        <f aca="false">IF($A237="","",IFERROR(INDEX('Cotação de Materiais'!$C$4:$C$200,MATCH($A237,'Cotação de Materiais'!$A$4:$A$200,0)),IFERROR(INDEX('Mão de Obra e Serviços'!$B$4:$B$200,MATCH($A237,'Mão de Obra e Serviços'!$A$4:$A$200,0)),"")))</f>
        <v>Marceneiro / Cenotécnico (SESC)</v>
      </c>
      <c r="D237" s="52" t="s">
        <v>429</v>
      </c>
      <c r="E237" s="55" t="n">
        <v>30.76</v>
      </c>
      <c r="F237" s="56" t="n">
        <v>1.5</v>
      </c>
      <c r="G237" s="57" t="n">
        <f aca="false">IF($A237="","",E237*IF(F237="",1,F237))</f>
        <v>46.14</v>
      </c>
      <c r="H237" s="31" t="n">
        <f aca="false">IF($A237="","",IF(SUMIF($A$6:$A$600,$A237,$G$6:$G$600)=0,0,G237/SUMIF($A$6:$A$600,$A237,$G$6:$G$600)))</f>
        <v>0.0758931508651885</v>
      </c>
      <c r="I237" s="30" t="n">
        <f aca="false">IF($A237="","",IFERROR(INDEX('Cotação de Materiais'!$H$4:$H$200,MATCH($A237,'Cotação de Materiais'!$A$4:$A$200,0)),IFERROR(INDEX('Mão de Obra e Serviços'!$G$4:$G$200,MATCH($A237,'Mão de Obra e Serviços'!$A$4:$A$200,0)),0)))</f>
        <v>43200</v>
      </c>
      <c r="K237" s="30" t="n">
        <f aca="false">IF($A237="","",I237*H237)</f>
        <v>3278.58411737614</v>
      </c>
      <c r="L237" s="58" t="s">
        <v>487</v>
      </c>
      <c r="M237" s="54" t="str">
        <f aca="false">IF($A237="","",IF(B237="CÓDIGO?","CÓDIGO NÃO ACHADO",IF($D237="","FALTA ITEM DO ANEXO",IF($D237="INDIRETO","",IF(COUNTIFS('Anexo III'!$B$8:$B$400,$D237,'Anexo III'!$E$8:$E$400,"&gt;0")=0,"ITEM NÃO ACHADO NO ANEXO","")))))</f>
        <v/>
      </c>
    </row>
    <row r="238" customFormat="false" ht="15" hidden="false" customHeight="false" outlineLevel="0" collapsed="false">
      <c r="A238" s="52" t="s">
        <v>331</v>
      </c>
      <c r="B238" s="53" t="str">
        <f aca="false">IF($A238="","",IF(ISNUMBER(MATCH($A238,'Cotação de Materiais'!$A$4:$A$200,0)),"MAT",IF(ISNUMBER(MATCH($A238,'Mão de Obra e Serviços'!$A$4:$A$200,0)),"MO","CÓDIGO?")))</f>
        <v>MO</v>
      </c>
      <c r="C238" s="54" t="str">
        <f aca="false">IF($A238="","",IFERROR(INDEX('Cotação de Materiais'!$C$4:$C$200,MATCH($A238,'Cotação de Materiais'!$A$4:$A$200,0)),IFERROR(INDEX('Mão de Obra e Serviços'!$B$4:$B$200,MATCH($A238,'Mão de Obra e Serviços'!$A$4:$A$200,0)),"")))</f>
        <v>Marceneiro / Cenotécnico (SESC)</v>
      </c>
      <c r="D238" s="52" t="s">
        <v>435</v>
      </c>
      <c r="E238" s="55" t="n">
        <v>2.94</v>
      </c>
      <c r="F238" s="56" t="n">
        <v>2.5</v>
      </c>
      <c r="G238" s="57" t="n">
        <f aca="false">IF($A238="","",E238*IF(F238="",1,F238))</f>
        <v>7.35</v>
      </c>
      <c r="H238" s="31" t="n">
        <f aca="false">IF($A238="","",IF(SUMIF($A$6:$A$600,$A238,$G$6:$G$600)=0,0,G238/SUMIF($A$6:$A$600,$A238,$G$6:$G$600)))</f>
        <v>0.0120896111586289</v>
      </c>
      <c r="I238" s="30" t="n">
        <f aca="false">IF($A238="","",IFERROR(INDEX('Cotação de Materiais'!$H$4:$H$200,MATCH($A238,'Cotação de Materiais'!$A$4:$A$200,0)),IFERROR(INDEX('Mão de Obra e Serviços'!$G$4:$G$200,MATCH($A238,'Mão de Obra e Serviços'!$A$4:$A$200,0)),0)))</f>
        <v>43200</v>
      </c>
      <c r="K238" s="30" t="n">
        <f aca="false">IF($A238="","",I238*H238)</f>
        <v>522.271202052767</v>
      </c>
      <c r="L238" s="58" t="s">
        <v>487</v>
      </c>
      <c r="M238" s="54" t="str">
        <f aca="false">IF($A238="","",IF(B238="CÓDIGO?","CÓDIGO NÃO ACHADO",IF($D238="","FALTA ITEM DO ANEXO",IF($D238="INDIRETO","",IF(COUNTIFS('Anexo III'!$B$8:$B$400,$D238,'Anexo III'!$E$8:$E$400,"&gt;0")=0,"ITEM NÃO ACHADO NO ANEXO","")))))</f>
        <v/>
      </c>
    </row>
    <row r="239" customFormat="false" ht="15" hidden="false" customHeight="false" outlineLevel="0" collapsed="false">
      <c r="A239" s="52" t="s">
        <v>334</v>
      </c>
      <c r="B239" s="53" t="str">
        <f aca="false">IF($A239="","",IF(ISNUMBER(MATCH($A239,'Cotação de Materiais'!$A$4:$A$200,0)),"MAT",IF(ISNUMBER(MATCH($A239,'Mão de Obra e Serviços'!$A$4:$A$200,0)),"MO","CÓDIGO?")))</f>
        <v>MO</v>
      </c>
      <c r="C239" s="54" t="str">
        <f aca="false">IF($A239="","",IFERROR(INDEX('Cotação de Materiais'!$C$4:$C$200,MATCH($A239,'Cotação de Materiais'!$A$4:$A$200,0)),IFERROR(INDEX('Mão de Obra e Serviços'!$B$4:$B$200,MATCH($A239,'Mão de Obra e Serviços'!$A$4:$A$200,0)),"")))</f>
        <v>Ajudante, carga e descarga</v>
      </c>
      <c r="D239" s="52" t="s">
        <v>477</v>
      </c>
      <c r="E239" s="55" t="n">
        <v>8</v>
      </c>
      <c r="F239" s="56" t="n">
        <v>1</v>
      </c>
      <c r="G239" s="57" t="n">
        <f aca="false">IF($A239="","",E239*IF(F239="",1,F239))</f>
        <v>8</v>
      </c>
      <c r="H239" s="31" t="n">
        <f aca="false">IF($A239="","",IF(SUMIF($A$6:$A$600,$A239,$G$6:$G$600)=0,0,G239/SUMIF($A$6:$A$600,$A239,$G$6:$G$600)))</f>
        <v>0.666666666666667</v>
      </c>
      <c r="I239" s="30" t="n">
        <f aca="false">IF($A239="","",IFERROR(INDEX('Cotação de Materiais'!$H$4:$H$200,MATCH($A239,'Cotação de Materiais'!$A$4:$A$200,0)),IFERROR(INDEX('Mão de Obra e Serviços'!$G$4:$G$200,MATCH($A239,'Mão de Obra e Serviços'!$A$4:$A$200,0)),0)))</f>
        <v>1300</v>
      </c>
      <c r="K239" s="30" t="n">
        <f aca="false">IF($A239="","",I239*H239)</f>
        <v>866.666666666667</v>
      </c>
      <c r="L239" s="58" t="s">
        <v>488</v>
      </c>
      <c r="M239" s="54" t="str">
        <f aca="false">IF($A239="","",IF(B239="CÓDIGO?","CÓDIGO NÃO ACHADO",IF($D239="","FALTA ITEM DO ANEXO",IF($D239="INDIRETO","",IF(COUNTIFS('Anexo III'!$B$8:$B$400,$D239,'Anexo III'!$E$8:$E$400,"&gt;0")=0,"ITEM NÃO ACHADO NO ANEXO","")))))</f>
        <v/>
      </c>
    </row>
    <row r="240" customFormat="false" ht="15" hidden="false" customHeight="false" outlineLevel="0" collapsed="false">
      <c r="A240" s="52" t="s">
        <v>334</v>
      </c>
      <c r="B240" s="53" t="str">
        <f aca="false">IF($A240="","",IF(ISNUMBER(MATCH($A240,'Cotação de Materiais'!$A$4:$A$200,0)),"MAT",IF(ISNUMBER(MATCH($A240,'Mão de Obra e Serviços'!$A$4:$A$200,0)),"MO","CÓDIGO?")))</f>
        <v>MO</v>
      </c>
      <c r="C240" s="54" t="str">
        <f aca="false">IF($A240="","",IFERROR(INDEX('Cotação de Materiais'!$C$4:$C$200,MATCH($A240,'Cotação de Materiais'!$A$4:$A$200,0)),IFERROR(INDEX('Mão de Obra e Serviços'!$B$4:$B$200,MATCH($A240,'Mão de Obra e Serviços'!$A$4:$A$200,0)),"")))</f>
        <v>Ajudante, carga e descarga</v>
      </c>
      <c r="D240" s="52" t="s">
        <v>75</v>
      </c>
      <c r="E240" s="55" t="n">
        <v>4</v>
      </c>
      <c r="F240" s="56" t="n">
        <v>1</v>
      </c>
      <c r="G240" s="57" t="n">
        <f aca="false">IF($A240="","",E240*IF(F240="",1,F240))</f>
        <v>4</v>
      </c>
      <c r="H240" s="31" t="n">
        <f aca="false">IF($A240="","",IF(SUMIF($A$6:$A$600,$A240,$G$6:$G$600)=0,0,G240/SUMIF($A$6:$A$600,$A240,$G$6:$G$600)))</f>
        <v>0.333333333333333</v>
      </c>
      <c r="I240" s="30" t="n">
        <f aca="false">IF($A240="","",IFERROR(INDEX('Cotação de Materiais'!$H$4:$H$200,MATCH($A240,'Cotação de Materiais'!$A$4:$A$200,0)),IFERROR(INDEX('Mão de Obra e Serviços'!$G$4:$G$200,MATCH($A240,'Mão de Obra e Serviços'!$A$4:$A$200,0)),0)))</f>
        <v>1300</v>
      </c>
      <c r="K240" s="30" t="n">
        <f aca="false">IF($A240="","",I240*H240)</f>
        <v>433.333333333333</v>
      </c>
      <c r="L240" s="58" t="s">
        <v>488</v>
      </c>
      <c r="M240" s="54" t="str">
        <f aca="false">IF($A240="","",IF(B240="CÓDIGO?","CÓDIGO NÃO ACHADO",IF($D240="","FALTA ITEM DO ANEXO",IF($D240="INDIRETO","",IF(COUNTIFS('Anexo III'!$B$8:$B$400,$D240,'Anexo III'!$E$8:$E$400,"&gt;0")=0,"ITEM NÃO ACHADO NO ANEXO","")))))</f>
        <v/>
      </c>
    </row>
    <row r="241" customFormat="false" ht="15" hidden="false" customHeight="false" outlineLevel="0" collapsed="false">
      <c r="A241" s="52" t="s">
        <v>337</v>
      </c>
      <c r="B241" s="53" t="str">
        <f aca="false">IF($A241="","",IF(ISNUMBER(MATCH($A241,'Cotação de Materiais'!$A$4:$A$200,0)),"MAT",IF(ISNUMBER(MATCH($A241,'Mão de Obra e Serviços'!$A$4:$A$200,0)),"MO","CÓDIGO?")))</f>
        <v>MO</v>
      </c>
      <c r="C241" s="54" t="str">
        <f aca="false">IF($A241="","",IFERROR(INDEX('Cotação de Materiais'!$C$4:$C$200,MATCH($A241,'Cotação de Materiais'!$A$4:$A$200,0)),IFERROR(INDEX('Mão de Obra e Serviços'!$B$4:$B$200,MATCH($A241,'Mão de Obra e Serviços'!$A$4:$A$200,0)),"")))</f>
        <v>Equipe de Limpeza</v>
      </c>
      <c r="D241" s="52" t="s">
        <v>489</v>
      </c>
      <c r="E241" s="55" t="n">
        <v>1</v>
      </c>
      <c r="F241" s="56" t="n">
        <v>1</v>
      </c>
      <c r="G241" s="57" t="n">
        <f aca="false">IF($A241="","",E241*IF(F241="",1,F241))</f>
        <v>1</v>
      </c>
      <c r="H241" s="31" t="n">
        <f aca="false">IF($A241="","",IF(SUMIF($A$6:$A$600,$A241,$G$6:$G$600)=0,0,G241/SUMIF($A$6:$A$600,$A241,$G$6:$G$600)))</f>
        <v>1</v>
      </c>
      <c r="I241" s="30" t="n">
        <f aca="false">IF($A241="","",IFERROR(INDEX('Cotação de Materiais'!$H$4:$H$200,MATCH($A241,'Cotação de Materiais'!$A$4:$A$200,0)),IFERROR(INDEX('Mão de Obra e Serviços'!$G$4:$G$200,MATCH($A241,'Mão de Obra e Serviços'!$A$4:$A$200,0)),0)))</f>
        <v>900</v>
      </c>
      <c r="K241" s="30" t="n">
        <f aca="false">IF($A241="","",I241*H241)</f>
        <v>900</v>
      </c>
      <c r="L241" s="58" t="s">
        <v>490</v>
      </c>
      <c r="M241" s="54" t="str">
        <f aca="false">IF($A241="","",IF(B241="CÓDIGO?","CÓDIGO NÃO ACHADO",IF($D241="","FALTA ITEM DO ANEXO",IF($D241="INDIRETO","",IF(COUNTIFS('Anexo III'!$B$8:$B$400,$D241,'Anexo III'!$E$8:$E$400,"&gt;0")=0,"ITEM NÃO ACHADO NO ANEXO","")))))</f>
        <v/>
      </c>
    </row>
    <row r="242" customFormat="false" ht="15" hidden="false" customHeight="false" outlineLevel="0" collapsed="false">
      <c r="A242" s="52" t="s">
        <v>340</v>
      </c>
      <c r="B242" s="53" t="str">
        <f aca="false">IF($A242="","",IF(ISNUMBER(MATCH($A242,'Cotação de Materiais'!$A$4:$A$200,0)),"MAT",IF(ISNUMBER(MATCH($A242,'Mão de Obra e Serviços'!$A$4:$A$200,0)),"MO","CÓDIGO?")))</f>
        <v>MO</v>
      </c>
      <c r="C242" s="54" t="str">
        <f aca="false">IF($A242="","",IFERROR(INDEX('Cotação de Materiais'!$C$4:$C$200,MATCH($A242,'Cotação de Materiais'!$A$4:$A$200,0)),IFERROR(INDEX('Mão de Obra e Serviços'!$B$4:$B$200,MATCH($A242,'Mão de Obra e Serviços'!$A$4:$A$200,0)),"")))</f>
        <v>Serralheiro — EMPREITA</v>
      </c>
      <c r="D242" s="52" t="s">
        <v>435</v>
      </c>
      <c r="E242" s="55" t="n">
        <v>900</v>
      </c>
      <c r="F242" s="56" t="n">
        <v>1</v>
      </c>
      <c r="G242" s="57" t="n">
        <f aca="false">IF($A242="","",E242*IF(F242="",1,F242))</f>
        <v>900</v>
      </c>
      <c r="H242" s="31" t="n">
        <f aca="false">IF($A242="","",IF(SUMIF($A$6:$A$600,$A242,$G$6:$G$600)=0,0,G242/SUMIF($A$6:$A$600,$A242,$G$6:$G$600)))</f>
        <v>0.140268848626534</v>
      </c>
      <c r="I242" s="30" t="n">
        <f aca="false">IF($A242="","",IFERROR(INDEX('Cotação de Materiais'!$H$4:$H$200,MATCH($A242,'Cotação de Materiais'!$A$4:$A$200,0)),IFERROR(INDEX('Mão de Obra e Serviços'!$G$4:$G$200,MATCH($A242,'Mão de Obra e Serviços'!$A$4:$A$200,0)),0)))</f>
        <v>5000</v>
      </c>
      <c r="K242" s="30" t="n">
        <f aca="false">IF($A242="","",I242*H242)</f>
        <v>701.344243132671</v>
      </c>
      <c r="L242" s="58" t="s">
        <v>491</v>
      </c>
      <c r="M242" s="54" t="str">
        <f aca="false">IF($A242="","",IF(B242="CÓDIGO?","CÓDIGO NÃO ACHADO",IF($D242="","FALTA ITEM DO ANEXO",IF($D242="INDIRETO","",IF(COUNTIFS('Anexo III'!$B$8:$B$400,$D242,'Anexo III'!$E$8:$E$400,"&gt;0")=0,"ITEM NÃO ACHADO NO ANEXO","")))))</f>
        <v/>
      </c>
    </row>
    <row r="243" customFormat="false" ht="15" hidden="false" customHeight="false" outlineLevel="0" collapsed="false">
      <c r="A243" s="52" t="s">
        <v>340</v>
      </c>
      <c r="B243" s="53" t="str">
        <f aca="false">IF($A243="","",IF(ISNUMBER(MATCH($A243,'Cotação de Materiais'!$A$4:$A$200,0)),"MAT",IF(ISNUMBER(MATCH($A243,'Mão de Obra e Serviços'!$A$4:$A$200,0)),"MO","CÓDIGO?")))</f>
        <v>MO</v>
      </c>
      <c r="C243" s="54" t="str">
        <f aca="false">IF($A243="","",IFERROR(INDEX('Cotação de Materiais'!$C$4:$C$200,MATCH($A243,'Cotação de Materiais'!$A$4:$A$200,0)),IFERROR(INDEX('Mão de Obra e Serviços'!$B$4:$B$200,MATCH($A243,'Mão de Obra e Serviços'!$A$4:$A$200,0)),"")))</f>
        <v>Serralheiro — EMPREITA</v>
      </c>
      <c r="D243" s="52" t="s">
        <v>433</v>
      </c>
      <c r="E243" s="55" t="n">
        <v>1666.25</v>
      </c>
      <c r="F243" s="56" t="n">
        <v>1</v>
      </c>
      <c r="G243" s="57" t="n">
        <f aca="false">IF($A243="","",E243*IF(F243="",1,F243))</f>
        <v>1666.25</v>
      </c>
      <c r="H243" s="31" t="n">
        <f aca="false">IF($A243="","",IF(SUMIF($A$6:$A$600,$A243,$G$6:$G$600)=0,0,G243/SUMIF($A$6:$A$600,$A243,$G$6:$G$600)))</f>
        <v>0.259692187804403</v>
      </c>
      <c r="I243" s="30" t="n">
        <f aca="false">IF($A243="","",IFERROR(INDEX('Cotação de Materiais'!$H$4:$H$200,MATCH($A243,'Cotação de Materiais'!$A$4:$A$200,0)),IFERROR(INDEX('Mão de Obra e Serviços'!$G$4:$G$200,MATCH($A243,'Mão de Obra e Serviços'!$A$4:$A$200,0)),0)))</f>
        <v>5000</v>
      </c>
      <c r="K243" s="30" t="n">
        <f aca="false">IF($A243="","",I243*H243)</f>
        <v>1298.46093902201</v>
      </c>
      <c r="L243" s="58" t="s">
        <v>491</v>
      </c>
      <c r="M243" s="54" t="str">
        <f aca="false">IF($A243="","",IF(B243="CÓDIGO?","CÓDIGO NÃO ACHADO",IF($D243="","FALTA ITEM DO ANEXO",IF($D243="INDIRETO","",IF(COUNTIFS('Anexo III'!$B$8:$B$400,$D243,'Anexo III'!$E$8:$E$400,"&gt;0")=0,"ITEM NÃO ACHADO NO ANEXO","")))))</f>
        <v/>
      </c>
    </row>
    <row r="244" customFormat="false" ht="15" hidden="false" customHeight="false" outlineLevel="0" collapsed="false">
      <c r="A244" s="52" t="s">
        <v>340</v>
      </c>
      <c r="B244" s="53" t="str">
        <f aca="false">IF($A244="","",IF(ISNUMBER(MATCH($A244,'Cotação de Materiais'!$A$4:$A$200,0)),"MAT",IF(ISNUMBER(MATCH($A244,'Mão de Obra e Serviços'!$A$4:$A$200,0)),"MO","CÓDIGO?")))</f>
        <v>MO</v>
      </c>
      <c r="C244" s="54" t="str">
        <f aca="false">IF($A244="","",IFERROR(INDEX('Cotação de Materiais'!$C$4:$C$200,MATCH($A244,'Cotação de Materiais'!$A$4:$A$200,0)),IFERROR(INDEX('Mão de Obra e Serviços'!$B$4:$B$200,MATCH($A244,'Mão de Obra e Serviços'!$A$4:$A$200,0)),"")))</f>
        <v>Serralheiro — EMPREITA</v>
      </c>
      <c r="D244" s="52" t="s">
        <v>437</v>
      </c>
      <c r="E244" s="55" t="n">
        <v>560</v>
      </c>
      <c r="F244" s="56" t="n">
        <v>1</v>
      </c>
      <c r="G244" s="57" t="n">
        <f aca="false">IF($A244="","",E244*IF(F244="",1,F244))</f>
        <v>560</v>
      </c>
      <c r="H244" s="31" t="n">
        <f aca="false">IF($A244="","",IF(SUMIF($A$6:$A$600,$A244,$G$6:$G$600)=0,0,G244/SUMIF($A$6:$A$600,$A244,$G$6:$G$600)))</f>
        <v>0.0872783947009546</v>
      </c>
      <c r="I244" s="30" t="n">
        <f aca="false">IF($A244="","",IFERROR(INDEX('Cotação de Materiais'!$H$4:$H$200,MATCH($A244,'Cotação de Materiais'!$A$4:$A$200,0)),IFERROR(INDEX('Mão de Obra e Serviços'!$G$4:$G$200,MATCH($A244,'Mão de Obra e Serviços'!$A$4:$A$200,0)),0)))</f>
        <v>5000</v>
      </c>
      <c r="K244" s="30" t="n">
        <f aca="false">IF($A244="","",I244*H244)</f>
        <v>436.391973504773</v>
      </c>
      <c r="L244" s="58" t="s">
        <v>491</v>
      </c>
      <c r="M244" s="54" t="str">
        <f aca="false">IF($A244="","",IF(B244="CÓDIGO?","CÓDIGO NÃO ACHADO",IF($D244="","FALTA ITEM DO ANEXO",IF($D244="INDIRETO","",IF(COUNTIFS('Anexo III'!$B$8:$B$400,$D244,'Anexo III'!$E$8:$E$400,"&gt;0")=0,"ITEM NÃO ACHADO NO ANEXO","")))))</f>
        <v/>
      </c>
    </row>
    <row r="245" customFormat="false" ht="15" hidden="false" customHeight="false" outlineLevel="0" collapsed="false">
      <c r="A245" s="52" t="s">
        <v>340</v>
      </c>
      <c r="B245" s="53" t="str">
        <f aca="false">IF($A245="","",IF(ISNUMBER(MATCH($A245,'Cotação de Materiais'!$A$4:$A$200,0)),"MAT",IF(ISNUMBER(MATCH($A245,'Mão de Obra e Serviços'!$A$4:$A$200,0)),"MO","CÓDIGO?")))</f>
        <v>MO</v>
      </c>
      <c r="C245" s="54" t="str">
        <f aca="false">IF($A245="","",IFERROR(INDEX('Cotação de Materiais'!$C$4:$C$200,MATCH($A245,'Cotação de Materiais'!$A$4:$A$200,0)),IFERROR(INDEX('Mão de Obra e Serviços'!$B$4:$B$200,MATCH($A245,'Mão de Obra e Serviços'!$A$4:$A$200,0)),"")))</f>
        <v>Serralheiro — EMPREITA</v>
      </c>
      <c r="D245" s="52" t="s">
        <v>431</v>
      </c>
      <c r="E245" s="55" t="n">
        <v>3290</v>
      </c>
      <c r="F245" s="56" t="n">
        <v>1</v>
      </c>
      <c r="G245" s="57" t="n">
        <f aca="false">IF($A245="","",E245*IF(F245="",1,F245))</f>
        <v>3290</v>
      </c>
      <c r="H245" s="31" t="n">
        <f aca="false">IF($A245="","",IF(SUMIF($A$6:$A$600,$A245,$G$6:$G$600)=0,0,G245/SUMIF($A$6:$A$600,$A245,$G$6:$G$600)))</f>
        <v>0.512760568868108</v>
      </c>
      <c r="I245" s="30" t="n">
        <f aca="false">IF($A245="","",IFERROR(INDEX('Cotação de Materiais'!$H$4:$H$200,MATCH($A245,'Cotação de Materiais'!$A$4:$A$200,0)),IFERROR(INDEX('Mão de Obra e Serviços'!$G$4:$G$200,MATCH($A245,'Mão de Obra e Serviços'!$A$4:$A$200,0)),0)))</f>
        <v>5000</v>
      </c>
      <c r="K245" s="30" t="n">
        <f aca="false">IF($A245="","",I245*H245)</f>
        <v>2563.80284434054</v>
      </c>
      <c r="L245" s="58" t="s">
        <v>491</v>
      </c>
      <c r="M245" s="54" t="str">
        <f aca="false">IF($A245="","",IF(B245="CÓDIGO?","CÓDIGO NÃO ACHADO",IF($D245="","FALTA ITEM DO ANEXO",IF($D245="INDIRETO","",IF(COUNTIFS('Anexo III'!$B$8:$B$400,$D245,'Anexo III'!$E$8:$E$400,"&gt;0")=0,"ITEM NÃO ACHADO NO ANEXO","")))))</f>
        <v/>
      </c>
    </row>
    <row r="246" customFormat="false" ht="15" hidden="false" customHeight="false" outlineLevel="0" collapsed="false">
      <c r="A246" s="52" t="s">
        <v>343</v>
      </c>
      <c r="B246" s="53" t="str">
        <f aca="false">IF($A246="","",IF(ISNUMBER(MATCH($A246,'Cotação de Materiais'!$A$4:$A$200,0)),"MAT",IF(ISNUMBER(MATCH($A246,'Mão de Obra e Serviços'!$A$4:$A$200,0)),"MO","CÓDIGO?")))</f>
        <v>MO</v>
      </c>
      <c r="C246" s="54" t="str">
        <f aca="false">IF($A246="","",IFERROR(INDEX('Cotação de Materiais'!$C$4:$C$200,MATCH($A246,'Cotação de Materiais'!$A$4:$A$200,0)),IFERROR(INDEX('Mão de Obra e Serviços'!$B$4:$B$200,MATCH($A246,'Mão de Obra e Serviços'!$A$4:$A$200,0)),"")))</f>
        <v>Supervisor de Montagem</v>
      </c>
      <c r="D246" s="52" t="s">
        <v>477</v>
      </c>
      <c r="E246" s="55" t="n">
        <v>1</v>
      </c>
      <c r="F246" s="56" t="n">
        <v>1</v>
      </c>
      <c r="G246" s="57" t="n">
        <f aca="false">IF($A246="","",E246*IF(F246="",1,F246))</f>
        <v>1</v>
      </c>
      <c r="H246" s="31" t="n">
        <f aca="false">IF($A246="","",IF(SUMIF($A$6:$A$600,$A246,$G$6:$G$600)=0,0,G246/SUMIF($A$6:$A$600,$A246,$G$6:$G$600)))</f>
        <v>1</v>
      </c>
      <c r="I246" s="30" t="n">
        <f aca="false">IF($A246="","",IFERROR(INDEX('Cotação de Materiais'!$H$4:$H$200,MATCH($A246,'Cotação de Materiais'!$A$4:$A$200,0)),IFERROR(INDEX('Mão de Obra e Serviços'!$G$4:$G$200,MATCH($A246,'Mão de Obra e Serviços'!$A$4:$A$200,0)),0)))</f>
        <v>6000</v>
      </c>
      <c r="K246" s="30" t="n">
        <f aca="false">IF($A246="","",I246*H246)</f>
        <v>6000</v>
      </c>
      <c r="L246" s="58" t="s">
        <v>492</v>
      </c>
      <c r="M246" s="54" t="str">
        <f aca="false">IF($A246="","",IF(B246="CÓDIGO?","CÓDIGO NÃO ACHADO",IF($D246="","FALTA ITEM DO ANEXO",IF($D246="INDIRETO","",IF(COUNTIFS('Anexo III'!$B$8:$B$400,$D246,'Anexo III'!$E$8:$E$400,"&gt;0")=0,"ITEM NÃO ACHADO NO ANEXO","")))))</f>
        <v/>
      </c>
    </row>
    <row r="247" customFormat="false" ht="15" hidden="false" customHeight="false" outlineLevel="0" collapsed="false">
      <c r="A247" s="52" t="s">
        <v>347</v>
      </c>
      <c r="B247" s="53" t="str">
        <f aca="false">IF($A247="","",IF(ISNUMBER(MATCH($A247,'Cotação de Materiais'!$A$4:$A$200,0)),"MAT",IF(ISNUMBER(MATCH($A247,'Mão de Obra e Serviços'!$A$4:$A$200,0)),"MO","CÓDIGO?")))</f>
        <v>MO</v>
      </c>
      <c r="C247" s="54" t="str">
        <f aca="false">IF($A247="","",IFERROR(INDEX('Cotação de Materiais'!$C$4:$C$200,MATCH($A247,'Cotação de Materiais'!$A$4:$A$200,0)),IFERROR(INDEX('Mão de Obra e Serviços'!$B$4:$B$200,MATCH($A247,'Mão de Obra e Serviços'!$A$4:$A$200,0)),"")))</f>
        <v>Tapeceiro</v>
      </c>
      <c r="D247" s="52" t="s">
        <v>477</v>
      </c>
      <c r="E247" s="55" t="n">
        <v>1</v>
      </c>
      <c r="F247" s="56" t="n">
        <v>1</v>
      </c>
      <c r="G247" s="57" t="n">
        <f aca="false">IF($A247="","",E247*IF(F247="",1,F247))</f>
        <v>1</v>
      </c>
      <c r="H247" s="31" t="n">
        <f aca="false">IF($A247="","",IF(SUMIF($A$6:$A$600,$A247,$G$6:$G$600)=0,0,G247/SUMIF($A$6:$A$600,$A247,$G$6:$G$600)))</f>
        <v>1</v>
      </c>
      <c r="I247" s="30" t="n">
        <f aca="false">IF($A247="","",IFERROR(INDEX('Cotação de Materiais'!$H$4:$H$200,MATCH($A247,'Cotação de Materiais'!$A$4:$A$200,0)),IFERROR(INDEX('Mão de Obra e Serviços'!$G$4:$G$200,MATCH($A247,'Mão de Obra e Serviços'!$A$4:$A$200,0)),0)))</f>
        <v>5</v>
      </c>
      <c r="K247" s="30" t="n">
        <f aca="false">IF($A247="","",I247*H247)</f>
        <v>5</v>
      </c>
      <c r="L247" s="58" t="s">
        <v>493</v>
      </c>
      <c r="M247" s="54" t="str">
        <f aca="false">IF($A247="","",IF(B247="CÓDIGO?","CÓDIGO NÃO ACHADO",IF($D247="","FALTA ITEM DO ANEXO",IF($D247="INDIRETO","",IF(COUNTIFS('Anexo III'!$B$8:$B$400,$D247,'Anexo III'!$E$8:$E$400,"&gt;0")=0,"ITEM NÃO ACHADO NO ANEXO","")))))</f>
        <v/>
      </c>
    </row>
    <row r="248" customFormat="false" ht="15" hidden="false" customHeight="false" outlineLevel="0" collapsed="false">
      <c r="A248" s="52" t="s">
        <v>350</v>
      </c>
      <c r="B248" s="53" t="str">
        <f aca="false">IF($A248="","",IF(ISNUMBER(MATCH($A248,'Cotação de Materiais'!$A$4:$A$200,0)),"MAT",IF(ISNUMBER(MATCH($A248,'Mão de Obra e Serviços'!$A$4:$A$200,0)),"MO","CÓDIGO?")))</f>
        <v>MO</v>
      </c>
      <c r="C248" s="54" t="str">
        <f aca="false">IF($A248="","",IFERROR(INDEX('Cotação de Materiais'!$C$4:$C$200,MATCH($A248,'Cotação de Materiais'!$A$4:$A$200,0)),IFERROR(INDEX('Mão de Obra e Serviços'!$B$4:$B$200,MATCH($A248,'Mão de Obra e Serviços'!$A$4:$A$200,0)),"")))</f>
        <v>Adesivador</v>
      </c>
      <c r="D248" s="52" t="s">
        <v>464</v>
      </c>
      <c r="E248" s="55" t="n">
        <v>5</v>
      </c>
      <c r="F248" s="56" t="n">
        <v>1</v>
      </c>
      <c r="G248" s="57" t="n">
        <f aca="false">IF($A248="","",E248*IF(F248="",1,F248))</f>
        <v>5</v>
      </c>
      <c r="H248" s="31" t="n">
        <f aca="false">IF($A248="","",IF(SUMIF($A$6:$A$600,$A248,$G$6:$G$600)=0,0,G248/SUMIF($A$6:$A$600,$A248,$G$6:$G$600)))</f>
        <v>0.833333333333333</v>
      </c>
      <c r="I248" s="30" t="n">
        <f aca="false">IF($A248="","",IFERROR(INDEX('Cotação de Materiais'!$H$4:$H$200,MATCH($A248,'Cotação de Materiais'!$A$4:$A$200,0)),IFERROR(INDEX('Mão de Obra e Serviços'!$G$4:$G$200,MATCH($A248,'Mão de Obra e Serviços'!$A$4:$A$200,0)),0)))</f>
        <v>1500</v>
      </c>
      <c r="K248" s="30" t="n">
        <f aca="false">IF($A248="","",I248*H248)</f>
        <v>1250</v>
      </c>
      <c r="L248" s="58" t="s">
        <v>494</v>
      </c>
      <c r="M248" s="54" t="str">
        <f aca="false">IF($A248="","",IF(B248="CÓDIGO?","CÓDIGO NÃO ACHADO",IF($D248="","FALTA ITEM DO ANEXO",IF($D248="INDIRETO","",IF(COUNTIFS('Anexo III'!$B$8:$B$400,$D248,'Anexo III'!$E$8:$E$400,"&gt;0")=0,"ITEM NÃO ACHADO NO ANEXO","")))))</f>
        <v/>
      </c>
    </row>
    <row r="249" customFormat="false" ht="15" hidden="false" customHeight="false" outlineLevel="0" collapsed="false">
      <c r="A249" s="52" t="s">
        <v>350</v>
      </c>
      <c r="B249" s="53" t="str">
        <f aca="false">IF($A249="","",IF(ISNUMBER(MATCH($A249,'Cotação de Materiais'!$A$4:$A$200,0)),"MAT",IF(ISNUMBER(MATCH($A249,'Mão de Obra e Serviços'!$A$4:$A$200,0)),"MO","CÓDIGO?")))</f>
        <v>MO</v>
      </c>
      <c r="C249" s="54" t="str">
        <f aca="false">IF($A249="","",IFERROR(INDEX('Cotação de Materiais'!$C$4:$C$200,MATCH($A249,'Cotação de Materiais'!$A$4:$A$200,0)),IFERROR(INDEX('Mão de Obra e Serviços'!$B$4:$B$200,MATCH($A249,'Mão de Obra e Serviços'!$A$4:$A$200,0)),"")))</f>
        <v>Adesivador</v>
      </c>
      <c r="D249" s="52" t="s">
        <v>424</v>
      </c>
      <c r="E249" s="55" t="n">
        <v>0.5</v>
      </c>
      <c r="F249" s="56" t="n">
        <v>1</v>
      </c>
      <c r="G249" s="57" t="n">
        <f aca="false">IF($A249="","",E249*IF(F249="",1,F249))</f>
        <v>0.5</v>
      </c>
      <c r="H249" s="31" t="n">
        <f aca="false">IF($A249="","",IF(SUMIF($A$6:$A$600,$A249,$G$6:$G$600)=0,0,G249/SUMIF($A$6:$A$600,$A249,$G$6:$G$600)))</f>
        <v>0.0833333333333333</v>
      </c>
      <c r="I249" s="30" t="n">
        <f aca="false">IF($A249="","",IFERROR(INDEX('Cotação de Materiais'!$H$4:$H$200,MATCH($A249,'Cotação de Materiais'!$A$4:$A$200,0)),IFERROR(INDEX('Mão de Obra e Serviços'!$G$4:$G$200,MATCH($A249,'Mão de Obra e Serviços'!$A$4:$A$200,0)),0)))</f>
        <v>1500</v>
      </c>
      <c r="K249" s="30" t="n">
        <f aca="false">IF($A249="","",I249*H249)</f>
        <v>125</v>
      </c>
      <c r="L249" s="58" t="s">
        <v>494</v>
      </c>
      <c r="M249" s="54" t="str">
        <f aca="false">IF($A249="","",IF(B249="CÓDIGO?","CÓDIGO NÃO ACHADO",IF($D249="","FALTA ITEM DO ANEXO",IF($D249="INDIRETO","",IF(COUNTIFS('Anexo III'!$B$8:$B$400,$D249,'Anexo III'!$E$8:$E$400,"&gt;0")=0,"ITEM NÃO ACHADO NO ANEXO","")))))</f>
        <v/>
      </c>
    </row>
    <row r="250" customFormat="false" ht="15" hidden="false" customHeight="false" outlineLevel="0" collapsed="false">
      <c r="A250" s="52" t="s">
        <v>350</v>
      </c>
      <c r="B250" s="53" t="str">
        <f aca="false">IF($A250="","",IF(ISNUMBER(MATCH($A250,'Cotação de Materiais'!$A$4:$A$200,0)),"MAT",IF(ISNUMBER(MATCH($A250,'Mão de Obra e Serviços'!$A$4:$A$200,0)),"MO","CÓDIGO?")))</f>
        <v>MO</v>
      </c>
      <c r="C250" s="54" t="str">
        <f aca="false">IF($A250="","",IFERROR(INDEX('Cotação de Materiais'!$C$4:$C$200,MATCH($A250,'Cotação de Materiais'!$A$4:$A$200,0)),IFERROR(INDEX('Mão de Obra e Serviços'!$B$4:$B$200,MATCH($A250,'Mão de Obra e Serviços'!$A$4:$A$200,0)),"")))</f>
        <v>Adesivador</v>
      </c>
      <c r="D250" s="52" t="s">
        <v>459</v>
      </c>
      <c r="E250" s="55" t="n">
        <v>0.5</v>
      </c>
      <c r="F250" s="56" t="n">
        <v>1</v>
      </c>
      <c r="G250" s="57" t="n">
        <f aca="false">IF($A250="","",E250*IF(F250="",1,F250))</f>
        <v>0.5</v>
      </c>
      <c r="H250" s="31" t="n">
        <f aca="false">IF($A250="","",IF(SUMIF($A$6:$A$600,$A250,$G$6:$G$600)=0,0,G250/SUMIF($A$6:$A$600,$A250,$G$6:$G$600)))</f>
        <v>0.0833333333333333</v>
      </c>
      <c r="I250" s="30" t="n">
        <f aca="false">IF($A250="","",IFERROR(INDEX('Cotação de Materiais'!$H$4:$H$200,MATCH($A250,'Cotação de Materiais'!$A$4:$A$200,0)),IFERROR(INDEX('Mão de Obra e Serviços'!$G$4:$G$200,MATCH($A250,'Mão de Obra e Serviços'!$A$4:$A$200,0)),0)))</f>
        <v>1500</v>
      </c>
      <c r="K250" s="30" t="n">
        <f aca="false">IF($A250="","",I250*H250)</f>
        <v>125</v>
      </c>
      <c r="L250" s="58" t="s">
        <v>494</v>
      </c>
      <c r="M250" s="54" t="str">
        <f aca="false">IF($A250="","",IF(B250="CÓDIGO?","CÓDIGO NÃO ACHADO",IF($D250="","FALTA ITEM DO ANEXO",IF($D250="INDIRETO","",IF(COUNTIFS('Anexo III'!$B$8:$B$400,$D250,'Anexo III'!$E$8:$E$400,"&gt;0")=0,"ITEM NÃO ACHADO NO ANEXO","")))))</f>
        <v/>
      </c>
    </row>
    <row r="251" customFormat="false" ht="15" hidden="false" customHeight="false" outlineLevel="0" collapsed="false">
      <c r="A251" s="52" t="s">
        <v>353</v>
      </c>
      <c r="B251" s="53" t="str">
        <f aca="false">IF($A251="","",IF(ISNUMBER(MATCH($A251,'Cotação de Materiais'!$A$4:$A$200,0)),"MAT",IF(ISNUMBER(MATCH($A251,'Mão de Obra e Serviços'!$A$4:$A$200,0)),"MO","CÓDIGO?")))</f>
        <v>MO</v>
      </c>
      <c r="C251" s="54" t="str">
        <f aca="false">IF($A251="","",IFERROR(INDEX('Cotação de Materiais'!$C$4:$C$200,MATCH($A251,'Cotação de Materiais'!$A$4:$A$200,0)),IFERROR(INDEX('Mão de Obra e Serviços'!$B$4:$B$200,MATCH($A251,'Mão de Obra e Serviços'!$A$4:$A$200,0)),"")))</f>
        <v>Eletricista — EMPREITA</v>
      </c>
      <c r="D251" s="52" t="s">
        <v>448</v>
      </c>
      <c r="E251" s="55" t="n">
        <v>3987.5</v>
      </c>
      <c r="F251" s="56" t="n">
        <v>1</v>
      </c>
      <c r="G251" s="57" t="n">
        <f aca="false">IF($A251="","",E251*IF(F251="",1,F251))</f>
        <v>3987.5</v>
      </c>
      <c r="H251" s="31" t="n">
        <f aca="false">IF($A251="","",IF(SUMIF($A$6:$A$600,$A251,$G$6:$G$600)=0,0,G251/SUMIF($A$6:$A$600,$A251,$G$6:$G$600)))</f>
        <v>0.405220561932945</v>
      </c>
      <c r="I251" s="30" t="n">
        <f aca="false">IF($A251="","",IFERROR(INDEX('Cotação de Materiais'!$H$4:$H$200,MATCH($A251,'Cotação de Materiais'!$A$4:$A$200,0)),IFERROR(INDEX('Mão de Obra e Serviços'!$G$4:$G$200,MATCH($A251,'Mão de Obra e Serviços'!$A$4:$A$200,0)),0)))</f>
        <v>7000</v>
      </c>
      <c r="K251" s="30" t="n">
        <f aca="false">IF($A251="","",I251*H251)</f>
        <v>2836.54393353062</v>
      </c>
      <c r="L251" s="58" t="s">
        <v>495</v>
      </c>
      <c r="M251" s="54" t="str">
        <f aca="false">IF($A251="","",IF(B251="CÓDIGO?","CÓDIGO NÃO ACHADO",IF($D251="","FALTA ITEM DO ANEXO",IF($D251="INDIRETO","",IF(COUNTIFS('Anexo III'!$B$8:$B$400,$D251,'Anexo III'!$E$8:$E$400,"&gt;0")=0,"ITEM NÃO ACHADO NO ANEXO","")))))</f>
        <v/>
      </c>
    </row>
    <row r="252" customFormat="false" ht="15" hidden="false" customHeight="false" outlineLevel="0" collapsed="false">
      <c r="A252" s="52" t="s">
        <v>353</v>
      </c>
      <c r="B252" s="53" t="str">
        <f aca="false">IF($A252="","",IF(ISNUMBER(MATCH($A252,'Cotação de Materiais'!$A$4:$A$200,0)),"MAT",IF(ISNUMBER(MATCH($A252,'Mão de Obra e Serviços'!$A$4:$A$200,0)),"MO","CÓDIGO?")))</f>
        <v>MO</v>
      </c>
      <c r="C252" s="54" t="str">
        <f aca="false">IF($A252="","",IFERROR(INDEX('Cotação de Materiais'!$C$4:$C$200,MATCH($A252,'Cotação de Materiais'!$A$4:$A$200,0)),IFERROR(INDEX('Mão de Obra e Serviços'!$B$4:$B$200,MATCH($A252,'Mão de Obra e Serviços'!$A$4:$A$200,0)),"")))</f>
        <v>Eletricista — EMPREITA</v>
      </c>
      <c r="D252" s="52" t="s">
        <v>443</v>
      </c>
      <c r="E252" s="55" t="n">
        <v>396.09</v>
      </c>
      <c r="F252" s="56" t="n">
        <v>1</v>
      </c>
      <c r="G252" s="57" t="n">
        <f aca="false">IF($A252="","",E252*IF(F252="",1,F252))</f>
        <v>396.09</v>
      </c>
      <c r="H252" s="31" t="n">
        <f aca="false">IF($A252="","",IF(SUMIF($A$6:$A$600,$A252,$G$6:$G$600)=0,0,G252/SUMIF($A$6:$A$600,$A252,$G$6:$G$600)))</f>
        <v>0.0402517397808201</v>
      </c>
      <c r="I252" s="30" t="n">
        <f aca="false">IF($A252="","",IFERROR(INDEX('Cotação de Materiais'!$H$4:$H$200,MATCH($A252,'Cotação de Materiais'!$A$4:$A$200,0)),IFERROR(INDEX('Mão de Obra e Serviços'!$G$4:$G$200,MATCH($A252,'Mão de Obra e Serviços'!$A$4:$A$200,0)),0)))</f>
        <v>7000</v>
      </c>
      <c r="K252" s="30" t="n">
        <f aca="false">IF($A252="","",I252*H252)</f>
        <v>281.762178465741</v>
      </c>
      <c r="L252" s="58" t="s">
        <v>495</v>
      </c>
      <c r="M252" s="54" t="str">
        <f aca="false">IF($A252="","",IF(B252="CÓDIGO?","CÓDIGO NÃO ACHADO",IF($D252="","FALTA ITEM DO ANEXO",IF($D252="INDIRETO","",IF(COUNTIFS('Anexo III'!$B$8:$B$400,$D252,'Anexo III'!$E$8:$E$400,"&gt;0")=0,"ITEM NÃO ACHADO NO ANEXO","")))))</f>
        <v/>
      </c>
    </row>
    <row r="253" customFormat="false" ht="15" hidden="false" customHeight="false" outlineLevel="0" collapsed="false">
      <c r="A253" s="52" t="s">
        <v>353</v>
      </c>
      <c r="B253" s="53" t="str">
        <f aca="false">IF($A253="","",IF(ISNUMBER(MATCH($A253,'Cotação de Materiais'!$A$4:$A$200,0)),"MAT",IF(ISNUMBER(MATCH($A253,'Mão de Obra e Serviços'!$A$4:$A$200,0)),"MO","CÓDIGO?")))</f>
        <v>MO</v>
      </c>
      <c r="C253" s="54" t="str">
        <f aca="false">IF($A253="","",IFERROR(INDEX('Cotação de Materiais'!$C$4:$C$200,MATCH($A253,'Cotação de Materiais'!$A$4:$A$200,0)),IFERROR(INDEX('Mão de Obra e Serviços'!$B$4:$B$200,MATCH($A253,'Mão de Obra e Serviços'!$A$4:$A$200,0)),"")))</f>
        <v>Eletricista — EMPREITA</v>
      </c>
      <c r="D253" s="52" t="s">
        <v>445</v>
      </c>
      <c r="E253" s="55" t="n">
        <v>132.03</v>
      </c>
      <c r="F253" s="56" t="n">
        <v>1</v>
      </c>
      <c r="G253" s="57" t="n">
        <f aca="false">IF($A253="","",E253*IF(F253="",1,F253))</f>
        <v>132.03</v>
      </c>
      <c r="H253" s="31" t="n">
        <f aca="false">IF($A253="","",IF(SUMIF($A$6:$A$600,$A253,$G$6:$G$600)=0,0,G253/SUMIF($A$6:$A$600,$A253,$G$6:$G$600)))</f>
        <v>0.0134172465936067</v>
      </c>
      <c r="I253" s="30" t="n">
        <f aca="false">IF($A253="","",IFERROR(INDEX('Cotação de Materiais'!$H$4:$H$200,MATCH($A253,'Cotação de Materiais'!$A$4:$A$200,0)),IFERROR(INDEX('Mão de Obra e Serviços'!$G$4:$G$200,MATCH($A253,'Mão de Obra e Serviços'!$A$4:$A$200,0)),0)))</f>
        <v>7000</v>
      </c>
      <c r="K253" s="30" t="n">
        <f aca="false">IF($A253="","",I253*H253)</f>
        <v>93.920726155247</v>
      </c>
      <c r="L253" s="58" t="s">
        <v>495</v>
      </c>
      <c r="M253" s="54" t="str">
        <f aca="false">IF($A253="","",IF(B253="CÓDIGO?","CÓDIGO NÃO ACHADO",IF($D253="","FALTA ITEM DO ANEXO",IF($D253="INDIRETO","",IF(COUNTIFS('Anexo III'!$B$8:$B$400,$D253,'Anexo III'!$E$8:$E$400,"&gt;0")=0,"ITEM NÃO ACHADO NO ANEXO","")))))</f>
        <v/>
      </c>
    </row>
    <row r="254" customFormat="false" ht="15" hidden="false" customHeight="false" outlineLevel="0" collapsed="false">
      <c r="A254" s="52" t="s">
        <v>353</v>
      </c>
      <c r="B254" s="53" t="str">
        <f aca="false">IF($A254="","",IF(ISNUMBER(MATCH($A254,'Cotação de Materiais'!$A$4:$A$200,0)),"MAT",IF(ISNUMBER(MATCH($A254,'Mão de Obra e Serviços'!$A$4:$A$200,0)),"MO","CÓDIGO?")))</f>
        <v>MO</v>
      </c>
      <c r="C254" s="54" t="str">
        <f aca="false">IF($A254="","",IFERROR(INDEX('Cotação de Materiais'!$C$4:$C$200,MATCH($A254,'Cotação de Materiais'!$A$4:$A$200,0)),IFERROR(INDEX('Mão de Obra e Serviços'!$B$4:$B$200,MATCH($A254,'Mão de Obra e Serviços'!$A$4:$A$200,0)),"")))</f>
        <v>Eletricista — EMPREITA</v>
      </c>
      <c r="D254" s="52" t="s">
        <v>446</v>
      </c>
      <c r="E254" s="55" t="n">
        <v>132.03</v>
      </c>
      <c r="F254" s="56" t="n">
        <v>1</v>
      </c>
      <c r="G254" s="57" t="n">
        <f aca="false">IF($A254="","",E254*IF(F254="",1,F254))</f>
        <v>132.03</v>
      </c>
      <c r="H254" s="31" t="n">
        <f aca="false">IF($A254="","",IF(SUMIF($A$6:$A$600,$A254,$G$6:$G$600)=0,0,G254/SUMIF($A$6:$A$600,$A254,$G$6:$G$600)))</f>
        <v>0.0134172465936067</v>
      </c>
      <c r="I254" s="30" t="n">
        <f aca="false">IF($A254="","",IFERROR(INDEX('Cotação de Materiais'!$H$4:$H$200,MATCH($A254,'Cotação de Materiais'!$A$4:$A$200,0)),IFERROR(INDEX('Mão de Obra e Serviços'!$G$4:$G$200,MATCH($A254,'Mão de Obra e Serviços'!$A$4:$A$200,0)),0)))</f>
        <v>7000</v>
      </c>
      <c r="K254" s="30" t="n">
        <f aca="false">IF($A254="","",I254*H254)</f>
        <v>93.920726155247</v>
      </c>
      <c r="L254" s="58" t="s">
        <v>495</v>
      </c>
      <c r="M254" s="54" t="str">
        <f aca="false">IF($A254="","",IF(B254="CÓDIGO?","CÓDIGO NÃO ACHADO",IF($D254="","FALTA ITEM DO ANEXO",IF($D254="INDIRETO","",IF(COUNTIFS('Anexo III'!$B$8:$B$400,$D254,'Anexo III'!$E$8:$E$400,"&gt;0")=0,"ITEM NÃO ACHADO NO ANEXO","")))))</f>
        <v/>
      </c>
    </row>
    <row r="255" customFormat="false" ht="15" hidden="false" customHeight="false" outlineLevel="0" collapsed="false">
      <c r="A255" s="52" t="s">
        <v>353</v>
      </c>
      <c r="B255" s="53" t="str">
        <f aca="false">IF($A255="","",IF(ISNUMBER(MATCH($A255,'Cotação de Materiais'!$A$4:$A$200,0)),"MAT",IF(ISNUMBER(MATCH($A255,'Mão de Obra e Serviços'!$A$4:$A$200,0)),"MO","CÓDIGO?")))</f>
        <v>MO</v>
      </c>
      <c r="C255" s="54" t="str">
        <f aca="false">IF($A255="","",IFERROR(INDEX('Cotação de Materiais'!$C$4:$C$200,MATCH($A255,'Cotação de Materiais'!$A$4:$A$200,0)),IFERROR(INDEX('Mão de Obra e Serviços'!$B$4:$B$200,MATCH($A255,'Mão de Obra e Serviços'!$A$4:$A$200,0)),"")))</f>
        <v>Eletricista — EMPREITA</v>
      </c>
      <c r="D255" s="52" t="s">
        <v>496</v>
      </c>
      <c r="E255" s="55" t="n">
        <v>534.06</v>
      </c>
      <c r="F255" s="56" t="n">
        <v>1</v>
      </c>
      <c r="G255" s="57" t="n">
        <f aca="false">IF($A255="","",E255*IF(F255="",1,F255))</f>
        <v>534.06</v>
      </c>
      <c r="H255" s="31" t="n">
        <f aca="false">IF($A255="","",IF(SUMIF($A$6:$A$600,$A255,$G$6:$G$600)=0,0,G255/SUMIF($A$6:$A$600,$A255,$G$6:$G$600)))</f>
        <v>0.0542726252804787</v>
      </c>
      <c r="I255" s="30" t="n">
        <f aca="false">IF($A255="","",IFERROR(INDEX('Cotação de Materiais'!$H$4:$H$200,MATCH($A255,'Cotação de Materiais'!$A$4:$A$200,0)),IFERROR(INDEX('Mão de Obra e Serviços'!$G$4:$G$200,MATCH($A255,'Mão de Obra e Serviços'!$A$4:$A$200,0)),0)))</f>
        <v>7000</v>
      </c>
      <c r="K255" s="30" t="n">
        <f aca="false">IF($A255="","",I255*H255)</f>
        <v>379.908376963351</v>
      </c>
      <c r="L255" s="58" t="s">
        <v>495</v>
      </c>
      <c r="M255" s="54" t="str">
        <f aca="false">IF($A255="","",IF(B255="CÓDIGO?","CÓDIGO NÃO ACHADO",IF($D255="","FALTA ITEM DO ANEXO",IF($D255="INDIRETO","",IF(COUNTIFS('Anexo III'!$B$8:$B$400,$D255,'Anexo III'!$E$8:$E$400,"&gt;0")=0,"ITEM NÃO ACHADO NO ANEXO","")))))</f>
        <v/>
      </c>
    </row>
    <row r="256" customFormat="false" ht="15" hidden="false" customHeight="false" outlineLevel="0" collapsed="false">
      <c r="A256" s="52" t="s">
        <v>353</v>
      </c>
      <c r="B256" s="53" t="str">
        <f aca="false">IF($A256="","",IF(ISNUMBER(MATCH($A256,'Cotação de Materiais'!$A$4:$A$200,0)),"MAT",IF(ISNUMBER(MATCH($A256,'Mão de Obra e Serviços'!$A$4:$A$200,0)),"MO","CÓDIGO?")))</f>
        <v>MO</v>
      </c>
      <c r="C256" s="54" t="str">
        <f aca="false">IF($A256="","",IFERROR(INDEX('Cotação de Materiais'!$C$4:$C$200,MATCH($A256,'Cotação de Materiais'!$A$4:$A$200,0)),IFERROR(INDEX('Mão de Obra e Serviços'!$B$4:$B$200,MATCH($A256,'Mão de Obra e Serviços'!$A$4:$A$200,0)),"")))</f>
        <v>Eletricista — EMPREITA</v>
      </c>
      <c r="D256" s="52" t="s">
        <v>441</v>
      </c>
      <c r="E256" s="55" t="n">
        <v>2810</v>
      </c>
      <c r="F256" s="56" t="n">
        <v>1</v>
      </c>
      <c r="G256" s="57" t="n">
        <f aca="false">IF($A256="","",E256*IF(F256="",1,F256))</f>
        <v>2810</v>
      </c>
      <c r="H256" s="31" t="n">
        <f aca="false">IF($A256="","",IF(SUMIF($A$6:$A$600,$A256,$G$6:$G$600)=0,0,G256/SUMIF($A$6:$A$600,$A256,$G$6:$G$600)))</f>
        <v>0.285559819192872</v>
      </c>
      <c r="I256" s="30" t="n">
        <f aca="false">IF($A256="","",IFERROR(INDEX('Cotação de Materiais'!$H$4:$H$200,MATCH($A256,'Cotação de Materiais'!$A$4:$A$200,0)),IFERROR(INDEX('Mão de Obra e Serviços'!$G$4:$G$200,MATCH($A256,'Mão de Obra e Serviços'!$A$4:$A$200,0)),0)))</f>
        <v>7000</v>
      </c>
      <c r="K256" s="30" t="n">
        <f aca="false">IF($A256="","",I256*H256)</f>
        <v>1998.9187343501</v>
      </c>
      <c r="L256" s="58" t="s">
        <v>495</v>
      </c>
      <c r="M256" s="54" t="str">
        <f aca="false">IF($A256="","",IF(B256="CÓDIGO?","CÓDIGO NÃO ACHADO",IF($D256="","FALTA ITEM DO ANEXO",IF($D256="INDIRETO","",IF(COUNTIFS('Anexo III'!$B$8:$B$400,$D256,'Anexo III'!$E$8:$E$400,"&gt;0")=0,"ITEM NÃO ACHADO NO ANEXO","")))))</f>
        <v/>
      </c>
    </row>
    <row r="257" customFormat="false" ht="15" hidden="false" customHeight="false" outlineLevel="0" collapsed="false">
      <c r="A257" s="52" t="s">
        <v>353</v>
      </c>
      <c r="B257" s="53" t="str">
        <f aca="false">IF($A257="","",IF(ISNUMBER(MATCH($A257,'Cotação de Materiais'!$A$4:$A$200,0)),"MAT",IF(ISNUMBER(MATCH($A257,'Mão de Obra e Serviços'!$A$4:$A$200,0)),"MO","CÓDIGO?")))</f>
        <v>MO</v>
      </c>
      <c r="C257" s="54" t="str">
        <f aca="false">IF($A257="","",IFERROR(INDEX('Cotação de Materiais'!$C$4:$C$200,MATCH($A257,'Cotação de Materiais'!$A$4:$A$200,0)),IFERROR(INDEX('Mão de Obra e Serviços'!$B$4:$B$200,MATCH($A257,'Mão de Obra e Serviços'!$A$4:$A$200,0)),"")))</f>
        <v>Eletricista — EMPREITA</v>
      </c>
      <c r="D257" s="52" t="s">
        <v>455</v>
      </c>
      <c r="E257" s="55" t="n">
        <v>1050</v>
      </c>
      <c r="F257" s="56" t="n">
        <v>1</v>
      </c>
      <c r="G257" s="57" t="n">
        <f aca="false">IF($A257="","",E257*IF(F257="",1,F257))</f>
        <v>1050</v>
      </c>
      <c r="H257" s="31" t="n">
        <f aca="false">IF($A257="","",IF(SUMIF($A$6:$A$600,$A257,$G$6:$G$600)=0,0,G257/SUMIF($A$6:$A$600,$A257,$G$6:$G$600)))</f>
        <v>0.106703847029365</v>
      </c>
      <c r="I257" s="30" t="n">
        <f aca="false">IF($A257="","",IFERROR(INDEX('Cotação de Materiais'!$H$4:$H$200,MATCH($A257,'Cotação de Materiais'!$A$4:$A$200,0)),IFERROR(INDEX('Mão de Obra e Serviços'!$G$4:$G$200,MATCH($A257,'Mão de Obra e Serviços'!$A$4:$A$200,0)),0)))</f>
        <v>7000</v>
      </c>
      <c r="K257" s="30" t="n">
        <f aca="false">IF($A257="","",I257*H257)</f>
        <v>746.926929205554</v>
      </c>
      <c r="L257" s="58" t="s">
        <v>495</v>
      </c>
      <c r="M257" s="54" t="str">
        <f aca="false">IF($A257="","",IF(B257="CÓDIGO?","CÓDIGO NÃO ACHADO",IF($D257="","FALTA ITEM DO ANEXO",IF($D257="INDIRETO","",IF(COUNTIFS('Anexo III'!$B$8:$B$400,$D257,'Anexo III'!$E$8:$E$400,"&gt;0")=0,"ITEM NÃO ACHADO NO ANEXO","")))))</f>
        <v/>
      </c>
    </row>
    <row r="258" customFormat="false" ht="15" hidden="false" customHeight="false" outlineLevel="0" collapsed="false">
      <c r="A258" s="52" t="s">
        <v>353</v>
      </c>
      <c r="B258" s="53" t="str">
        <f aca="false">IF($A258="","",IF(ISNUMBER(MATCH($A258,'Cotação de Materiais'!$A$4:$A$200,0)),"MAT",IF(ISNUMBER(MATCH($A258,'Mão de Obra e Serviços'!$A$4:$A$200,0)),"MO","CÓDIGO?")))</f>
        <v>MO</v>
      </c>
      <c r="C258" s="54" t="str">
        <f aca="false">IF($A258="","",IFERROR(INDEX('Cotação de Materiais'!$C$4:$C$200,MATCH($A258,'Cotação de Materiais'!$A$4:$A$200,0)),IFERROR(INDEX('Mão de Obra e Serviços'!$B$4:$B$200,MATCH($A258,'Mão de Obra e Serviços'!$A$4:$A$200,0)),"")))</f>
        <v>Eletricista — EMPREITA</v>
      </c>
      <c r="D258" s="52" t="s">
        <v>453</v>
      </c>
      <c r="E258" s="55" t="n">
        <v>443.1</v>
      </c>
      <c r="F258" s="56" t="n">
        <v>1</v>
      </c>
      <c r="G258" s="57" t="n">
        <f aca="false">IF($A258="","",E258*IF(F258="",1,F258))</f>
        <v>443.1</v>
      </c>
      <c r="H258" s="31" t="n">
        <f aca="false">IF($A258="","",IF(SUMIF($A$6:$A$600,$A258,$G$6:$G$600)=0,0,G258/SUMIF($A$6:$A$600,$A258,$G$6:$G$600)))</f>
        <v>0.045029023446392</v>
      </c>
      <c r="I258" s="30" t="n">
        <f aca="false">IF($A258="","",IFERROR(INDEX('Cotação de Materiais'!$H$4:$H$200,MATCH($A258,'Cotação de Materiais'!$A$4:$A$200,0)),IFERROR(INDEX('Mão de Obra e Serviços'!$G$4:$G$200,MATCH($A258,'Mão de Obra e Serviços'!$A$4:$A$200,0)),0)))</f>
        <v>7000</v>
      </c>
      <c r="K258" s="30" t="n">
        <f aca="false">IF($A258="","",I258*H258)</f>
        <v>315.203164124744</v>
      </c>
      <c r="L258" s="58" t="s">
        <v>495</v>
      </c>
      <c r="M258" s="54" t="str">
        <f aca="false">IF($A258="","",IF(B258="CÓDIGO?","CÓDIGO NÃO ACHADO",IF($D258="","FALTA ITEM DO ANEXO",IF($D258="INDIRETO","",IF(COUNTIFS('Anexo III'!$B$8:$B$400,$D258,'Anexo III'!$E$8:$E$400,"&gt;0")=0,"ITEM NÃO ACHADO NO ANEXO","")))))</f>
        <v/>
      </c>
    </row>
    <row r="259" customFormat="false" ht="15" hidden="false" customHeight="false" outlineLevel="0" collapsed="false">
      <c r="A259" s="52" t="s">
        <v>353</v>
      </c>
      <c r="B259" s="53" t="str">
        <f aca="false">IF($A259="","",IF(ISNUMBER(MATCH($A259,'Cotação de Materiais'!$A$4:$A$200,0)),"MAT",IF(ISNUMBER(MATCH($A259,'Mão de Obra e Serviços'!$A$4:$A$200,0)),"MO","CÓDIGO?")))</f>
        <v>MO</v>
      </c>
      <c r="C259" s="54" t="str">
        <f aca="false">IF($A259="","",IFERROR(INDEX('Cotação de Materiais'!$C$4:$C$200,MATCH($A259,'Cotação de Materiais'!$A$4:$A$200,0)),IFERROR(INDEX('Mão de Obra e Serviços'!$B$4:$B$200,MATCH($A259,'Mão de Obra e Serviços'!$A$4:$A$200,0)),"")))</f>
        <v>Eletricista — EMPREITA</v>
      </c>
      <c r="D259" s="52" t="s">
        <v>426</v>
      </c>
      <c r="E259" s="55" t="n">
        <v>121.22</v>
      </c>
      <c r="F259" s="56" t="n">
        <v>1</v>
      </c>
      <c r="G259" s="57" t="n">
        <f aca="false">IF($A259="","",E259*IF(F259="",1,F259))</f>
        <v>121.22</v>
      </c>
      <c r="H259" s="31" t="n">
        <f aca="false">IF($A259="","",IF(SUMIF($A$6:$A$600,$A259,$G$6:$G$600)=0,0,G259/SUMIF($A$6:$A$600,$A259,$G$6:$G$600)))</f>
        <v>0.0123187050827615</v>
      </c>
      <c r="I259" s="30" t="n">
        <f aca="false">IF($A259="","",IFERROR(INDEX('Cotação de Materiais'!$H$4:$H$200,MATCH($A259,'Cotação de Materiais'!$A$4:$A$200,0)),IFERROR(INDEX('Mão de Obra e Serviços'!$G$4:$G$200,MATCH($A259,'Mão de Obra e Serviços'!$A$4:$A$200,0)),0)))</f>
        <v>7000</v>
      </c>
      <c r="K259" s="30" t="n">
        <f aca="false">IF($A259="","",I259*H259)</f>
        <v>86.2309355793308</v>
      </c>
      <c r="L259" s="58" t="s">
        <v>495</v>
      </c>
      <c r="M259" s="54" t="str">
        <f aca="false">IF($A259="","",IF(B259="CÓDIGO?","CÓDIGO NÃO ACHADO",IF($D259="","FALTA ITEM DO ANEXO",IF($D259="INDIRETO","",IF(COUNTIFS('Anexo III'!$B$8:$B$400,$D259,'Anexo III'!$E$8:$E$400,"&gt;0")=0,"ITEM NÃO ACHADO NO ANEXO","")))))</f>
        <v/>
      </c>
    </row>
    <row r="260" customFormat="false" ht="15" hidden="false" customHeight="false" outlineLevel="0" collapsed="false">
      <c r="A260" s="52" t="s">
        <v>353</v>
      </c>
      <c r="B260" s="53" t="str">
        <f aca="false">IF($A260="","",IF(ISNUMBER(MATCH($A260,'Cotação de Materiais'!$A$4:$A$200,0)),"MAT",IF(ISNUMBER(MATCH($A260,'Mão de Obra e Serviços'!$A$4:$A$200,0)),"MO","CÓDIGO?")))</f>
        <v>MO</v>
      </c>
      <c r="C260" s="54" t="str">
        <f aca="false">IF($A260="","",IFERROR(INDEX('Cotação de Materiais'!$C$4:$C$200,MATCH($A260,'Cotação de Materiais'!$A$4:$A$200,0)),IFERROR(INDEX('Mão de Obra e Serviços'!$B$4:$B$200,MATCH($A260,'Mão de Obra e Serviços'!$A$4:$A$200,0)),"")))</f>
        <v>Eletricista — EMPREITA</v>
      </c>
      <c r="D260" s="52" t="s">
        <v>418</v>
      </c>
      <c r="E260" s="55" t="n">
        <v>234.29</v>
      </c>
      <c r="F260" s="56" t="n">
        <v>1</v>
      </c>
      <c r="G260" s="57" t="n">
        <f aca="false">IF($A260="","",E260*IF(F260="",1,F260))</f>
        <v>234.29</v>
      </c>
      <c r="H260" s="31" t="n">
        <f aca="false">IF($A260="","",IF(SUMIF($A$6:$A$600,$A260,$G$6:$G$600)=0,0,G260/SUMIF($A$6:$A$600,$A260,$G$6:$G$600)))</f>
        <v>0.0238091850671523</v>
      </c>
      <c r="I260" s="30" t="n">
        <f aca="false">IF($A260="","",IFERROR(INDEX('Cotação de Materiais'!$H$4:$H$200,MATCH($A260,'Cotação de Materiais'!$A$4:$A$200,0)),IFERROR(INDEX('Mão de Obra e Serviços'!$G$4:$G$200,MATCH($A260,'Mão de Obra e Serviços'!$A$4:$A$200,0)),0)))</f>
        <v>7000</v>
      </c>
      <c r="K260" s="30" t="n">
        <f aca="false">IF($A260="","",I260*H260)</f>
        <v>166.664295470066</v>
      </c>
      <c r="L260" s="58" t="s">
        <v>495</v>
      </c>
      <c r="M260" s="54" t="str">
        <f aca="false">IF($A260="","",IF(B260="CÓDIGO?","CÓDIGO NÃO ACHADO",IF($D260="","FALTA ITEM DO ANEXO",IF($D260="INDIRETO","",IF(COUNTIFS('Anexo III'!$B$8:$B$400,$D260,'Anexo III'!$E$8:$E$400,"&gt;0")=0,"ITEM NÃO ACHADO NO ANEXO","")))))</f>
        <v/>
      </c>
    </row>
    <row r="261" customFormat="false" ht="15" hidden="false" customHeight="false" outlineLevel="0" collapsed="false">
      <c r="A261" s="52" t="s">
        <v>356</v>
      </c>
      <c r="B261" s="53" t="str">
        <f aca="false">IF($A261="","",IF(ISNUMBER(MATCH($A261,'Cotação de Materiais'!$A$4:$A$200,0)),"MAT",IF(ISNUMBER(MATCH($A261,'Mão de Obra e Serviços'!$A$4:$A$200,0)),"MO","CÓDIGO?")))</f>
        <v>MO</v>
      </c>
      <c r="C261" s="54" t="str">
        <f aca="false">IF($A261="","",IFERROR(INDEX('Cotação de Materiais'!$C$4:$C$200,MATCH($A261,'Cotação de Materiais'!$A$4:$A$200,0)),IFERROR(INDEX('Mão de Obra e Serviços'!$B$4:$B$200,MATCH($A261,'Mão de Obra e Serviços'!$A$4:$A$200,0)),"")))</f>
        <v>Equipe de Manutenção Expositiva</v>
      </c>
      <c r="D261" s="52" t="s">
        <v>497</v>
      </c>
      <c r="E261" s="55" t="n">
        <v>1</v>
      </c>
      <c r="F261" s="56" t="n">
        <v>1</v>
      </c>
      <c r="G261" s="57" t="n">
        <f aca="false">IF($A261="","",E261*IF(F261="",1,F261))</f>
        <v>1</v>
      </c>
      <c r="H261" s="31" t="n">
        <f aca="false">IF($A261="","",IF(SUMIF($A$6:$A$600,$A261,$G$6:$G$600)=0,0,G261/SUMIF($A$6:$A$600,$A261,$G$6:$G$600)))</f>
        <v>1</v>
      </c>
      <c r="I261" s="30" t="n">
        <f aca="false">IF($A261="","",IFERROR(INDEX('Cotação de Materiais'!$H$4:$H$200,MATCH($A261,'Cotação de Materiais'!$A$4:$A$200,0)),IFERROR(INDEX('Mão de Obra e Serviços'!$G$4:$G$200,MATCH($A261,'Mão de Obra e Serviços'!$A$4:$A$200,0)),0)))</f>
        <v>7200</v>
      </c>
      <c r="K261" s="30" t="n">
        <f aca="false">IF($A261="","",I261*H261)</f>
        <v>7200</v>
      </c>
      <c r="L261" s="58" t="s">
        <v>498</v>
      </c>
      <c r="M261" s="54" t="str">
        <f aca="false">IF($A261="","",IF(B261="CÓDIGO?","CÓDIGO NÃO ACHADO",IF($D261="","FALTA ITEM DO ANEXO",IF($D261="INDIRETO","",IF(COUNTIFS('Anexo III'!$B$8:$B$400,$D261,'Anexo III'!$E$8:$E$400,"&gt;0")=0,"ITEM NÃO ACHADO NO ANEXO","")))))</f>
        <v/>
      </c>
    </row>
    <row r="262" customFormat="false" ht="15" hidden="false" customHeight="false" outlineLevel="0" collapsed="false">
      <c r="A262" s="52" t="s">
        <v>359</v>
      </c>
      <c r="B262" s="53" t="str">
        <f aca="false">IF($A262="","",IF(ISNUMBER(MATCH($A262,'Cotação de Materiais'!$A$4:$A$200,0)),"MAT",IF(ISNUMBER(MATCH($A262,'Mão de Obra e Serviços'!$A$4:$A$200,0)),"MO","CÓDIGO?")))</f>
        <v>MO</v>
      </c>
      <c r="C262" s="54" t="str">
        <f aca="false">IF($A262="","",IFERROR(INDEX('Cotação de Materiais'!$C$4:$C$200,MATCH($A262,'Cotação de Materiais'!$A$4:$A$200,0)),IFERROR(INDEX('Mão de Obra e Serviços'!$B$4:$B$200,MATCH($A262,'Mão de Obra e Serviços'!$A$4:$A$200,0)),"")))</f>
        <v>Alimentação (Campo SESC)</v>
      </c>
      <c r="D262" s="52" t="s">
        <v>477</v>
      </c>
      <c r="E262" s="55" t="n">
        <v>1</v>
      </c>
      <c r="F262" s="56" t="n">
        <v>1</v>
      </c>
      <c r="G262" s="57" t="n">
        <f aca="false">IF($A262="","",E262*IF(F262="",1,F262))</f>
        <v>1</v>
      </c>
      <c r="H262" s="31" t="n">
        <f aca="false">IF($A262="","",IF(SUMIF($A$6:$A$600,$A262,$G$6:$G$600)=0,0,G262/SUMIF($A$6:$A$600,$A262,$G$6:$G$600)))</f>
        <v>1</v>
      </c>
      <c r="I262" s="30" t="n">
        <f aca="false">IF($A262="","",IFERROR(INDEX('Cotação de Materiais'!$H$4:$H$200,MATCH($A262,'Cotação de Materiais'!$A$4:$A$200,0)),IFERROR(INDEX('Mão de Obra e Serviços'!$G$4:$G$200,MATCH($A262,'Mão de Obra e Serviços'!$A$4:$A$200,0)),0)))</f>
        <v>5936</v>
      </c>
      <c r="K262" s="30" t="n">
        <f aca="false">IF($A262="","",I262*H262)</f>
        <v>5936</v>
      </c>
      <c r="L262" s="58" t="s">
        <v>499</v>
      </c>
      <c r="M262" s="54" t="str">
        <f aca="false">IF($A262="","",IF(B262="CÓDIGO?","CÓDIGO NÃO ACHADO",IF($D262="","FALTA ITEM DO ANEXO",IF($D262="INDIRETO","",IF(COUNTIFS('Anexo III'!$B$8:$B$400,$D262,'Anexo III'!$E$8:$E$400,"&gt;0")=0,"ITEM NÃO ACHADO NO ANEXO","")))))</f>
        <v/>
      </c>
    </row>
    <row r="263" customFormat="false" ht="15" hidden="false" customHeight="false" outlineLevel="0" collapsed="false">
      <c r="A263" s="52" t="s">
        <v>362</v>
      </c>
      <c r="B263" s="53" t="str">
        <f aca="false">IF($A263="","",IF(ISNUMBER(MATCH($A263,'Cotação de Materiais'!$A$4:$A$200,0)),"MAT",IF(ISNUMBER(MATCH($A263,'Mão de Obra e Serviços'!$A$4:$A$200,0)),"MO","CÓDIGO?")))</f>
        <v>MO</v>
      </c>
      <c r="C263" s="54" t="str">
        <f aca="false">IF($A263="","",IFERROR(INDEX('Cotação de Materiais'!$C$4:$C$200,MATCH($A263,'Cotação de Materiais'!$A$4:$A$200,0)),IFERROR(INDEX('Mão de Obra e Serviços'!$B$4:$B$200,MATCH($A263,'Mão de Obra e Serviços'!$A$4:$A$200,0)),"")))</f>
        <v>Alimentação (Galpão de Marcenaria)</v>
      </c>
      <c r="D263" s="52" t="s">
        <v>477</v>
      </c>
      <c r="E263" s="55" t="n">
        <v>1</v>
      </c>
      <c r="F263" s="56" t="n">
        <v>1</v>
      </c>
      <c r="G263" s="57" t="n">
        <f aca="false">IF($A263="","",E263*IF(F263="",1,F263))</f>
        <v>1</v>
      </c>
      <c r="H263" s="31" t="n">
        <f aca="false">IF($A263="","",IF(SUMIF($A$6:$A$600,$A263,$G$6:$G$600)=0,0,G263/SUMIF($A$6:$A$600,$A263,$G$6:$G$600)))</f>
        <v>1</v>
      </c>
      <c r="I263" s="30" t="n">
        <f aca="false">IF($A263="","",IFERROR(INDEX('Cotação de Materiais'!$H$4:$H$200,MATCH($A263,'Cotação de Materiais'!$A$4:$A$200,0)),IFERROR(INDEX('Mão de Obra e Serviços'!$G$4:$G$200,MATCH($A263,'Mão de Obra e Serviços'!$A$4:$A$200,0)),0)))</f>
        <v>480</v>
      </c>
      <c r="K263" s="30" t="n">
        <f aca="false">IF($A263="","",I263*H263)</f>
        <v>480</v>
      </c>
      <c r="L263" s="58" t="s">
        <v>499</v>
      </c>
      <c r="M263" s="54" t="str">
        <f aca="false">IF($A263="","",IF(B263="CÓDIGO?","CÓDIGO NÃO ACHADO",IF($D263="","FALTA ITEM DO ANEXO",IF($D263="INDIRETO","",IF(COUNTIFS('Anexo III'!$B$8:$B$400,$D263,'Anexo III'!$E$8:$E$400,"&gt;0")=0,"ITEM NÃO ACHADO NO ANEXO","")))))</f>
        <v/>
      </c>
    </row>
    <row r="264" customFormat="false" ht="15" hidden="false" customHeight="false" outlineLevel="0" collapsed="false">
      <c r="A264" s="52" t="s">
        <v>365</v>
      </c>
      <c r="B264" s="53" t="str">
        <f aca="false">IF($A264="","",IF(ISNUMBER(MATCH($A264,'Cotação de Materiais'!$A$4:$A$200,0)),"MAT",IF(ISNUMBER(MATCH($A264,'Mão de Obra e Serviços'!$A$4:$A$200,0)),"MO","CÓDIGO?")))</f>
        <v>MO</v>
      </c>
      <c r="C264" s="54" t="str">
        <f aca="false">IF($A264="","",IFERROR(INDEX('Cotação de Materiais'!$C$4:$C$200,MATCH($A264,'Cotação de Materiais'!$A$4:$A$200,0)),IFERROR(INDEX('Mão de Obra e Serviços'!$B$4:$B$200,MATCH($A264,'Mão de Obra e Serviços'!$A$4:$A$200,0)),"")))</f>
        <v>Deslocamento (Campo SESC)</v>
      </c>
      <c r="D264" s="52" t="s">
        <v>477</v>
      </c>
      <c r="E264" s="55" t="n">
        <v>1</v>
      </c>
      <c r="F264" s="56" t="n">
        <v>1</v>
      </c>
      <c r="G264" s="57" t="n">
        <f aca="false">IF($A264="","",E264*IF(F264="",1,F264))</f>
        <v>1</v>
      </c>
      <c r="H264" s="31" t="n">
        <f aca="false">IF($A264="","",IF(SUMIF($A$6:$A$600,$A264,$G$6:$G$600)=0,0,G264/SUMIF($A$6:$A$600,$A264,$G$6:$G$600)))</f>
        <v>1</v>
      </c>
      <c r="I264" s="30" t="n">
        <f aca="false">IF($A264="","",IFERROR(INDEX('Cotação de Materiais'!$H$4:$H$200,MATCH($A264,'Cotação de Materiais'!$A$4:$A$200,0)),IFERROR(INDEX('Mão de Obra e Serviços'!$G$4:$G$200,MATCH($A264,'Mão de Obra e Serviços'!$A$4:$A$200,0)),0)))</f>
        <v>3180</v>
      </c>
      <c r="K264" s="30" t="n">
        <f aca="false">IF($A264="","",I264*H264)</f>
        <v>3180</v>
      </c>
      <c r="L264" s="58" t="s">
        <v>499</v>
      </c>
      <c r="M264" s="54" t="str">
        <f aca="false">IF($A264="","",IF(B264="CÓDIGO?","CÓDIGO NÃO ACHADO",IF($D264="","FALTA ITEM DO ANEXO",IF($D264="INDIRETO","",IF(COUNTIFS('Anexo III'!$B$8:$B$400,$D264,'Anexo III'!$E$8:$E$400,"&gt;0")=0,"ITEM NÃO ACHADO NO ANEXO","")))))</f>
        <v/>
      </c>
    </row>
    <row r="265" customFormat="false" ht="15" hidden="false" customHeight="false" outlineLevel="0" collapsed="false">
      <c r="A265" s="52" t="s">
        <v>368</v>
      </c>
      <c r="B265" s="53" t="str">
        <f aca="false">IF($A265="","",IF(ISNUMBER(MATCH($A265,'Cotação de Materiais'!$A$4:$A$200,0)),"MAT",IF(ISNUMBER(MATCH($A265,'Mão de Obra e Serviços'!$A$4:$A$200,0)),"MO","CÓDIGO?")))</f>
        <v>MO</v>
      </c>
      <c r="C265" s="54" t="str">
        <f aca="false">IF($A265="","",IFERROR(INDEX('Cotação de Materiais'!$C$4:$C$200,MATCH($A265,'Cotação de Materiais'!$A$4:$A$200,0)),IFERROR(INDEX('Mão de Obra e Serviços'!$B$4:$B$200,MATCH($A265,'Mão de Obra e Serviços'!$A$4:$A$200,0)),"")))</f>
        <v>Combustível do carro de produção</v>
      </c>
      <c r="D265" s="52" t="s">
        <v>477</v>
      </c>
      <c r="E265" s="55" t="n">
        <v>1</v>
      </c>
      <c r="F265" s="56" t="n">
        <v>1</v>
      </c>
      <c r="G265" s="57" t="n">
        <f aca="false">IF($A265="","",E265*IF(F265="",1,F265))</f>
        <v>1</v>
      </c>
      <c r="H265" s="31" t="n">
        <f aca="false">IF($A265="","",IF(SUMIF($A$6:$A$600,$A265,$G$6:$G$600)=0,0,G265/SUMIF($A$6:$A$600,$A265,$G$6:$G$600)))</f>
        <v>1</v>
      </c>
      <c r="I265" s="30" t="n">
        <f aca="false">IF($A265="","",IFERROR(INDEX('Cotação de Materiais'!$H$4:$H$200,MATCH($A265,'Cotação de Materiais'!$A$4:$A$200,0)),IFERROR(INDEX('Mão de Obra e Serviços'!$G$4:$G$200,MATCH($A265,'Mão de Obra e Serviços'!$A$4:$A$200,0)),0)))</f>
        <v>600</v>
      </c>
      <c r="K265" s="30" t="n">
        <f aca="false">IF($A265="","",I265*H265)</f>
        <v>600</v>
      </c>
      <c r="L265" s="58" t="s">
        <v>499</v>
      </c>
      <c r="M265" s="54" t="str">
        <f aca="false">IF($A265="","",IF(B265="CÓDIGO?","CÓDIGO NÃO ACHADO",IF($D265="","FALTA ITEM DO ANEXO",IF($D265="INDIRETO","",IF(COUNTIFS('Anexo III'!$B$8:$B$400,$D265,'Anexo III'!$E$8:$E$400,"&gt;0")=0,"ITEM NÃO ACHADO NO ANEXO","")))))</f>
        <v/>
      </c>
    </row>
    <row r="266" customFormat="false" ht="15" hidden="false" customHeight="false" outlineLevel="0" collapsed="false">
      <c r="A266" s="52" t="s">
        <v>371</v>
      </c>
      <c r="B266" s="53" t="str">
        <f aca="false">IF($A266="","",IF(ISNUMBER(MATCH($A266,'Cotação de Materiais'!$A$4:$A$200,0)),"MAT",IF(ISNUMBER(MATCH($A266,'Mão de Obra e Serviços'!$A$4:$A$200,0)),"MO","CÓDIGO?")))</f>
        <v>MO</v>
      </c>
      <c r="C266" s="54" t="str">
        <f aca="false">IF($A266="","",IFERROR(INDEX('Cotação de Materiais'!$C$4:$C$200,MATCH($A266,'Cotação de Materiais'!$A$4:$A$200,0)),IFERROR(INDEX('Mão de Obra e Serviços'!$B$4:$B$200,MATCH($A266,'Mão de Obra e Serviços'!$A$4:$A$200,0)),"")))</f>
        <v>Frete</v>
      </c>
      <c r="D266" s="52" t="s">
        <v>477</v>
      </c>
      <c r="E266" s="55" t="n">
        <v>1</v>
      </c>
      <c r="F266" s="56" t="n">
        <v>1</v>
      </c>
      <c r="G266" s="57" t="n">
        <f aca="false">IF($A266="","",E266*IF(F266="",1,F266))</f>
        <v>1</v>
      </c>
      <c r="H266" s="31" t="n">
        <f aca="false">IF($A266="","",IF(SUMIF($A$6:$A$600,$A266,$G$6:$G$600)=0,0,G266/SUMIF($A$6:$A$600,$A266,$G$6:$G$600)))</f>
        <v>1</v>
      </c>
      <c r="I266" s="30" t="n">
        <f aca="false">IF($A266="","",IFERROR(INDEX('Cotação de Materiais'!$H$4:$H$200,MATCH($A266,'Cotação de Materiais'!$A$4:$A$200,0)),IFERROR(INDEX('Mão de Obra e Serviços'!$G$4:$G$200,MATCH($A266,'Mão de Obra e Serviços'!$A$4:$A$200,0)),0)))</f>
        <v>1800</v>
      </c>
      <c r="K266" s="30" t="n">
        <f aca="false">IF($A266="","",I266*H266)</f>
        <v>1800</v>
      </c>
      <c r="L266" s="58" t="s">
        <v>499</v>
      </c>
      <c r="M266" s="54" t="str">
        <f aca="false">IF($A266="","",IF(B266="CÓDIGO?","CÓDIGO NÃO ACHADO",IF($D266="","FALTA ITEM DO ANEXO",IF($D266="INDIRETO","",IF(COUNTIFS('Anexo III'!$B$8:$B$400,$D266,'Anexo III'!$E$8:$E$400,"&gt;0")=0,"ITEM NÃO ACHADO NO ANEXO","")))))</f>
        <v/>
      </c>
    </row>
    <row r="267" customFormat="false" ht="15" hidden="false" customHeight="false" outlineLevel="0" collapsed="false">
      <c r="A267" s="52" t="s">
        <v>375</v>
      </c>
      <c r="B267" s="53" t="str">
        <f aca="false">IF($A267="","",IF(ISNUMBER(MATCH($A267,'Cotação de Materiais'!$A$4:$A$200,0)),"MAT",IF(ISNUMBER(MATCH($A267,'Mão de Obra e Serviços'!$A$4:$A$200,0)),"MO","CÓDIGO?")))</f>
        <v>MO</v>
      </c>
      <c r="C267" s="54" t="str">
        <f aca="false">IF($A267="","",IFERROR(INDEX('Cotação de Materiais'!$C$4:$C$200,MATCH($A267,'Cotação de Materiais'!$A$4:$A$200,0)),IFERROR(INDEX('Mão de Obra e Serviços'!$B$4:$B$200,MATCH($A267,'Mão de Obra e Serviços'!$A$4:$A$200,0)),"")))</f>
        <v>ART — referência interna</v>
      </c>
      <c r="D267" s="52" t="s">
        <v>477</v>
      </c>
      <c r="E267" s="55" t="n">
        <v>1</v>
      </c>
      <c r="F267" s="56" t="n">
        <v>1</v>
      </c>
      <c r="G267" s="57" t="n">
        <f aca="false">IF($A267="","",E267*IF(F267="",1,F267))</f>
        <v>1</v>
      </c>
      <c r="H267" s="31" t="n">
        <f aca="false">IF($A267="","",IF(SUMIF($A$6:$A$600,$A267,$G$6:$G$600)=0,0,G267/SUMIF($A$6:$A$600,$A267,$G$6:$G$600)))</f>
        <v>1</v>
      </c>
      <c r="I267" s="30" t="n">
        <f aca="false">IF($A267="","",IFERROR(INDEX('Cotação de Materiais'!$H$4:$H$200,MATCH($A267,'Cotação de Materiais'!$A$4:$A$200,0)),IFERROR(INDEX('Mão de Obra e Serviços'!$G$4:$G$200,MATCH($A267,'Mão de Obra e Serviços'!$A$4:$A$200,0)),0)))</f>
        <v>1500</v>
      </c>
      <c r="K267" s="30" t="n">
        <f aca="false">IF($A267="","",I267*H267)</f>
        <v>1500</v>
      </c>
      <c r="L267" s="58" t="s">
        <v>499</v>
      </c>
      <c r="M267" s="54" t="str">
        <f aca="false">IF($A267="","",IF(B267="CÓDIGO?","CÓDIGO NÃO ACHADO",IF($D267="","FALTA ITEM DO ANEXO",IF($D267="INDIRETO","",IF(COUNTIFS('Anexo III'!$B$8:$B$400,$D267,'Anexo III'!$E$8:$E$400,"&gt;0")=0,"ITEM NÃO ACHADO NO ANEXO","")))))</f>
        <v/>
      </c>
    </row>
    <row r="268" customFormat="false" ht="15" hidden="false" customHeight="false" outlineLevel="0" collapsed="false">
      <c r="A268" s="43"/>
      <c r="B268" s="53" t="str">
        <f aca="false">IF($A268="","",IF(ISNUMBER(MATCH($A268,'Cotação de Materiais'!$A$4:$A$200,0)),"MAT",IF(ISNUMBER(MATCH($A268,'Mão de Obra e Serviços'!$A$4:$A$200,0)),"MO","CÓDIGO?")))</f>
        <v/>
      </c>
      <c r="C268" s="54" t="str">
        <f aca="false">IF($A268="","",IFERROR(INDEX('Cotação de Materiais'!$C$4:$C$200,MATCH($A268,'Cotação de Materiais'!$A$4:$A$200,0)),IFERROR(INDEX('Mão de Obra e Serviços'!$B$4:$B$200,MATCH($A268,'Mão de Obra e Serviços'!$A$4:$A$200,0)),"")))</f>
        <v/>
      </c>
      <c r="D268" s="43"/>
      <c r="E268" s="43"/>
      <c r="F268" s="43"/>
      <c r="G268" s="57" t="str">
        <f aca="false">IF($A268="","",E268*IF(F268="",1,F268))</f>
        <v/>
      </c>
      <c r="H268" s="31" t="str">
        <f aca="false">IF($A268="","",IF(SUMIF($A$6:$A$600,$A268,$G$6:$G$600)=0,0,G268/SUMIF($A$6:$A$600,$A268,$G$6:$G$600)))</f>
        <v/>
      </c>
      <c r="I268" s="30" t="str">
        <f aca="false">IF($A268="","",IFERROR(INDEX('Cotação de Materiais'!$H$4:$H$200,MATCH($A268,'Cotação de Materiais'!$A$4:$A$200,0)),IFERROR(INDEX('Mão de Obra e Serviços'!$G$4:$G$200,MATCH($A268,'Mão de Obra e Serviços'!$A$4:$A$200,0)),0)))</f>
        <v/>
      </c>
      <c r="K268" s="30" t="str">
        <f aca="false">IF($A268="","",I268*H268)</f>
        <v/>
      </c>
      <c r="L268" s="58"/>
      <c r="M268" s="54" t="str">
        <f aca="false">IF($A268="","",IF(B268="CÓDIGO?","CÓDIGO NÃO ACHADO",IF($D268="","FALTA ITEM DO ANEXO",IF($D268="INDIRETO","",IF(COUNTIFS('Anexo III'!$B$8:$B$400,$D268,'Anexo III'!$E$8:$E$400,"&gt;0")=0,"ITEM NÃO ACHADO NO ANEXO","")))))</f>
        <v/>
      </c>
    </row>
    <row r="269" customFormat="false" ht="15" hidden="false" customHeight="false" outlineLevel="0" collapsed="false">
      <c r="A269" s="43"/>
      <c r="B269" s="53" t="str">
        <f aca="false">IF($A269="","",IF(ISNUMBER(MATCH($A269,'Cotação de Materiais'!$A$4:$A$200,0)),"MAT",IF(ISNUMBER(MATCH($A269,'Mão de Obra e Serviços'!$A$4:$A$200,0)),"MO","CÓDIGO?")))</f>
        <v/>
      </c>
      <c r="C269" s="54" t="str">
        <f aca="false">IF($A269="","",IFERROR(INDEX('Cotação de Materiais'!$C$4:$C$200,MATCH($A269,'Cotação de Materiais'!$A$4:$A$200,0)),IFERROR(INDEX('Mão de Obra e Serviços'!$B$4:$B$200,MATCH($A269,'Mão de Obra e Serviços'!$A$4:$A$200,0)),"")))</f>
        <v/>
      </c>
      <c r="D269" s="43"/>
      <c r="E269" s="43"/>
      <c r="F269" s="43"/>
      <c r="G269" s="57" t="str">
        <f aca="false">IF($A269="","",E269*IF(F269="",1,F269))</f>
        <v/>
      </c>
      <c r="H269" s="31" t="str">
        <f aca="false">IF($A269="","",IF(SUMIF($A$6:$A$600,$A269,$G$6:$G$600)=0,0,G269/SUMIF($A$6:$A$600,$A269,$G$6:$G$600)))</f>
        <v/>
      </c>
      <c r="I269" s="30" t="str">
        <f aca="false">IF($A269="","",IFERROR(INDEX('Cotação de Materiais'!$H$4:$H$200,MATCH($A269,'Cotação de Materiais'!$A$4:$A$200,0)),IFERROR(INDEX('Mão de Obra e Serviços'!$G$4:$G$200,MATCH($A269,'Mão de Obra e Serviços'!$A$4:$A$200,0)),0)))</f>
        <v/>
      </c>
      <c r="K269" s="30" t="str">
        <f aca="false">IF($A269="","",I269*H269)</f>
        <v/>
      </c>
      <c r="L269" s="58"/>
      <c r="M269" s="54" t="str">
        <f aca="false">IF($A269="","",IF(B269="CÓDIGO?","CÓDIGO NÃO ACHADO",IF($D269="","FALTA ITEM DO ANEXO",IF($D269="INDIRETO","",IF(COUNTIFS('Anexo III'!$B$8:$B$400,$D269,'Anexo III'!$E$8:$E$400,"&gt;0")=0,"ITEM NÃO ACHADO NO ANEXO","")))))</f>
        <v/>
      </c>
    </row>
    <row r="270" customFormat="false" ht="15" hidden="false" customHeight="false" outlineLevel="0" collapsed="false">
      <c r="A270" s="43"/>
      <c r="B270" s="53" t="str">
        <f aca="false">IF($A270="","",IF(ISNUMBER(MATCH($A270,'Cotação de Materiais'!$A$4:$A$200,0)),"MAT",IF(ISNUMBER(MATCH($A270,'Mão de Obra e Serviços'!$A$4:$A$200,0)),"MO","CÓDIGO?")))</f>
        <v/>
      </c>
      <c r="C270" s="54" t="str">
        <f aca="false">IF($A270="","",IFERROR(INDEX('Cotação de Materiais'!$C$4:$C$200,MATCH($A270,'Cotação de Materiais'!$A$4:$A$200,0)),IFERROR(INDEX('Mão de Obra e Serviços'!$B$4:$B$200,MATCH($A270,'Mão de Obra e Serviços'!$A$4:$A$200,0)),"")))</f>
        <v/>
      </c>
      <c r="D270" s="43"/>
      <c r="E270" s="43"/>
      <c r="F270" s="43"/>
      <c r="G270" s="57" t="str">
        <f aca="false">IF($A270="","",E270*IF(F270="",1,F270))</f>
        <v/>
      </c>
      <c r="H270" s="31" t="str">
        <f aca="false">IF($A270="","",IF(SUMIF($A$6:$A$600,$A270,$G$6:$G$600)=0,0,G270/SUMIF($A$6:$A$600,$A270,$G$6:$G$600)))</f>
        <v/>
      </c>
      <c r="I270" s="30" t="str">
        <f aca="false">IF($A270="","",IFERROR(INDEX('Cotação de Materiais'!$H$4:$H$200,MATCH($A270,'Cotação de Materiais'!$A$4:$A$200,0)),IFERROR(INDEX('Mão de Obra e Serviços'!$G$4:$G$200,MATCH($A270,'Mão de Obra e Serviços'!$A$4:$A$200,0)),0)))</f>
        <v/>
      </c>
      <c r="K270" s="30" t="str">
        <f aca="false">IF($A270="","",I270*H270)</f>
        <v/>
      </c>
      <c r="L270" s="58"/>
      <c r="M270" s="54" t="str">
        <f aca="false">IF($A270="","",IF(B270="CÓDIGO?","CÓDIGO NÃO ACHADO",IF($D270="","FALTA ITEM DO ANEXO",IF($D270="INDIRETO","",IF(COUNTIFS('Anexo III'!$B$8:$B$400,$D270,'Anexo III'!$E$8:$E$400,"&gt;0")=0,"ITEM NÃO ACHADO NO ANEXO","")))))</f>
        <v/>
      </c>
    </row>
    <row r="271" customFormat="false" ht="15" hidden="false" customHeight="false" outlineLevel="0" collapsed="false">
      <c r="A271" s="43"/>
      <c r="B271" s="53" t="str">
        <f aca="false">IF($A271="","",IF(ISNUMBER(MATCH($A271,'Cotação de Materiais'!$A$4:$A$200,0)),"MAT",IF(ISNUMBER(MATCH($A271,'Mão de Obra e Serviços'!$A$4:$A$200,0)),"MO","CÓDIGO?")))</f>
        <v/>
      </c>
      <c r="C271" s="54" t="str">
        <f aca="false">IF($A271="","",IFERROR(INDEX('Cotação de Materiais'!$C$4:$C$200,MATCH($A271,'Cotação de Materiais'!$A$4:$A$200,0)),IFERROR(INDEX('Mão de Obra e Serviços'!$B$4:$B$200,MATCH($A271,'Mão de Obra e Serviços'!$A$4:$A$200,0)),"")))</f>
        <v/>
      </c>
      <c r="D271" s="43"/>
      <c r="E271" s="43"/>
      <c r="F271" s="43"/>
      <c r="G271" s="57" t="str">
        <f aca="false">IF($A271="","",E271*IF(F271="",1,F271))</f>
        <v/>
      </c>
      <c r="H271" s="31" t="str">
        <f aca="false">IF($A271="","",IF(SUMIF($A$6:$A$600,$A271,$G$6:$G$600)=0,0,G271/SUMIF($A$6:$A$600,$A271,$G$6:$G$600)))</f>
        <v/>
      </c>
      <c r="I271" s="30" t="str">
        <f aca="false">IF($A271="","",IFERROR(INDEX('Cotação de Materiais'!$H$4:$H$200,MATCH($A271,'Cotação de Materiais'!$A$4:$A$200,0)),IFERROR(INDEX('Mão de Obra e Serviços'!$G$4:$G$200,MATCH($A271,'Mão de Obra e Serviços'!$A$4:$A$200,0)),0)))</f>
        <v/>
      </c>
      <c r="K271" s="30" t="str">
        <f aca="false">IF($A271="","",I271*H271)</f>
        <v/>
      </c>
      <c r="L271" s="58"/>
      <c r="M271" s="54" t="str">
        <f aca="false">IF($A271="","",IF(B271="CÓDIGO?","CÓDIGO NÃO ACHADO",IF($D271="","FALTA ITEM DO ANEXO",IF($D271="INDIRETO","",IF(COUNTIFS('Anexo III'!$B$8:$B$400,$D271,'Anexo III'!$E$8:$E$400,"&gt;0")=0,"ITEM NÃO ACHADO NO ANEXO","")))))</f>
        <v/>
      </c>
    </row>
    <row r="272" customFormat="false" ht="15" hidden="false" customHeight="false" outlineLevel="0" collapsed="false">
      <c r="A272" s="43"/>
      <c r="B272" s="53" t="str">
        <f aca="false">IF($A272="","",IF(ISNUMBER(MATCH($A272,'Cotação de Materiais'!$A$4:$A$200,0)),"MAT",IF(ISNUMBER(MATCH($A272,'Mão de Obra e Serviços'!$A$4:$A$200,0)),"MO","CÓDIGO?")))</f>
        <v/>
      </c>
      <c r="C272" s="54" t="str">
        <f aca="false">IF($A272="","",IFERROR(INDEX('Cotação de Materiais'!$C$4:$C$200,MATCH($A272,'Cotação de Materiais'!$A$4:$A$200,0)),IFERROR(INDEX('Mão de Obra e Serviços'!$B$4:$B$200,MATCH($A272,'Mão de Obra e Serviços'!$A$4:$A$200,0)),"")))</f>
        <v/>
      </c>
      <c r="D272" s="43"/>
      <c r="E272" s="43"/>
      <c r="F272" s="43"/>
      <c r="G272" s="57" t="str">
        <f aca="false">IF($A272="","",E272*IF(F272="",1,F272))</f>
        <v/>
      </c>
      <c r="H272" s="31" t="str">
        <f aca="false">IF($A272="","",IF(SUMIF($A$6:$A$600,$A272,$G$6:$G$600)=0,0,G272/SUMIF($A$6:$A$600,$A272,$G$6:$G$600)))</f>
        <v/>
      </c>
      <c r="I272" s="30" t="str">
        <f aca="false">IF($A272="","",IFERROR(INDEX('Cotação de Materiais'!$H$4:$H$200,MATCH($A272,'Cotação de Materiais'!$A$4:$A$200,0)),IFERROR(INDEX('Mão de Obra e Serviços'!$G$4:$G$200,MATCH($A272,'Mão de Obra e Serviços'!$A$4:$A$200,0)),0)))</f>
        <v/>
      </c>
      <c r="K272" s="30" t="str">
        <f aca="false">IF($A272="","",I272*H272)</f>
        <v/>
      </c>
      <c r="L272" s="58"/>
      <c r="M272" s="54" t="str">
        <f aca="false">IF($A272="","",IF(B272="CÓDIGO?","CÓDIGO NÃO ACHADO",IF($D272="","FALTA ITEM DO ANEXO",IF($D272="INDIRETO","",IF(COUNTIFS('Anexo III'!$B$8:$B$400,$D272,'Anexo III'!$E$8:$E$400,"&gt;0")=0,"ITEM NÃO ACHADO NO ANEXO","")))))</f>
        <v/>
      </c>
    </row>
    <row r="273" customFormat="false" ht="15" hidden="false" customHeight="false" outlineLevel="0" collapsed="false">
      <c r="A273" s="43"/>
      <c r="B273" s="53" t="str">
        <f aca="false">IF($A273="","",IF(ISNUMBER(MATCH($A273,'Cotação de Materiais'!$A$4:$A$200,0)),"MAT",IF(ISNUMBER(MATCH($A273,'Mão de Obra e Serviços'!$A$4:$A$200,0)),"MO","CÓDIGO?")))</f>
        <v/>
      </c>
      <c r="C273" s="54" t="str">
        <f aca="false">IF($A273="","",IFERROR(INDEX('Cotação de Materiais'!$C$4:$C$200,MATCH($A273,'Cotação de Materiais'!$A$4:$A$200,0)),IFERROR(INDEX('Mão de Obra e Serviços'!$B$4:$B$200,MATCH($A273,'Mão de Obra e Serviços'!$A$4:$A$200,0)),"")))</f>
        <v/>
      </c>
      <c r="D273" s="43"/>
      <c r="E273" s="43"/>
      <c r="F273" s="43"/>
      <c r="G273" s="57" t="str">
        <f aca="false">IF($A273="","",E273*IF(F273="",1,F273))</f>
        <v/>
      </c>
      <c r="H273" s="31" t="str">
        <f aca="false">IF($A273="","",IF(SUMIF($A$6:$A$600,$A273,$G$6:$G$600)=0,0,G273/SUMIF($A$6:$A$600,$A273,$G$6:$G$600)))</f>
        <v/>
      </c>
      <c r="I273" s="30" t="str">
        <f aca="false">IF($A273="","",IFERROR(INDEX('Cotação de Materiais'!$H$4:$H$200,MATCH($A273,'Cotação de Materiais'!$A$4:$A$200,0)),IFERROR(INDEX('Mão de Obra e Serviços'!$G$4:$G$200,MATCH($A273,'Mão de Obra e Serviços'!$A$4:$A$200,0)),0)))</f>
        <v/>
      </c>
      <c r="K273" s="30" t="str">
        <f aca="false">IF($A273="","",I273*H273)</f>
        <v/>
      </c>
      <c r="L273" s="58"/>
      <c r="M273" s="54" t="str">
        <f aca="false">IF($A273="","",IF(B273="CÓDIGO?","CÓDIGO NÃO ACHADO",IF($D273="","FALTA ITEM DO ANEXO",IF($D273="INDIRETO","",IF(COUNTIFS('Anexo III'!$B$8:$B$400,$D273,'Anexo III'!$E$8:$E$400,"&gt;0")=0,"ITEM NÃO ACHADO NO ANEXO","")))))</f>
        <v/>
      </c>
    </row>
    <row r="274" customFormat="false" ht="15" hidden="false" customHeight="false" outlineLevel="0" collapsed="false">
      <c r="A274" s="43"/>
      <c r="B274" s="53" t="str">
        <f aca="false">IF($A274="","",IF(ISNUMBER(MATCH($A274,'Cotação de Materiais'!$A$4:$A$200,0)),"MAT",IF(ISNUMBER(MATCH($A274,'Mão de Obra e Serviços'!$A$4:$A$200,0)),"MO","CÓDIGO?")))</f>
        <v/>
      </c>
      <c r="C274" s="54" t="str">
        <f aca="false">IF($A274="","",IFERROR(INDEX('Cotação de Materiais'!$C$4:$C$200,MATCH($A274,'Cotação de Materiais'!$A$4:$A$200,0)),IFERROR(INDEX('Mão de Obra e Serviços'!$B$4:$B$200,MATCH($A274,'Mão de Obra e Serviços'!$A$4:$A$200,0)),"")))</f>
        <v/>
      </c>
      <c r="D274" s="43"/>
      <c r="E274" s="43"/>
      <c r="F274" s="43"/>
      <c r="G274" s="57" t="str">
        <f aca="false">IF($A274="","",E274*IF(F274="",1,F274))</f>
        <v/>
      </c>
      <c r="H274" s="31" t="str">
        <f aca="false">IF($A274="","",IF(SUMIF($A$6:$A$600,$A274,$G$6:$G$600)=0,0,G274/SUMIF($A$6:$A$600,$A274,$G$6:$G$600)))</f>
        <v/>
      </c>
      <c r="I274" s="30" t="str">
        <f aca="false">IF($A274="","",IFERROR(INDEX('Cotação de Materiais'!$H$4:$H$200,MATCH($A274,'Cotação de Materiais'!$A$4:$A$200,0)),IFERROR(INDEX('Mão de Obra e Serviços'!$G$4:$G$200,MATCH($A274,'Mão de Obra e Serviços'!$A$4:$A$200,0)),0)))</f>
        <v/>
      </c>
      <c r="K274" s="30" t="str">
        <f aca="false">IF($A274="","",I274*H274)</f>
        <v/>
      </c>
      <c r="L274" s="58"/>
      <c r="M274" s="54" t="str">
        <f aca="false">IF($A274="","",IF(B274="CÓDIGO?","CÓDIGO NÃO ACHADO",IF($D274="","FALTA ITEM DO ANEXO",IF($D274="INDIRETO","",IF(COUNTIFS('Anexo III'!$B$8:$B$400,$D274,'Anexo III'!$E$8:$E$400,"&gt;0")=0,"ITEM NÃO ACHADO NO ANEXO","")))))</f>
        <v/>
      </c>
    </row>
    <row r="275" customFormat="false" ht="15" hidden="false" customHeight="false" outlineLevel="0" collapsed="false">
      <c r="A275" s="43"/>
      <c r="B275" s="53" t="str">
        <f aca="false">IF($A275="","",IF(ISNUMBER(MATCH($A275,'Cotação de Materiais'!$A$4:$A$200,0)),"MAT",IF(ISNUMBER(MATCH($A275,'Mão de Obra e Serviços'!$A$4:$A$200,0)),"MO","CÓDIGO?")))</f>
        <v/>
      </c>
      <c r="C275" s="54" t="str">
        <f aca="false">IF($A275="","",IFERROR(INDEX('Cotação de Materiais'!$C$4:$C$200,MATCH($A275,'Cotação de Materiais'!$A$4:$A$200,0)),IFERROR(INDEX('Mão de Obra e Serviços'!$B$4:$B$200,MATCH($A275,'Mão de Obra e Serviços'!$A$4:$A$200,0)),"")))</f>
        <v/>
      </c>
      <c r="D275" s="43"/>
      <c r="E275" s="43"/>
      <c r="F275" s="43"/>
      <c r="G275" s="57" t="str">
        <f aca="false">IF($A275="","",E275*IF(F275="",1,F275))</f>
        <v/>
      </c>
      <c r="H275" s="31" t="str">
        <f aca="false">IF($A275="","",IF(SUMIF($A$6:$A$600,$A275,$G$6:$G$600)=0,0,G275/SUMIF($A$6:$A$600,$A275,$G$6:$G$600)))</f>
        <v/>
      </c>
      <c r="I275" s="30" t="str">
        <f aca="false">IF($A275="","",IFERROR(INDEX('Cotação de Materiais'!$H$4:$H$200,MATCH($A275,'Cotação de Materiais'!$A$4:$A$200,0)),IFERROR(INDEX('Mão de Obra e Serviços'!$G$4:$G$200,MATCH($A275,'Mão de Obra e Serviços'!$A$4:$A$200,0)),0)))</f>
        <v/>
      </c>
      <c r="K275" s="30" t="str">
        <f aca="false">IF($A275="","",I275*H275)</f>
        <v/>
      </c>
      <c r="L275" s="58"/>
      <c r="M275" s="54" t="str">
        <f aca="false">IF($A275="","",IF(B275="CÓDIGO?","CÓDIGO NÃO ACHADO",IF($D275="","FALTA ITEM DO ANEXO",IF($D275="INDIRETO","",IF(COUNTIFS('Anexo III'!$B$8:$B$400,$D275,'Anexo III'!$E$8:$E$400,"&gt;0")=0,"ITEM NÃO ACHADO NO ANEXO","")))))</f>
        <v/>
      </c>
    </row>
    <row r="276" customFormat="false" ht="15" hidden="false" customHeight="false" outlineLevel="0" collapsed="false">
      <c r="A276" s="43"/>
      <c r="B276" s="53" t="str">
        <f aca="false">IF($A276="","",IF(ISNUMBER(MATCH($A276,'Cotação de Materiais'!$A$4:$A$200,0)),"MAT",IF(ISNUMBER(MATCH($A276,'Mão de Obra e Serviços'!$A$4:$A$200,0)),"MO","CÓDIGO?")))</f>
        <v/>
      </c>
      <c r="C276" s="54" t="str">
        <f aca="false">IF($A276="","",IFERROR(INDEX('Cotação de Materiais'!$C$4:$C$200,MATCH($A276,'Cotação de Materiais'!$A$4:$A$200,0)),IFERROR(INDEX('Mão de Obra e Serviços'!$B$4:$B$200,MATCH($A276,'Mão de Obra e Serviços'!$A$4:$A$200,0)),"")))</f>
        <v/>
      </c>
      <c r="D276" s="43"/>
      <c r="E276" s="43"/>
      <c r="F276" s="43"/>
      <c r="G276" s="57" t="str">
        <f aca="false">IF($A276="","",E276*IF(F276="",1,F276))</f>
        <v/>
      </c>
      <c r="H276" s="31" t="str">
        <f aca="false">IF($A276="","",IF(SUMIF($A$6:$A$600,$A276,$G$6:$G$600)=0,0,G276/SUMIF($A$6:$A$600,$A276,$G$6:$G$600)))</f>
        <v/>
      </c>
      <c r="I276" s="30" t="str">
        <f aca="false">IF($A276="","",IFERROR(INDEX('Cotação de Materiais'!$H$4:$H$200,MATCH($A276,'Cotação de Materiais'!$A$4:$A$200,0)),IFERROR(INDEX('Mão de Obra e Serviços'!$G$4:$G$200,MATCH($A276,'Mão de Obra e Serviços'!$A$4:$A$200,0)),0)))</f>
        <v/>
      </c>
      <c r="K276" s="30" t="str">
        <f aca="false">IF($A276="","",I276*H276)</f>
        <v/>
      </c>
      <c r="L276" s="58"/>
      <c r="M276" s="54" t="str">
        <f aca="false">IF($A276="","",IF(B276="CÓDIGO?","CÓDIGO NÃO ACHADO",IF($D276="","FALTA ITEM DO ANEXO",IF($D276="INDIRETO","",IF(COUNTIFS('Anexo III'!$B$8:$B$400,$D276,'Anexo III'!$E$8:$E$400,"&gt;0")=0,"ITEM NÃO ACHADO NO ANEXO","")))))</f>
        <v/>
      </c>
    </row>
    <row r="277" customFormat="false" ht="15" hidden="false" customHeight="false" outlineLevel="0" collapsed="false">
      <c r="A277" s="43"/>
      <c r="B277" s="53" t="str">
        <f aca="false">IF($A277="","",IF(ISNUMBER(MATCH($A277,'Cotação de Materiais'!$A$4:$A$200,0)),"MAT",IF(ISNUMBER(MATCH($A277,'Mão de Obra e Serviços'!$A$4:$A$200,0)),"MO","CÓDIGO?")))</f>
        <v/>
      </c>
      <c r="C277" s="54" t="str">
        <f aca="false">IF($A277="","",IFERROR(INDEX('Cotação de Materiais'!$C$4:$C$200,MATCH($A277,'Cotação de Materiais'!$A$4:$A$200,0)),IFERROR(INDEX('Mão de Obra e Serviços'!$B$4:$B$200,MATCH($A277,'Mão de Obra e Serviços'!$A$4:$A$200,0)),"")))</f>
        <v/>
      </c>
      <c r="D277" s="43"/>
      <c r="E277" s="43"/>
      <c r="F277" s="43"/>
      <c r="G277" s="57" t="str">
        <f aca="false">IF($A277="","",E277*IF(F277="",1,F277))</f>
        <v/>
      </c>
      <c r="H277" s="31" t="str">
        <f aca="false">IF($A277="","",IF(SUMIF($A$6:$A$600,$A277,$G$6:$G$600)=0,0,G277/SUMIF($A$6:$A$600,$A277,$G$6:$G$600)))</f>
        <v/>
      </c>
      <c r="I277" s="30" t="str">
        <f aca="false">IF($A277="","",IFERROR(INDEX('Cotação de Materiais'!$H$4:$H$200,MATCH($A277,'Cotação de Materiais'!$A$4:$A$200,0)),IFERROR(INDEX('Mão de Obra e Serviços'!$G$4:$G$200,MATCH($A277,'Mão de Obra e Serviços'!$A$4:$A$200,0)),0)))</f>
        <v/>
      </c>
      <c r="K277" s="30" t="str">
        <f aca="false">IF($A277="","",I277*H277)</f>
        <v/>
      </c>
      <c r="L277" s="58"/>
      <c r="M277" s="54" t="str">
        <f aca="false">IF($A277="","",IF(B277="CÓDIGO?","CÓDIGO NÃO ACHADO",IF($D277="","FALTA ITEM DO ANEXO",IF($D277="INDIRETO","",IF(COUNTIFS('Anexo III'!$B$8:$B$400,$D277,'Anexo III'!$E$8:$E$400,"&gt;0")=0,"ITEM NÃO ACHADO NO ANEXO","")))))</f>
        <v/>
      </c>
    </row>
    <row r="278" customFormat="false" ht="15" hidden="false" customHeight="false" outlineLevel="0" collapsed="false">
      <c r="A278" s="43"/>
      <c r="B278" s="53" t="str">
        <f aca="false">IF($A278="","",IF(ISNUMBER(MATCH($A278,'Cotação de Materiais'!$A$4:$A$200,0)),"MAT",IF(ISNUMBER(MATCH($A278,'Mão de Obra e Serviços'!$A$4:$A$200,0)),"MO","CÓDIGO?")))</f>
        <v/>
      </c>
      <c r="C278" s="54" t="str">
        <f aca="false">IF($A278="","",IFERROR(INDEX('Cotação de Materiais'!$C$4:$C$200,MATCH($A278,'Cotação de Materiais'!$A$4:$A$200,0)),IFERROR(INDEX('Mão de Obra e Serviços'!$B$4:$B$200,MATCH($A278,'Mão de Obra e Serviços'!$A$4:$A$200,0)),"")))</f>
        <v/>
      </c>
      <c r="D278" s="43"/>
      <c r="E278" s="43"/>
      <c r="F278" s="43"/>
      <c r="G278" s="57" t="str">
        <f aca="false">IF($A278="","",E278*IF(F278="",1,F278))</f>
        <v/>
      </c>
      <c r="H278" s="31" t="str">
        <f aca="false">IF($A278="","",IF(SUMIF($A$6:$A$600,$A278,$G$6:$G$600)=0,0,G278/SUMIF($A$6:$A$600,$A278,$G$6:$G$600)))</f>
        <v/>
      </c>
      <c r="I278" s="30" t="str">
        <f aca="false">IF($A278="","",IFERROR(INDEX('Cotação de Materiais'!$H$4:$H$200,MATCH($A278,'Cotação de Materiais'!$A$4:$A$200,0)),IFERROR(INDEX('Mão de Obra e Serviços'!$G$4:$G$200,MATCH($A278,'Mão de Obra e Serviços'!$A$4:$A$200,0)),0)))</f>
        <v/>
      </c>
      <c r="K278" s="30" t="str">
        <f aca="false">IF($A278="","",I278*H278)</f>
        <v/>
      </c>
      <c r="L278" s="58"/>
      <c r="M278" s="54" t="str">
        <f aca="false">IF($A278="","",IF(B278="CÓDIGO?","CÓDIGO NÃO ACHADO",IF($D278="","FALTA ITEM DO ANEXO",IF($D278="INDIRETO","",IF(COUNTIFS('Anexo III'!$B$8:$B$400,$D278,'Anexo III'!$E$8:$E$400,"&gt;0")=0,"ITEM NÃO ACHADO NO ANEXO","")))))</f>
        <v/>
      </c>
    </row>
    <row r="279" customFormat="false" ht="15" hidden="false" customHeight="false" outlineLevel="0" collapsed="false">
      <c r="A279" s="43"/>
      <c r="B279" s="53" t="str">
        <f aca="false">IF($A279="","",IF(ISNUMBER(MATCH($A279,'Cotação de Materiais'!$A$4:$A$200,0)),"MAT",IF(ISNUMBER(MATCH($A279,'Mão de Obra e Serviços'!$A$4:$A$200,0)),"MO","CÓDIGO?")))</f>
        <v/>
      </c>
      <c r="C279" s="54" t="str">
        <f aca="false">IF($A279="","",IFERROR(INDEX('Cotação de Materiais'!$C$4:$C$200,MATCH($A279,'Cotação de Materiais'!$A$4:$A$200,0)),IFERROR(INDEX('Mão de Obra e Serviços'!$B$4:$B$200,MATCH($A279,'Mão de Obra e Serviços'!$A$4:$A$200,0)),"")))</f>
        <v/>
      </c>
      <c r="D279" s="43"/>
      <c r="E279" s="43"/>
      <c r="F279" s="43"/>
      <c r="G279" s="57" t="str">
        <f aca="false">IF($A279="","",E279*IF(F279="",1,F279))</f>
        <v/>
      </c>
      <c r="H279" s="31" t="str">
        <f aca="false">IF($A279="","",IF(SUMIF($A$6:$A$600,$A279,$G$6:$G$600)=0,0,G279/SUMIF($A$6:$A$600,$A279,$G$6:$G$600)))</f>
        <v/>
      </c>
      <c r="I279" s="30" t="str">
        <f aca="false">IF($A279="","",IFERROR(INDEX('Cotação de Materiais'!$H$4:$H$200,MATCH($A279,'Cotação de Materiais'!$A$4:$A$200,0)),IFERROR(INDEX('Mão de Obra e Serviços'!$G$4:$G$200,MATCH($A279,'Mão de Obra e Serviços'!$A$4:$A$200,0)),0)))</f>
        <v/>
      </c>
      <c r="K279" s="30" t="str">
        <f aca="false">IF($A279="","",I279*H279)</f>
        <v/>
      </c>
      <c r="L279" s="58"/>
      <c r="M279" s="54" t="str">
        <f aca="false">IF($A279="","",IF(B279="CÓDIGO?","CÓDIGO NÃO ACHADO",IF($D279="","FALTA ITEM DO ANEXO",IF($D279="INDIRETO","",IF(COUNTIFS('Anexo III'!$B$8:$B$400,$D279,'Anexo III'!$E$8:$E$400,"&gt;0")=0,"ITEM NÃO ACHADO NO ANEXO","")))))</f>
        <v/>
      </c>
    </row>
    <row r="280" customFormat="false" ht="15" hidden="false" customHeight="false" outlineLevel="0" collapsed="false">
      <c r="A280" s="43"/>
      <c r="B280" s="53" t="str">
        <f aca="false">IF($A280="","",IF(ISNUMBER(MATCH($A280,'Cotação de Materiais'!$A$4:$A$200,0)),"MAT",IF(ISNUMBER(MATCH($A280,'Mão de Obra e Serviços'!$A$4:$A$200,0)),"MO","CÓDIGO?")))</f>
        <v/>
      </c>
      <c r="C280" s="54" t="str">
        <f aca="false">IF($A280="","",IFERROR(INDEX('Cotação de Materiais'!$C$4:$C$200,MATCH($A280,'Cotação de Materiais'!$A$4:$A$200,0)),IFERROR(INDEX('Mão de Obra e Serviços'!$B$4:$B$200,MATCH($A280,'Mão de Obra e Serviços'!$A$4:$A$200,0)),"")))</f>
        <v/>
      </c>
      <c r="D280" s="43"/>
      <c r="E280" s="43"/>
      <c r="F280" s="43"/>
      <c r="G280" s="57" t="str">
        <f aca="false">IF($A280="","",E280*IF(F280="",1,F280))</f>
        <v/>
      </c>
      <c r="H280" s="31" t="str">
        <f aca="false">IF($A280="","",IF(SUMIF($A$6:$A$600,$A280,$G$6:$G$600)=0,0,G280/SUMIF($A$6:$A$600,$A280,$G$6:$G$600)))</f>
        <v/>
      </c>
      <c r="I280" s="30" t="str">
        <f aca="false">IF($A280="","",IFERROR(INDEX('Cotação de Materiais'!$H$4:$H$200,MATCH($A280,'Cotação de Materiais'!$A$4:$A$200,0)),IFERROR(INDEX('Mão de Obra e Serviços'!$G$4:$G$200,MATCH($A280,'Mão de Obra e Serviços'!$A$4:$A$200,0)),0)))</f>
        <v/>
      </c>
      <c r="K280" s="30" t="str">
        <f aca="false">IF($A280="","",I280*H280)</f>
        <v/>
      </c>
      <c r="L280" s="58"/>
      <c r="M280" s="54" t="str">
        <f aca="false">IF($A280="","",IF(B280="CÓDIGO?","CÓDIGO NÃO ACHADO",IF($D280="","FALTA ITEM DO ANEXO",IF($D280="INDIRETO","",IF(COUNTIFS('Anexo III'!$B$8:$B$400,$D280,'Anexo III'!$E$8:$E$400,"&gt;0")=0,"ITEM NÃO ACHADO NO ANEXO","")))))</f>
        <v/>
      </c>
    </row>
    <row r="281" customFormat="false" ht="15" hidden="false" customHeight="false" outlineLevel="0" collapsed="false">
      <c r="A281" s="43"/>
      <c r="B281" s="53" t="str">
        <f aca="false">IF($A281="","",IF(ISNUMBER(MATCH($A281,'Cotação de Materiais'!$A$4:$A$200,0)),"MAT",IF(ISNUMBER(MATCH($A281,'Mão de Obra e Serviços'!$A$4:$A$200,0)),"MO","CÓDIGO?")))</f>
        <v/>
      </c>
      <c r="C281" s="54" t="str">
        <f aca="false">IF($A281="","",IFERROR(INDEX('Cotação de Materiais'!$C$4:$C$200,MATCH($A281,'Cotação de Materiais'!$A$4:$A$200,0)),IFERROR(INDEX('Mão de Obra e Serviços'!$B$4:$B$200,MATCH($A281,'Mão de Obra e Serviços'!$A$4:$A$200,0)),"")))</f>
        <v/>
      </c>
      <c r="D281" s="43"/>
      <c r="E281" s="43"/>
      <c r="F281" s="43"/>
      <c r="G281" s="57" t="str">
        <f aca="false">IF($A281="","",E281*IF(F281="",1,F281))</f>
        <v/>
      </c>
      <c r="H281" s="31" t="str">
        <f aca="false">IF($A281="","",IF(SUMIF($A$6:$A$600,$A281,$G$6:$G$600)=0,0,G281/SUMIF($A$6:$A$600,$A281,$G$6:$G$600)))</f>
        <v/>
      </c>
      <c r="I281" s="30" t="str">
        <f aca="false">IF($A281="","",IFERROR(INDEX('Cotação de Materiais'!$H$4:$H$200,MATCH($A281,'Cotação de Materiais'!$A$4:$A$200,0)),IFERROR(INDEX('Mão de Obra e Serviços'!$G$4:$G$200,MATCH($A281,'Mão de Obra e Serviços'!$A$4:$A$200,0)),0)))</f>
        <v/>
      </c>
      <c r="K281" s="30" t="str">
        <f aca="false">IF($A281="","",I281*H281)</f>
        <v/>
      </c>
      <c r="L281" s="58"/>
      <c r="M281" s="54" t="str">
        <f aca="false">IF($A281="","",IF(B281="CÓDIGO?","CÓDIGO NÃO ACHADO",IF($D281="","FALTA ITEM DO ANEXO",IF($D281="INDIRETO","",IF(COUNTIFS('Anexo III'!$B$8:$B$400,$D281,'Anexo III'!$E$8:$E$400,"&gt;0")=0,"ITEM NÃO ACHADO NO ANEXO","")))))</f>
        <v/>
      </c>
    </row>
    <row r="282" customFormat="false" ht="15" hidden="false" customHeight="false" outlineLevel="0" collapsed="false">
      <c r="A282" s="43"/>
      <c r="B282" s="53" t="str">
        <f aca="false">IF($A282="","",IF(ISNUMBER(MATCH($A282,'Cotação de Materiais'!$A$4:$A$200,0)),"MAT",IF(ISNUMBER(MATCH($A282,'Mão de Obra e Serviços'!$A$4:$A$200,0)),"MO","CÓDIGO?")))</f>
        <v/>
      </c>
      <c r="C282" s="54" t="str">
        <f aca="false">IF($A282="","",IFERROR(INDEX('Cotação de Materiais'!$C$4:$C$200,MATCH($A282,'Cotação de Materiais'!$A$4:$A$200,0)),IFERROR(INDEX('Mão de Obra e Serviços'!$B$4:$B$200,MATCH($A282,'Mão de Obra e Serviços'!$A$4:$A$200,0)),"")))</f>
        <v/>
      </c>
      <c r="D282" s="43"/>
      <c r="E282" s="43"/>
      <c r="F282" s="43"/>
      <c r="G282" s="57" t="str">
        <f aca="false">IF($A282="","",E282*IF(F282="",1,F282))</f>
        <v/>
      </c>
      <c r="H282" s="31" t="str">
        <f aca="false">IF($A282="","",IF(SUMIF($A$6:$A$600,$A282,$G$6:$G$600)=0,0,G282/SUMIF($A$6:$A$600,$A282,$G$6:$G$600)))</f>
        <v/>
      </c>
      <c r="I282" s="30" t="str">
        <f aca="false">IF($A282="","",IFERROR(INDEX('Cotação de Materiais'!$H$4:$H$200,MATCH($A282,'Cotação de Materiais'!$A$4:$A$200,0)),IFERROR(INDEX('Mão de Obra e Serviços'!$G$4:$G$200,MATCH($A282,'Mão de Obra e Serviços'!$A$4:$A$200,0)),0)))</f>
        <v/>
      </c>
      <c r="K282" s="30" t="str">
        <f aca="false">IF($A282="","",I282*H282)</f>
        <v/>
      </c>
      <c r="L282" s="58"/>
      <c r="M282" s="54" t="str">
        <f aca="false">IF($A282="","",IF(B282="CÓDIGO?","CÓDIGO NÃO ACHADO",IF($D282="","FALTA ITEM DO ANEXO",IF($D282="INDIRETO","",IF(COUNTIFS('Anexo III'!$B$8:$B$400,$D282,'Anexo III'!$E$8:$E$400,"&gt;0")=0,"ITEM NÃO ACHADO NO ANEXO","")))))</f>
        <v/>
      </c>
    </row>
    <row r="283" customFormat="false" ht="15" hidden="false" customHeight="false" outlineLevel="0" collapsed="false">
      <c r="A283" s="43"/>
      <c r="B283" s="53" t="str">
        <f aca="false">IF($A283="","",IF(ISNUMBER(MATCH($A283,'Cotação de Materiais'!$A$4:$A$200,0)),"MAT",IF(ISNUMBER(MATCH($A283,'Mão de Obra e Serviços'!$A$4:$A$200,0)),"MO","CÓDIGO?")))</f>
        <v/>
      </c>
      <c r="C283" s="54" t="str">
        <f aca="false">IF($A283="","",IFERROR(INDEX('Cotação de Materiais'!$C$4:$C$200,MATCH($A283,'Cotação de Materiais'!$A$4:$A$200,0)),IFERROR(INDEX('Mão de Obra e Serviços'!$B$4:$B$200,MATCH($A283,'Mão de Obra e Serviços'!$A$4:$A$200,0)),"")))</f>
        <v/>
      </c>
      <c r="D283" s="43"/>
      <c r="E283" s="43"/>
      <c r="F283" s="43"/>
      <c r="G283" s="57" t="str">
        <f aca="false">IF($A283="","",E283*IF(F283="",1,F283))</f>
        <v/>
      </c>
      <c r="H283" s="31" t="str">
        <f aca="false">IF($A283="","",IF(SUMIF($A$6:$A$600,$A283,$G$6:$G$600)=0,0,G283/SUMIF($A$6:$A$600,$A283,$G$6:$G$600)))</f>
        <v/>
      </c>
      <c r="I283" s="30" t="str">
        <f aca="false">IF($A283="","",IFERROR(INDEX('Cotação de Materiais'!$H$4:$H$200,MATCH($A283,'Cotação de Materiais'!$A$4:$A$200,0)),IFERROR(INDEX('Mão de Obra e Serviços'!$G$4:$G$200,MATCH($A283,'Mão de Obra e Serviços'!$A$4:$A$200,0)),0)))</f>
        <v/>
      </c>
      <c r="K283" s="30" t="str">
        <f aca="false">IF($A283="","",I283*H283)</f>
        <v/>
      </c>
      <c r="L283" s="58"/>
      <c r="M283" s="54" t="str">
        <f aca="false">IF($A283="","",IF(B283="CÓDIGO?","CÓDIGO NÃO ACHADO",IF($D283="","FALTA ITEM DO ANEXO",IF($D283="INDIRETO","",IF(COUNTIFS('Anexo III'!$B$8:$B$400,$D283,'Anexo III'!$E$8:$E$400,"&gt;0")=0,"ITEM NÃO ACHADO NO ANEXO","")))))</f>
        <v/>
      </c>
    </row>
    <row r="284" customFormat="false" ht="15" hidden="false" customHeight="false" outlineLevel="0" collapsed="false">
      <c r="A284" s="43"/>
      <c r="B284" s="53" t="str">
        <f aca="false">IF($A284="","",IF(ISNUMBER(MATCH($A284,'Cotação de Materiais'!$A$4:$A$200,0)),"MAT",IF(ISNUMBER(MATCH($A284,'Mão de Obra e Serviços'!$A$4:$A$200,0)),"MO","CÓDIGO?")))</f>
        <v/>
      </c>
      <c r="C284" s="54" t="str">
        <f aca="false">IF($A284="","",IFERROR(INDEX('Cotação de Materiais'!$C$4:$C$200,MATCH($A284,'Cotação de Materiais'!$A$4:$A$200,0)),IFERROR(INDEX('Mão de Obra e Serviços'!$B$4:$B$200,MATCH($A284,'Mão de Obra e Serviços'!$A$4:$A$200,0)),"")))</f>
        <v/>
      </c>
      <c r="D284" s="43"/>
      <c r="E284" s="43"/>
      <c r="F284" s="43"/>
      <c r="G284" s="57" t="str">
        <f aca="false">IF($A284="","",E284*IF(F284="",1,F284))</f>
        <v/>
      </c>
      <c r="H284" s="31" t="str">
        <f aca="false">IF($A284="","",IF(SUMIF($A$6:$A$600,$A284,$G$6:$G$600)=0,0,G284/SUMIF($A$6:$A$600,$A284,$G$6:$G$600)))</f>
        <v/>
      </c>
      <c r="I284" s="30" t="str">
        <f aca="false">IF($A284="","",IFERROR(INDEX('Cotação de Materiais'!$H$4:$H$200,MATCH($A284,'Cotação de Materiais'!$A$4:$A$200,0)),IFERROR(INDEX('Mão de Obra e Serviços'!$G$4:$G$200,MATCH($A284,'Mão de Obra e Serviços'!$A$4:$A$200,0)),0)))</f>
        <v/>
      </c>
      <c r="K284" s="30" t="str">
        <f aca="false">IF($A284="","",I284*H284)</f>
        <v/>
      </c>
      <c r="L284" s="58"/>
      <c r="M284" s="54" t="str">
        <f aca="false">IF($A284="","",IF(B284="CÓDIGO?","CÓDIGO NÃO ACHADO",IF($D284="","FALTA ITEM DO ANEXO",IF($D284="INDIRETO","",IF(COUNTIFS('Anexo III'!$B$8:$B$400,$D284,'Anexo III'!$E$8:$E$400,"&gt;0")=0,"ITEM NÃO ACHADO NO ANEXO","")))))</f>
        <v/>
      </c>
    </row>
    <row r="285" customFormat="false" ht="15" hidden="false" customHeight="false" outlineLevel="0" collapsed="false">
      <c r="A285" s="43"/>
      <c r="B285" s="53" t="str">
        <f aca="false">IF($A285="","",IF(ISNUMBER(MATCH($A285,'Cotação de Materiais'!$A$4:$A$200,0)),"MAT",IF(ISNUMBER(MATCH($A285,'Mão de Obra e Serviços'!$A$4:$A$200,0)),"MO","CÓDIGO?")))</f>
        <v/>
      </c>
      <c r="C285" s="54" t="str">
        <f aca="false">IF($A285="","",IFERROR(INDEX('Cotação de Materiais'!$C$4:$C$200,MATCH($A285,'Cotação de Materiais'!$A$4:$A$200,0)),IFERROR(INDEX('Mão de Obra e Serviços'!$B$4:$B$200,MATCH($A285,'Mão de Obra e Serviços'!$A$4:$A$200,0)),"")))</f>
        <v/>
      </c>
      <c r="D285" s="43"/>
      <c r="E285" s="43"/>
      <c r="F285" s="43"/>
      <c r="G285" s="57" t="str">
        <f aca="false">IF($A285="","",E285*IF(F285="",1,F285))</f>
        <v/>
      </c>
      <c r="H285" s="31" t="str">
        <f aca="false">IF($A285="","",IF(SUMIF($A$6:$A$600,$A285,$G$6:$G$600)=0,0,G285/SUMIF($A$6:$A$600,$A285,$G$6:$G$600)))</f>
        <v/>
      </c>
      <c r="I285" s="30" t="str">
        <f aca="false">IF($A285="","",IFERROR(INDEX('Cotação de Materiais'!$H$4:$H$200,MATCH($A285,'Cotação de Materiais'!$A$4:$A$200,0)),IFERROR(INDEX('Mão de Obra e Serviços'!$G$4:$G$200,MATCH($A285,'Mão de Obra e Serviços'!$A$4:$A$200,0)),0)))</f>
        <v/>
      </c>
      <c r="K285" s="30" t="str">
        <f aca="false">IF($A285="","",I285*H285)</f>
        <v/>
      </c>
      <c r="L285" s="58"/>
      <c r="M285" s="54" t="str">
        <f aca="false">IF($A285="","",IF(B285="CÓDIGO?","CÓDIGO NÃO ACHADO",IF($D285="","FALTA ITEM DO ANEXO",IF($D285="INDIRETO","",IF(COUNTIFS('Anexo III'!$B$8:$B$400,$D285,'Anexo III'!$E$8:$E$400,"&gt;0")=0,"ITEM NÃO ACHADO NO ANEXO","")))))</f>
        <v/>
      </c>
    </row>
    <row r="286" customFormat="false" ht="15" hidden="false" customHeight="false" outlineLevel="0" collapsed="false">
      <c r="A286" s="43"/>
      <c r="B286" s="53" t="str">
        <f aca="false">IF($A286="","",IF(ISNUMBER(MATCH($A286,'Cotação de Materiais'!$A$4:$A$200,0)),"MAT",IF(ISNUMBER(MATCH($A286,'Mão de Obra e Serviços'!$A$4:$A$200,0)),"MO","CÓDIGO?")))</f>
        <v/>
      </c>
      <c r="C286" s="54" t="str">
        <f aca="false">IF($A286="","",IFERROR(INDEX('Cotação de Materiais'!$C$4:$C$200,MATCH($A286,'Cotação de Materiais'!$A$4:$A$200,0)),IFERROR(INDEX('Mão de Obra e Serviços'!$B$4:$B$200,MATCH($A286,'Mão de Obra e Serviços'!$A$4:$A$200,0)),"")))</f>
        <v/>
      </c>
      <c r="D286" s="43"/>
      <c r="E286" s="43"/>
      <c r="F286" s="43"/>
      <c r="G286" s="57" t="str">
        <f aca="false">IF($A286="","",E286*IF(F286="",1,F286))</f>
        <v/>
      </c>
      <c r="H286" s="31" t="str">
        <f aca="false">IF($A286="","",IF(SUMIF($A$6:$A$600,$A286,$G$6:$G$600)=0,0,G286/SUMIF($A$6:$A$600,$A286,$G$6:$G$600)))</f>
        <v/>
      </c>
      <c r="I286" s="30" t="str">
        <f aca="false">IF($A286="","",IFERROR(INDEX('Cotação de Materiais'!$H$4:$H$200,MATCH($A286,'Cotação de Materiais'!$A$4:$A$200,0)),IFERROR(INDEX('Mão de Obra e Serviços'!$G$4:$G$200,MATCH($A286,'Mão de Obra e Serviços'!$A$4:$A$200,0)),0)))</f>
        <v/>
      </c>
      <c r="K286" s="30" t="str">
        <f aca="false">IF($A286="","",I286*H286)</f>
        <v/>
      </c>
      <c r="L286" s="58"/>
      <c r="M286" s="54" t="str">
        <f aca="false">IF($A286="","",IF(B286="CÓDIGO?","CÓDIGO NÃO ACHADO",IF($D286="","FALTA ITEM DO ANEXO",IF($D286="INDIRETO","",IF(COUNTIFS('Anexo III'!$B$8:$B$400,$D286,'Anexo III'!$E$8:$E$400,"&gt;0")=0,"ITEM NÃO ACHADO NO ANEXO","")))))</f>
        <v/>
      </c>
    </row>
    <row r="287" customFormat="false" ht="15" hidden="false" customHeight="false" outlineLevel="0" collapsed="false">
      <c r="A287" s="43"/>
      <c r="B287" s="53" t="str">
        <f aca="false">IF($A287="","",IF(ISNUMBER(MATCH($A287,'Cotação de Materiais'!$A$4:$A$200,0)),"MAT",IF(ISNUMBER(MATCH($A287,'Mão de Obra e Serviços'!$A$4:$A$200,0)),"MO","CÓDIGO?")))</f>
        <v/>
      </c>
      <c r="C287" s="54" t="str">
        <f aca="false">IF($A287="","",IFERROR(INDEX('Cotação de Materiais'!$C$4:$C$200,MATCH($A287,'Cotação de Materiais'!$A$4:$A$200,0)),IFERROR(INDEX('Mão de Obra e Serviços'!$B$4:$B$200,MATCH($A287,'Mão de Obra e Serviços'!$A$4:$A$200,0)),"")))</f>
        <v/>
      </c>
      <c r="D287" s="43"/>
      <c r="E287" s="43"/>
      <c r="F287" s="43"/>
      <c r="G287" s="57" t="str">
        <f aca="false">IF($A287="","",E287*IF(F287="",1,F287))</f>
        <v/>
      </c>
      <c r="H287" s="31" t="str">
        <f aca="false">IF($A287="","",IF(SUMIF($A$6:$A$600,$A287,$G$6:$G$600)=0,0,G287/SUMIF($A$6:$A$600,$A287,$G$6:$G$600)))</f>
        <v/>
      </c>
      <c r="I287" s="30" t="str">
        <f aca="false">IF($A287="","",IFERROR(INDEX('Cotação de Materiais'!$H$4:$H$200,MATCH($A287,'Cotação de Materiais'!$A$4:$A$200,0)),IFERROR(INDEX('Mão de Obra e Serviços'!$G$4:$G$200,MATCH($A287,'Mão de Obra e Serviços'!$A$4:$A$200,0)),0)))</f>
        <v/>
      </c>
      <c r="K287" s="30" t="str">
        <f aca="false">IF($A287="","",I287*H287)</f>
        <v/>
      </c>
      <c r="L287" s="58"/>
      <c r="M287" s="54" t="str">
        <f aca="false">IF($A287="","",IF(B287="CÓDIGO?","CÓDIGO NÃO ACHADO",IF($D287="","FALTA ITEM DO ANEXO",IF($D287="INDIRETO","",IF(COUNTIFS('Anexo III'!$B$8:$B$400,$D287,'Anexo III'!$E$8:$E$400,"&gt;0")=0,"ITEM NÃO ACHADO NO ANEXO","")))))</f>
        <v/>
      </c>
    </row>
    <row r="288" customFormat="false" ht="15" hidden="false" customHeight="false" outlineLevel="0" collapsed="false">
      <c r="A288" s="43"/>
      <c r="B288" s="53" t="str">
        <f aca="false">IF($A288="","",IF(ISNUMBER(MATCH($A288,'Cotação de Materiais'!$A$4:$A$200,0)),"MAT",IF(ISNUMBER(MATCH($A288,'Mão de Obra e Serviços'!$A$4:$A$200,0)),"MO","CÓDIGO?")))</f>
        <v/>
      </c>
      <c r="C288" s="54" t="str">
        <f aca="false">IF($A288="","",IFERROR(INDEX('Cotação de Materiais'!$C$4:$C$200,MATCH($A288,'Cotação de Materiais'!$A$4:$A$200,0)),IFERROR(INDEX('Mão de Obra e Serviços'!$B$4:$B$200,MATCH($A288,'Mão de Obra e Serviços'!$A$4:$A$200,0)),"")))</f>
        <v/>
      </c>
      <c r="D288" s="43"/>
      <c r="E288" s="43"/>
      <c r="F288" s="43"/>
      <c r="G288" s="57" t="str">
        <f aca="false">IF($A288="","",E288*IF(F288="",1,F288))</f>
        <v/>
      </c>
      <c r="H288" s="31" t="str">
        <f aca="false">IF($A288="","",IF(SUMIF($A$6:$A$600,$A288,$G$6:$G$600)=0,0,G288/SUMIF($A$6:$A$600,$A288,$G$6:$G$600)))</f>
        <v/>
      </c>
      <c r="I288" s="30" t="str">
        <f aca="false">IF($A288="","",IFERROR(INDEX('Cotação de Materiais'!$H$4:$H$200,MATCH($A288,'Cotação de Materiais'!$A$4:$A$200,0)),IFERROR(INDEX('Mão de Obra e Serviços'!$G$4:$G$200,MATCH($A288,'Mão de Obra e Serviços'!$A$4:$A$200,0)),0)))</f>
        <v/>
      </c>
      <c r="K288" s="30" t="str">
        <f aca="false">IF($A288="","",I288*H288)</f>
        <v/>
      </c>
      <c r="L288" s="58"/>
      <c r="M288" s="54" t="str">
        <f aca="false">IF($A288="","",IF(B288="CÓDIGO?","CÓDIGO NÃO ACHADO",IF($D288="","FALTA ITEM DO ANEXO",IF($D288="INDIRETO","",IF(COUNTIFS('Anexo III'!$B$8:$B$400,$D288,'Anexo III'!$E$8:$E$400,"&gt;0")=0,"ITEM NÃO ACHADO NO ANEXO","")))))</f>
        <v/>
      </c>
    </row>
    <row r="289" customFormat="false" ht="15" hidden="false" customHeight="false" outlineLevel="0" collapsed="false">
      <c r="A289" s="43"/>
      <c r="B289" s="53" t="str">
        <f aca="false">IF($A289="","",IF(ISNUMBER(MATCH($A289,'Cotação de Materiais'!$A$4:$A$200,0)),"MAT",IF(ISNUMBER(MATCH($A289,'Mão de Obra e Serviços'!$A$4:$A$200,0)),"MO","CÓDIGO?")))</f>
        <v/>
      </c>
      <c r="C289" s="54" t="str">
        <f aca="false">IF($A289="","",IFERROR(INDEX('Cotação de Materiais'!$C$4:$C$200,MATCH($A289,'Cotação de Materiais'!$A$4:$A$200,0)),IFERROR(INDEX('Mão de Obra e Serviços'!$B$4:$B$200,MATCH($A289,'Mão de Obra e Serviços'!$A$4:$A$200,0)),"")))</f>
        <v/>
      </c>
      <c r="D289" s="43"/>
      <c r="E289" s="43"/>
      <c r="F289" s="43"/>
      <c r="G289" s="57" t="str">
        <f aca="false">IF($A289="","",E289*IF(F289="",1,F289))</f>
        <v/>
      </c>
      <c r="H289" s="31" t="str">
        <f aca="false">IF($A289="","",IF(SUMIF($A$6:$A$600,$A289,$G$6:$G$600)=0,0,G289/SUMIF($A$6:$A$600,$A289,$G$6:$G$600)))</f>
        <v/>
      </c>
      <c r="I289" s="30" t="str">
        <f aca="false">IF($A289="","",IFERROR(INDEX('Cotação de Materiais'!$H$4:$H$200,MATCH($A289,'Cotação de Materiais'!$A$4:$A$200,0)),IFERROR(INDEX('Mão de Obra e Serviços'!$G$4:$G$200,MATCH($A289,'Mão de Obra e Serviços'!$A$4:$A$200,0)),0)))</f>
        <v/>
      </c>
      <c r="K289" s="30" t="str">
        <f aca="false">IF($A289="","",I289*H289)</f>
        <v/>
      </c>
      <c r="L289" s="58"/>
      <c r="M289" s="54" t="str">
        <f aca="false">IF($A289="","",IF(B289="CÓDIGO?","CÓDIGO NÃO ACHADO",IF($D289="","FALTA ITEM DO ANEXO",IF($D289="INDIRETO","",IF(COUNTIFS('Anexo III'!$B$8:$B$400,$D289,'Anexo III'!$E$8:$E$400,"&gt;0")=0,"ITEM NÃO ACHADO NO ANEXO","")))))</f>
        <v/>
      </c>
    </row>
    <row r="290" customFormat="false" ht="15" hidden="false" customHeight="false" outlineLevel="0" collapsed="false">
      <c r="A290" s="43"/>
      <c r="B290" s="53" t="str">
        <f aca="false">IF($A290="","",IF(ISNUMBER(MATCH($A290,'Cotação de Materiais'!$A$4:$A$200,0)),"MAT",IF(ISNUMBER(MATCH($A290,'Mão de Obra e Serviços'!$A$4:$A$200,0)),"MO","CÓDIGO?")))</f>
        <v/>
      </c>
      <c r="C290" s="54" t="str">
        <f aca="false">IF($A290="","",IFERROR(INDEX('Cotação de Materiais'!$C$4:$C$200,MATCH($A290,'Cotação de Materiais'!$A$4:$A$200,0)),IFERROR(INDEX('Mão de Obra e Serviços'!$B$4:$B$200,MATCH($A290,'Mão de Obra e Serviços'!$A$4:$A$200,0)),"")))</f>
        <v/>
      </c>
      <c r="D290" s="43"/>
      <c r="E290" s="43"/>
      <c r="F290" s="43"/>
      <c r="G290" s="57" t="str">
        <f aca="false">IF($A290="","",E290*IF(F290="",1,F290))</f>
        <v/>
      </c>
      <c r="H290" s="31" t="str">
        <f aca="false">IF($A290="","",IF(SUMIF($A$6:$A$600,$A290,$G$6:$G$600)=0,0,G290/SUMIF($A$6:$A$600,$A290,$G$6:$G$600)))</f>
        <v/>
      </c>
      <c r="I290" s="30" t="str">
        <f aca="false">IF($A290="","",IFERROR(INDEX('Cotação de Materiais'!$H$4:$H$200,MATCH($A290,'Cotação de Materiais'!$A$4:$A$200,0)),IFERROR(INDEX('Mão de Obra e Serviços'!$G$4:$G$200,MATCH($A290,'Mão de Obra e Serviços'!$A$4:$A$200,0)),0)))</f>
        <v/>
      </c>
      <c r="K290" s="30" t="str">
        <f aca="false">IF($A290="","",I290*H290)</f>
        <v/>
      </c>
      <c r="L290" s="58"/>
      <c r="M290" s="54" t="str">
        <f aca="false">IF($A290="","",IF(B290="CÓDIGO?","CÓDIGO NÃO ACHADO",IF($D290="","FALTA ITEM DO ANEXO",IF($D290="INDIRETO","",IF(COUNTIFS('Anexo III'!$B$8:$B$400,$D290,'Anexo III'!$E$8:$E$400,"&gt;0")=0,"ITEM NÃO ACHADO NO ANEXO","")))))</f>
        <v/>
      </c>
    </row>
    <row r="291" customFormat="false" ht="15" hidden="false" customHeight="false" outlineLevel="0" collapsed="false">
      <c r="A291" s="43"/>
      <c r="B291" s="53" t="str">
        <f aca="false">IF($A291="","",IF(ISNUMBER(MATCH($A291,'Cotação de Materiais'!$A$4:$A$200,0)),"MAT",IF(ISNUMBER(MATCH($A291,'Mão de Obra e Serviços'!$A$4:$A$200,0)),"MO","CÓDIGO?")))</f>
        <v/>
      </c>
      <c r="C291" s="54" t="str">
        <f aca="false">IF($A291="","",IFERROR(INDEX('Cotação de Materiais'!$C$4:$C$200,MATCH($A291,'Cotação de Materiais'!$A$4:$A$200,0)),IFERROR(INDEX('Mão de Obra e Serviços'!$B$4:$B$200,MATCH($A291,'Mão de Obra e Serviços'!$A$4:$A$200,0)),"")))</f>
        <v/>
      </c>
      <c r="D291" s="43"/>
      <c r="E291" s="43"/>
      <c r="F291" s="43"/>
      <c r="G291" s="57" t="str">
        <f aca="false">IF($A291="","",E291*IF(F291="",1,F291))</f>
        <v/>
      </c>
      <c r="H291" s="31" t="str">
        <f aca="false">IF($A291="","",IF(SUMIF($A$6:$A$600,$A291,$G$6:$G$600)=0,0,G291/SUMIF($A$6:$A$600,$A291,$G$6:$G$600)))</f>
        <v/>
      </c>
      <c r="I291" s="30" t="str">
        <f aca="false">IF($A291="","",IFERROR(INDEX('Cotação de Materiais'!$H$4:$H$200,MATCH($A291,'Cotação de Materiais'!$A$4:$A$200,0)),IFERROR(INDEX('Mão de Obra e Serviços'!$G$4:$G$200,MATCH($A291,'Mão de Obra e Serviços'!$A$4:$A$200,0)),0)))</f>
        <v/>
      </c>
      <c r="K291" s="30" t="str">
        <f aca="false">IF($A291="","",I291*H291)</f>
        <v/>
      </c>
      <c r="L291" s="58"/>
      <c r="M291" s="54" t="str">
        <f aca="false">IF($A291="","",IF(B291="CÓDIGO?","CÓDIGO NÃO ACHADO",IF($D291="","FALTA ITEM DO ANEXO",IF($D291="INDIRETO","",IF(COUNTIFS('Anexo III'!$B$8:$B$400,$D291,'Anexo III'!$E$8:$E$400,"&gt;0")=0,"ITEM NÃO ACHADO NO ANEXO","")))))</f>
        <v/>
      </c>
    </row>
    <row r="292" customFormat="false" ht="15" hidden="false" customHeight="false" outlineLevel="0" collapsed="false">
      <c r="A292" s="43"/>
      <c r="B292" s="53" t="str">
        <f aca="false">IF($A292="","",IF(ISNUMBER(MATCH($A292,'Cotação de Materiais'!$A$4:$A$200,0)),"MAT",IF(ISNUMBER(MATCH($A292,'Mão de Obra e Serviços'!$A$4:$A$200,0)),"MO","CÓDIGO?")))</f>
        <v/>
      </c>
      <c r="C292" s="54" t="str">
        <f aca="false">IF($A292="","",IFERROR(INDEX('Cotação de Materiais'!$C$4:$C$200,MATCH($A292,'Cotação de Materiais'!$A$4:$A$200,0)),IFERROR(INDEX('Mão de Obra e Serviços'!$B$4:$B$200,MATCH($A292,'Mão de Obra e Serviços'!$A$4:$A$200,0)),"")))</f>
        <v/>
      </c>
      <c r="D292" s="43"/>
      <c r="E292" s="43"/>
      <c r="F292" s="43"/>
      <c r="G292" s="57" t="str">
        <f aca="false">IF($A292="","",E292*IF(F292="",1,F292))</f>
        <v/>
      </c>
      <c r="H292" s="31" t="str">
        <f aca="false">IF($A292="","",IF(SUMIF($A$6:$A$600,$A292,$G$6:$G$600)=0,0,G292/SUMIF($A$6:$A$600,$A292,$G$6:$G$600)))</f>
        <v/>
      </c>
      <c r="I292" s="30" t="str">
        <f aca="false">IF($A292="","",IFERROR(INDEX('Cotação de Materiais'!$H$4:$H$200,MATCH($A292,'Cotação de Materiais'!$A$4:$A$200,0)),IFERROR(INDEX('Mão de Obra e Serviços'!$G$4:$G$200,MATCH($A292,'Mão de Obra e Serviços'!$A$4:$A$200,0)),0)))</f>
        <v/>
      </c>
      <c r="K292" s="30" t="str">
        <f aca="false">IF($A292="","",I292*H292)</f>
        <v/>
      </c>
      <c r="L292" s="58"/>
      <c r="M292" s="54" t="str">
        <f aca="false">IF($A292="","",IF(B292="CÓDIGO?","CÓDIGO NÃO ACHADO",IF($D292="","FALTA ITEM DO ANEXO",IF($D292="INDIRETO","",IF(COUNTIFS('Anexo III'!$B$8:$B$400,$D292,'Anexo III'!$E$8:$E$400,"&gt;0")=0,"ITEM NÃO ACHADO NO ANEXO","")))))</f>
        <v/>
      </c>
    </row>
    <row r="293" customFormat="false" ht="15" hidden="false" customHeight="false" outlineLevel="0" collapsed="false">
      <c r="A293" s="43"/>
      <c r="B293" s="53" t="str">
        <f aca="false">IF($A293="","",IF(ISNUMBER(MATCH($A293,'Cotação de Materiais'!$A$4:$A$200,0)),"MAT",IF(ISNUMBER(MATCH($A293,'Mão de Obra e Serviços'!$A$4:$A$200,0)),"MO","CÓDIGO?")))</f>
        <v/>
      </c>
      <c r="C293" s="54" t="str">
        <f aca="false">IF($A293="","",IFERROR(INDEX('Cotação de Materiais'!$C$4:$C$200,MATCH($A293,'Cotação de Materiais'!$A$4:$A$200,0)),IFERROR(INDEX('Mão de Obra e Serviços'!$B$4:$B$200,MATCH($A293,'Mão de Obra e Serviços'!$A$4:$A$200,0)),"")))</f>
        <v/>
      </c>
      <c r="D293" s="43"/>
      <c r="E293" s="43"/>
      <c r="F293" s="43"/>
      <c r="G293" s="57" t="str">
        <f aca="false">IF($A293="","",E293*IF(F293="",1,F293))</f>
        <v/>
      </c>
      <c r="H293" s="31" t="str">
        <f aca="false">IF($A293="","",IF(SUMIF($A$6:$A$600,$A293,$G$6:$G$600)=0,0,G293/SUMIF($A$6:$A$600,$A293,$G$6:$G$600)))</f>
        <v/>
      </c>
      <c r="I293" s="30" t="str">
        <f aca="false">IF($A293="","",IFERROR(INDEX('Cotação de Materiais'!$H$4:$H$200,MATCH($A293,'Cotação de Materiais'!$A$4:$A$200,0)),IFERROR(INDEX('Mão de Obra e Serviços'!$G$4:$G$200,MATCH($A293,'Mão de Obra e Serviços'!$A$4:$A$200,0)),0)))</f>
        <v/>
      </c>
      <c r="K293" s="30" t="str">
        <f aca="false">IF($A293="","",I293*H293)</f>
        <v/>
      </c>
      <c r="L293" s="58"/>
      <c r="M293" s="54" t="str">
        <f aca="false">IF($A293="","",IF(B293="CÓDIGO?","CÓDIGO NÃO ACHADO",IF($D293="","FALTA ITEM DO ANEXO",IF($D293="INDIRETO","",IF(COUNTIFS('Anexo III'!$B$8:$B$400,$D293,'Anexo III'!$E$8:$E$400,"&gt;0")=0,"ITEM NÃO ACHADO NO ANEXO","")))))</f>
        <v/>
      </c>
    </row>
    <row r="294" customFormat="false" ht="15" hidden="false" customHeight="false" outlineLevel="0" collapsed="false">
      <c r="A294" s="43"/>
      <c r="B294" s="53" t="str">
        <f aca="false">IF($A294="","",IF(ISNUMBER(MATCH($A294,'Cotação de Materiais'!$A$4:$A$200,0)),"MAT",IF(ISNUMBER(MATCH($A294,'Mão de Obra e Serviços'!$A$4:$A$200,0)),"MO","CÓDIGO?")))</f>
        <v/>
      </c>
      <c r="C294" s="54" t="str">
        <f aca="false">IF($A294="","",IFERROR(INDEX('Cotação de Materiais'!$C$4:$C$200,MATCH($A294,'Cotação de Materiais'!$A$4:$A$200,0)),IFERROR(INDEX('Mão de Obra e Serviços'!$B$4:$B$200,MATCH($A294,'Mão de Obra e Serviços'!$A$4:$A$200,0)),"")))</f>
        <v/>
      </c>
      <c r="D294" s="43"/>
      <c r="E294" s="43"/>
      <c r="F294" s="43"/>
      <c r="G294" s="57" t="str">
        <f aca="false">IF($A294="","",E294*IF(F294="",1,F294))</f>
        <v/>
      </c>
      <c r="H294" s="31" t="str">
        <f aca="false">IF($A294="","",IF(SUMIF($A$6:$A$600,$A294,$G$6:$G$600)=0,0,G294/SUMIF($A$6:$A$600,$A294,$G$6:$G$600)))</f>
        <v/>
      </c>
      <c r="I294" s="30" t="str">
        <f aca="false">IF($A294="","",IFERROR(INDEX('Cotação de Materiais'!$H$4:$H$200,MATCH($A294,'Cotação de Materiais'!$A$4:$A$200,0)),IFERROR(INDEX('Mão de Obra e Serviços'!$G$4:$G$200,MATCH($A294,'Mão de Obra e Serviços'!$A$4:$A$200,0)),0)))</f>
        <v/>
      </c>
      <c r="K294" s="30" t="str">
        <f aca="false">IF($A294="","",I294*H294)</f>
        <v/>
      </c>
      <c r="L294" s="58"/>
      <c r="M294" s="54" t="str">
        <f aca="false">IF($A294="","",IF(B294="CÓDIGO?","CÓDIGO NÃO ACHADO",IF($D294="","FALTA ITEM DO ANEXO",IF($D294="INDIRETO","",IF(COUNTIFS('Anexo III'!$B$8:$B$400,$D294,'Anexo III'!$E$8:$E$400,"&gt;0")=0,"ITEM NÃO ACHADO NO ANEXO","")))))</f>
        <v/>
      </c>
    </row>
    <row r="295" customFormat="false" ht="15" hidden="false" customHeight="false" outlineLevel="0" collapsed="false">
      <c r="A295" s="43"/>
      <c r="B295" s="53" t="str">
        <f aca="false">IF($A295="","",IF(ISNUMBER(MATCH($A295,'Cotação de Materiais'!$A$4:$A$200,0)),"MAT",IF(ISNUMBER(MATCH($A295,'Mão de Obra e Serviços'!$A$4:$A$200,0)),"MO","CÓDIGO?")))</f>
        <v/>
      </c>
      <c r="C295" s="54" t="str">
        <f aca="false">IF($A295="","",IFERROR(INDEX('Cotação de Materiais'!$C$4:$C$200,MATCH($A295,'Cotação de Materiais'!$A$4:$A$200,0)),IFERROR(INDEX('Mão de Obra e Serviços'!$B$4:$B$200,MATCH($A295,'Mão de Obra e Serviços'!$A$4:$A$200,0)),"")))</f>
        <v/>
      </c>
      <c r="D295" s="43"/>
      <c r="E295" s="43"/>
      <c r="F295" s="43"/>
      <c r="G295" s="57" t="str">
        <f aca="false">IF($A295="","",E295*IF(F295="",1,F295))</f>
        <v/>
      </c>
      <c r="H295" s="31" t="str">
        <f aca="false">IF($A295="","",IF(SUMIF($A$6:$A$600,$A295,$G$6:$G$600)=0,0,G295/SUMIF($A$6:$A$600,$A295,$G$6:$G$600)))</f>
        <v/>
      </c>
      <c r="I295" s="30" t="str">
        <f aca="false">IF($A295="","",IFERROR(INDEX('Cotação de Materiais'!$H$4:$H$200,MATCH($A295,'Cotação de Materiais'!$A$4:$A$200,0)),IFERROR(INDEX('Mão de Obra e Serviços'!$G$4:$G$200,MATCH($A295,'Mão de Obra e Serviços'!$A$4:$A$200,0)),0)))</f>
        <v/>
      </c>
      <c r="K295" s="30" t="str">
        <f aca="false">IF($A295="","",I295*H295)</f>
        <v/>
      </c>
      <c r="L295" s="58"/>
      <c r="M295" s="54" t="str">
        <f aca="false">IF($A295="","",IF(B295="CÓDIGO?","CÓDIGO NÃO ACHADO",IF($D295="","FALTA ITEM DO ANEXO",IF($D295="INDIRETO","",IF(COUNTIFS('Anexo III'!$B$8:$B$400,$D295,'Anexo III'!$E$8:$E$400,"&gt;0")=0,"ITEM NÃO ACHADO NO ANEXO","")))))</f>
        <v/>
      </c>
    </row>
    <row r="296" customFormat="false" ht="15" hidden="false" customHeight="false" outlineLevel="0" collapsed="false">
      <c r="A296" s="43"/>
      <c r="B296" s="53" t="str">
        <f aca="false">IF($A296="","",IF(ISNUMBER(MATCH($A296,'Cotação de Materiais'!$A$4:$A$200,0)),"MAT",IF(ISNUMBER(MATCH($A296,'Mão de Obra e Serviços'!$A$4:$A$200,0)),"MO","CÓDIGO?")))</f>
        <v/>
      </c>
      <c r="C296" s="54" t="str">
        <f aca="false">IF($A296="","",IFERROR(INDEX('Cotação de Materiais'!$C$4:$C$200,MATCH($A296,'Cotação de Materiais'!$A$4:$A$200,0)),IFERROR(INDEX('Mão de Obra e Serviços'!$B$4:$B$200,MATCH($A296,'Mão de Obra e Serviços'!$A$4:$A$200,0)),"")))</f>
        <v/>
      </c>
      <c r="D296" s="43"/>
      <c r="E296" s="43"/>
      <c r="F296" s="43"/>
      <c r="G296" s="57" t="str">
        <f aca="false">IF($A296="","",E296*IF(F296="",1,F296))</f>
        <v/>
      </c>
      <c r="H296" s="31" t="str">
        <f aca="false">IF($A296="","",IF(SUMIF($A$6:$A$600,$A296,$G$6:$G$600)=0,0,G296/SUMIF($A$6:$A$600,$A296,$G$6:$G$600)))</f>
        <v/>
      </c>
      <c r="I296" s="30" t="str">
        <f aca="false">IF($A296="","",IFERROR(INDEX('Cotação de Materiais'!$H$4:$H$200,MATCH($A296,'Cotação de Materiais'!$A$4:$A$200,0)),IFERROR(INDEX('Mão de Obra e Serviços'!$G$4:$G$200,MATCH($A296,'Mão de Obra e Serviços'!$A$4:$A$200,0)),0)))</f>
        <v/>
      </c>
      <c r="K296" s="30" t="str">
        <f aca="false">IF($A296="","",I296*H296)</f>
        <v/>
      </c>
      <c r="L296" s="58"/>
      <c r="M296" s="54" t="str">
        <f aca="false">IF($A296="","",IF(B296="CÓDIGO?","CÓDIGO NÃO ACHADO",IF($D296="","FALTA ITEM DO ANEXO",IF($D296="INDIRETO","",IF(COUNTIFS('Anexo III'!$B$8:$B$400,$D296,'Anexo III'!$E$8:$E$400,"&gt;0")=0,"ITEM NÃO ACHADO NO ANEXO","")))))</f>
        <v/>
      </c>
    </row>
    <row r="297" customFormat="false" ht="15" hidden="false" customHeight="false" outlineLevel="0" collapsed="false">
      <c r="A297" s="43"/>
      <c r="B297" s="53" t="str">
        <f aca="false">IF($A297="","",IF(ISNUMBER(MATCH($A297,'Cotação de Materiais'!$A$4:$A$200,0)),"MAT",IF(ISNUMBER(MATCH($A297,'Mão de Obra e Serviços'!$A$4:$A$200,0)),"MO","CÓDIGO?")))</f>
        <v/>
      </c>
      <c r="C297" s="54" t="str">
        <f aca="false">IF($A297="","",IFERROR(INDEX('Cotação de Materiais'!$C$4:$C$200,MATCH($A297,'Cotação de Materiais'!$A$4:$A$200,0)),IFERROR(INDEX('Mão de Obra e Serviços'!$B$4:$B$200,MATCH($A297,'Mão de Obra e Serviços'!$A$4:$A$200,0)),"")))</f>
        <v/>
      </c>
      <c r="D297" s="43"/>
      <c r="E297" s="43"/>
      <c r="F297" s="43"/>
      <c r="G297" s="57" t="str">
        <f aca="false">IF($A297="","",E297*IF(F297="",1,F297))</f>
        <v/>
      </c>
      <c r="H297" s="31" t="str">
        <f aca="false">IF($A297="","",IF(SUMIF($A$6:$A$600,$A297,$G$6:$G$600)=0,0,G297/SUMIF($A$6:$A$600,$A297,$G$6:$G$600)))</f>
        <v/>
      </c>
      <c r="I297" s="30" t="str">
        <f aca="false">IF($A297="","",IFERROR(INDEX('Cotação de Materiais'!$H$4:$H$200,MATCH($A297,'Cotação de Materiais'!$A$4:$A$200,0)),IFERROR(INDEX('Mão de Obra e Serviços'!$G$4:$G$200,MATCH($A297,'Mão de Obra e Serviços'!$A$4:$A$200,0)),0)))</f>
        <v/>
      </c>
      <c r="K297" s="30" t="str">
        <f aca="false">IF($A297="","",I297*H297)</f>
        <v/>
      </c>
      <c r="L297" s="58"/>
      <c r="M297" s="54" t="str">
        <f aca="false">IF($A297="","",IF(B297="CÓDIGO?","CÓDIGO NÃO ACHADO",IF($D297="","FALTA ITEM DO ANEXO",IF($D297="INDIRETO","",IF(COUNTIFS('Anexo III'!$B$8:$B$400,$D297,'Anexo III'!$E$8:$E$400,"&gt;0")=0,"ITEM NÃO ACHADO NO ANEXO","")))))</f>
        <v/>
      </c>
    </row>
    <row r="298" customFormat="false" ht="15" hidden="false" customHeight="false" outlineLevel="0" collapsed="false">
      <c r="A298" s="43"/>
      <c r="B298" s="53" t="str">
        <f aca="false">IF($A298="","",IF(ISNUMBER(MATCH($A298,'Cotação de Materiais'!$A$4:$A$200,0)),"MAT",IF(ISNUMBER(MATCH($A298,'Mão de Obra e Serviços'!$A$4:$A$200,0)),"MO","CÓDIGO?")))</f>
        <v/>
      </c>
      <c r="C298" s="54" t="str">
        <f aca="false">IF($A298="","",IFERROR(INDEX('Cotação de Materiais'!$C$4:$C$200,MATCH($A298,'Cotação de Materiais'!$A$4:$A$200,0)),IFERROR(INDEX('Mão de Obra e Serviços'!$B$4:$B$200,MATCH($A298,'Mão de Obra e Serviços'!$A$4:$A$200,0)),"")))</f>
        <v/>
      </c>
      <c r="D298" s="43"/>
      <c r="E298" s="43"/>
      <c r="F298" s="43"/>
      <c r="G298" s="57" t="str">
        <f aca="false">IF($A298="","",E298*IF(F298="",1,F298))</f>
        <v/>
      </c>
      <c r="H298" s="31" t="str">
        <f aca="false">IF($A298="","",IF(SUMIF($A$6:$A$600,$A298,$G$6:$G$600)=0,0,G298/SUMIF($A$6:$A$600,$A298,$G$6:$G$600)))</f>
        <v/>
      </c>
      <c r="I298" s="30" t="str">
        <f aca="false">IF($A298="","",IFERROR(INDEX('Cotação de Materiais'!$H$4:$H$200,MATCH($A298,'Cotação de Materiais'!$A$4:$A$200,0)),IFERROR(INDEX('Mão de Obra e Serviços'!$G$4:$G$200,MATCH($A298,'Mão de Obra e Serviços'!$A$4:$A$200,0)),0)))</f>
        <v/>
      </c>
      <c r="K298" s="30" t="str">
        <f aca="false">IF($A298="","",I298*H298)</f>
        <v/>
      </c>
      <c r="L298" s="58"/>
      <c r="M298" s="54" t="str">
        <f aca="false">IF($A298="","",IF(B298="CÓDIGO?","CÓDIGO NÃO ACHADO",IF($D298="","FALTA ITEM DO ANEXO",IF($D298="INDIRETO","",IF(COUNTIFS('Anexo III'!$B$8:$B$400,$D298,'Anexo III'!$E$8:$E$400,"&gt;0")=0,"ITEM NÃO ACHADO NO ANEXO","")))))</f>
        <v/>
      </c>
    </row>
    <row r="299" customFormat="false" ht="15" hidden="false" customHeight="false" outlineLevel="0" collapsed="false">
      <c r="A299" s="43"/>
      <c r="B299" s="53" t="str">
        <f aca="false">IF($A299="","",IF(ISNUMBER(MATCH($A299,'Cotação de Materiais'!$A$4:$A$200,0)),"MAT",IF(ISNUMBER(MATCH($A299,'Mão de Obra e Serviços'!$A$4:$A$200,0)),"MO","CÓDIGO?")))</f>
        <v/>
      </c>
      <c r="C299" s="54" t="str">
        <f aca="false">IF($A299="","",IFERROR(INDEX('Cotação de Materiais'!$C$4:$C$200,MATCH($A299,'Cotação de Materiais'!$A$4:$A$200,0)),IFERROR(INDEX('Mão de Obra e Serviços'!$B$4:$B$200,MATCH($A299,'Mão de Obra e Serviços'!$A$4:$A$200,0)),"")))</f>
        <v/>
      </c>
      <c r="D299" s="43"/>
      <c r="E299" s="43"/>
      <c r="F299" s="43"/>
      <c r="G299" s="57" t="str">
        <f aca="false">IF($A299="","",E299*IF(F299="",1,F299))</f>
        <v/>
      </c>
      <c r="H299" s="31" t="str">
        <f aca="false">IF($A299="","",IF(SUMIF($A$6:$A$600,$A299,$G$6:$G$600)=0,0,G299/SUMIF($A$6:$A$600,$A299,$G$6:$G$600)))</f>
        <v/>
      </c>
      <c r="I299" s="30" t="str">
        <f aca="false">IF($A299="","",IFERROR(INDEX('Cotação de Materiais'!$H$4:$H$200,MATCH($A299,'Cotação de Materiais'!$A$4:$A$200,0)),IFERROR(INDEX('Mão de Obra e Serviços'!$G$4:$G$200,MATCH($A299,'Mão de Obra e Serviços'!$A$4:$A$200,0)),0)))</f>
        <v/>
      </c>
      <c r="K299" s="30" t="str">
        <f aca="false">IF($A299="","",I299*H299)</f>
        <v/>
      </c>
      <c r="L299" s="58"/>
      <c r="M299" s="54" t="str">
        <f aca="false">IF($A299="","",IF(B299="CÓDIGO?","CÓDIGO NÃO ACHADO",IF($D299="","FALTA ITEM DO ANEXO",IF($D299="INDIRETO","",IF(COUNTIFS('Anexo III'!$B$8:$B$400,$D299,'Anexo III'!$E$8:$E$400,"&gt;0")=0,"ITEM NÃO ACHADO NO ANEXO","")))))</f>
        <v/>
      </c>
    </row>
    <row r="300" customFormat="false" ht="15" hidden="false" customHeight="false" outlineLevel="0" collapsed="false">
      <c r="A300" s="43"/>
      <c r="B300" s="53" t="str">
        <f aca="false">IF($A300="","",IF(ISNUMBER(MATCH($A300,'Cotação de Materiais'!$A$4:$A$200,0)),"MAT",IF(ISNUMBER(MATCH($A300,'Mão de Obra e Serviços'!$A$4:$A$200,0)),"MO","CÓDIGO?")))</f>
        <v/>
      </c>
      <c r="C300" s="54" t="str">
        <f aca="false">IF($A300="","",IFERROR(INDEX('Cotação de Materiais'!$C$4:$C$200,MATCH($A300,'Cotação de Materiais'!$A$4:$A$200,0)),IFERROR(INDEX('Mão de Obra e Serviços'!$B$4:$B$200,MATCH($A300,'Mão de Obra e Serviços'!$A$4:$A$200,0)),"")))</f>
        <v/>
      </c>
      <c r="D300" s="43"/>
      <c r="E300" s="43"/>
      <c r="F300" s="43"/>
      <c r="G300" s="57" t="str">
        <f aca="false">IF($A300="","",E300*IF(F300="",1,F300))</f>
        <v/>
      </c>
      <c r="H300" s="31" t="str">
        <f aca="false">IF($A300="","",IF(SUMIF($A$6:$A$600,$A300,$G$6:$G$600)=0,0,G300/SUMIF($A$6:$A$600,$A300,$G$6:$G$600)))</f>
        <v/>
      </c>
      <c r="I300" s="30" t="str">
        <f aca="false">IF($A300="","",IFERROR(INDEX('Cotação de Materiais'!$H$4:$H$200,MATCH($A300,'Cotação de Materiais'!$A$4:$A$200,0)),IFERROR(INDEX('Mão de Obra e Serviços'!$G$4:$G$200,MATCH($A300,'Mão de Obra e Serviços'!$A$4:$A$200,0)),0)))</f>
        <v/>
      </c>
      <c r="K300" s="30" t="str">
        <f aca="false">IF($A300="","",I300*H300)</f>
        <v/>
      </c>
      <c r="L300" s="58"/>
      <c r="M300" s="54" t="str">
        <f aca="false">IF($A300="","",IF(B300="CÓDIGO?","CÓDIGO NÃO ACHADO",IF($D300="","FALTA ITEM DO ANEXO",IF($D300="INDIRETO","",IF(COUNTIFS('Anexo III'!$B$8:$B$400,$D300,'Anexo III'!$E$8:$E$400,"&gt;0")=0,"ITEM NÃO ACHADO NO ANEXO","")))))</f>
        <v/>
      </c>
    </row>
    <row r="301" customFormat="false" ht="15" hidden="false" customHeight="false" outlineLevel="0" collapsed="false">
      <c r="A301" s="43"/>
      <c r="B301" s="53" t="str">
        <f aca="false">IF($A301="","",IF(ISNUMBER(MATCH($A301,'Cotação de Materiais'!$A$4:$A$200,0)),"MAT",IF(ISNUMBER(MATCH($A301,'Mão de Obra e Serviços'!$A$4:$A$200,0)),"MO","CÓDIGO?")))</f>
        <v/>
      </c>
      <c r="C301" s="54" t="str">
        <f aca="false">IF($A301="","",IFERROR(INDEX('Cotação de Materiais'!$C$4:$C$200,MATCH($A301,'Cotação de Materiais'!$A$4:$A$200,0)),IFERROR(INDEX('Mão de Obra e Serviços'!$B$4:$B$200,MATCH($A301,'Mão de Obra e Serviços'!$A$4:$A$200,0)),"")))</f>
        <v/>
      </c>
      <c r="D301" s="43"/>
      <c r="E301" s="43"/>
      <c r="F301" s="43"/>
      <c r="G301" s="57" t="str">
        <f aca="false">IF($A301="","",E301*IF(F301="",1,F301))</f>
        <v/>
      </c>
      <c r="H301" s="31" t="str">
        <f aca="false">IF($A301="","",IF(SUMIF($A$6:$A$600,$A301,$G$6:$G$600)=0,0,G301/SUMIF($A$6:$A$600,$A301,$G$6:$G$600)))</f>
        <v/>
      </c>
      <c r="I301" s="30" t="str">
        <f aca="false">IF($A301="","",IFERROR(INDEX('Cotação de Materiais'!$H$4:$H$200,MATCH($A301,'Cotação de Materiais'!$A$4:$A$200,0)),IFERROR(INDEX('Mão de Obra e Serviços'!$G$4:$G$200,MATCH($A301,'Mão de Obra e Serviços'!$A$4:$A$200,0)),0)))</f>
        <v/>
      </c>
      <c r="K301" s="30" t="str">
        <f aca="false">IF($A301="","",I301*H301)</f>
        <v/>
      </c>
      <c r="L301" s="58"/>
      <c r="M301" s="54" t="str">
        <f aca="false">IF($A301="","",IF(B301="CÓDIGO?","CÓDIGO NÃO ACHADO",IF($D301="","FALTA ITEM DO ANEXO",IF($D301="INDIRETO","",IF(COUNTIFS('Anexo III'!$B$8:$B$400,$D301,'Anexo III'!$E$8:$E$400,"&gt;0")=0,"ITEM NÃO ACHADO NO ANEXO","")))))</f>
        <v/>
      </c>
    </row>
    <row r="302" customFormat="false" ht="15" hidden="false" customHeight="false" outlineLevel="0" collapsed="false">
      <c r="A302" s="43"/>
      <c r="B302" s="53" t="str">
        <f aca="false">IF($A302="","",IF(ISNUMBER(MATCH($A302,'Cotação de Materiais'!$A$4:$A$200,0)),"MAT",IF(ISNUMBER(MATCH($A302,'Mão de Obra e Serviços'!$A$4:$A$200,0)),"MO","CÓDIGO?")))</f>
        <v/>
      </c>
      <c r="C302" s="54" t="str">
        <f aca="false">IF($A302="","",IFERROR(INDEX('Cotação de Materiais'!$C$4:$C$200,MATCH($A302,'Cotação de Materiais'!$A$4:$A$200,0)),IFERROR(INDEX('Mão de Obra e Serviços'!$B$4:$B$200,MATCH($A302,'Mão de Obra e Serviços'!$A$4:$A$200,0)),"")))</f>
        <v/>
      </c>
      <c r="D302" s="43"/>
      <c r="E302" s="43"/>
      <c r="F302" s="43"/>
      <c r="G302" s="57" t="str">
        <f aca="false">IF($A302="","",E302*IF(F302="",1,F302))</f>
        <v/>
      </c>
      <c r="H302" s="31" t="str">
        <f aca="false">IF($A302="","",IF(SUMIF($A$6:$A$600,$A302,$G$6:$G$600)=0,0,G302/SUMIF($A$6:$A$600,$A302,$G$6:$G$600)))</f>
        <v/>
      </c>
      <c r="I302" s="30" t="str">
        <f aca="false">IF($A302="","",IFERROR(INDEX('Cotação de Materiais'!$H$4:$H$200,MATCH($A302,'Cotação de Materiais'!$A$4:$A$200,0)),IFERROR(INDEX('Mão de Obra e Serviços'!$G$4:$G$200,MATCH($A302,'Mão de Obra e Serviços'!$A$4:$A$200,0)),0)))</f>
        <v/>
      </c>
      <c r="K302" s="30" t="str">
        <f aca="false">IF($A302="","",I302*H302)</f>
        <v/>
      </c>
      <c r="L302" s="58"/>
      <c r="M302" s="54" t="str">
        <f aca="false">IF($A302="","",IF(B302="CÓDIGO?","CÓDIGO NÃO ACHADO",IF($D302="","FALTA ITEM DO ANEXO",IF($D302="INDIRETO","",IF(COUNTIFS('Anexo III'!$B$8:$B$400,$D302,'Anexo III'!$E$8:$E$400,"&gt;0")=0,"ITEM NÃO ACHADO NO ANEXO","")))))</f>
        <v/>
      </c>
    </row>
    <row r="303" customFormat="false" ht="15" hidden="false" customHeight="false" outlineLevel="0" collapsed="false">
      <c r="A303" s="43"/>
      <c r="B303" s="53" t="str">
        <f aca="false">IF($A303="","",IF(ISNUMBER(MATCH($A303,'Cotação de Materiais'!$A$4:$A$200,0)),"MAT",IF(ISNUMBER(MATCH($A303,'Mão de Obra e Serviços'!$A$4:$A$200,0)),"MO","CÓDIGO?")))</f>
        <v/>
      </c>
      <c r="C303" s="54" t="str">
        <f aca="false">IF($A303="","",IFERROR(INDEX('Cotação de Materiais'!$C$4:$C$200,MATCH($A303,'Cotação de Materiais'!$A$4:$A$200,0)),IFERROR(INDEX('Mão de Obra e Serviços'!$B$4:$B$200,MATCH($A303,'Mão de Obra e Serviços'!$A$4:$A$200,0)),"")))</f>
        <v/>
      </c>
      <c r="D303" s="43"/>
      <c r="E303" s="43"/>
      <c r="F303" s="43"/>
      <c r="G303" s="57" t="str">
        <f aca="false">IF($A303="","",E303*IF(F303="",1,F303))</f>
        <v/>
      </c>
      <c r="H303" s="31" t="str">
        <f aca="false">IF($A303="","",IF(SUMIF($A$6:$A$600,$A303,$G$6:$G$600)=0,0,G303/SUMIF($A$6:$A$600,$A303,$G$6:$G$600)))</f>
        <v/>
      </c>
      <c r="I303" s="30" t="str">
        <f aca="false">IF($A303="","",IFERROR(INDEX('Cotação de Materiais'!$H$4:$H$200,MATCH($A303,'Cotação de Materiais'!$A$4:$A$200,0)),IFERROR(INDEX('Mão de Obra e Serviços'!$G$4:$G$200,MATCH($A303,'Mão de Obra e Serviços'!$A$4:$A$200,0)),0)))</f>
        <v/>
      </c>
      <c r="K303" s="30" t="str">
        <f aca="false">IF($A303="","",I303*H303)</f>
        <v/>
      </c>
      <c r="L303" s="58"/>
      <c r="M303" s="54" t="str">
        <f aca="false">IF($A303="","",IF(B303="CÓDIGO?","CÓDIGO NÃO ACHADO",IF($D303="","FALTA ITEM DO ANEXO",IF($D303="INDIRETO","",IF(COUNTIFS('Anexo III'!$B$8:$B$400,$D303,'Anexo III'!$E$8:$E$400,"&gt;0")=0,"ITEM NÃO ACHADO NO ANEXO","")))))</f>
        <v/>
      </c>
    </row>
    <row r="304" customFormat="false" ht="15" hidden="false" customHeight="false" outlineLevel="0" collapsed="false">
      <c r="A304" s="43"/>
      <c r="B304" s="53" t="str">
        <f aca="false">IF($A304="","",IF(ISNUMBER(MATCH($A304,'Cotação de Materiais'!$A$4:$A$200,0)),"MAT",IF(ISNUMBER(MATCH($A304,'Mão de Obra e Serviços'!$A$4:$A$200,0)),"MO","CÓDIGO?")))</f>
        <v/>
      </c>
      <c r="C304" s="54" t="str">
        <f aca="false">IF($A304="","",IFERROR(INDEX('Cotação de Materiais'!$C$4:$C$200,MATCH($A304,'Cotação de Materiais'!$A$4:$A$200,0)),IFERROR(INDEX('Mão de Obra e Serviços'!$B$4:$B$200,MATCH($A304,'Mão de Obra e Serviços'!$A$4:$A$200,0)),"")))</f>
        <v/>
      </c>
      <c r="D304" s="43"/>
      <c r="E304" s="43"/>
      <c r="F304" s="43"/>
      <c r="G304" s="57" t="str">
        <f aca="false">IF($A304="","",E304*IF(F304="",1,F304))</f>
        <v/>
      </c>
      <c r="H304" s="31" t="str">
        <f aca="false">IF($A304="","",IF(SUMIF($A$6:$A$600,$A304,$G$6:$G$600)=0,0,G304/SUMIF($A$6:$A$600,$A304,$G$6:$G$600)))</f>
        <v/>
      </c>
      <c r="I304" s="30" t="str">
        <f aca="false">IF($A304="","",IFERROR(INDEX('Cotação de Materiais'!$H$4:$H$200,MATCH($A304,'Cotação de Materiais'!$A$4:$A$200,0)),IFERROR(INDEX('Mão de Obra e Serviços'!$G$4:$G$200,MATCH($A304,'Mão de Obra e Serviços'!$A$4:$A$200,0)),0)))</f>
        <v/>
      </c>
      <c r="K304" s="30" t="str">
        <f aca="false">IF($A304="","",I304*H304)</f>
        <v/>
      </c>
      <c r="L304" s="58"/>
      <c r="M304" s="54" t="str">
        <f aca="false">IF($A304="","",IF(B304="CÓDIGO?","CÓDIGO NÃO ACHADO",IF($D304="","FALTA ITEM DO ANEXO",IF($D304="INDIRETO","",IF(COUNTIFS('Anexo III'!$B$8:$B$400,$D304,'Anexo III'!$E$8:$E$400,"&gt;0")=0,"ITEM NÃO ACHADO NO ANEXO","")))))</f>
        <v/>
      </c>
    </row>
    <row r="305" customFormat="false" ht="15" hidden="false" customHeight="false" outlineLevel="0" collapsed="false">
      <c r="A305" s="43"/>
      <c r="B305" s="53" t="str">
        <f aca="false">IF($A305="","",IF(ISNUMBER(MATCH($A305,'Cotação de Materiais'!$A$4:$A$200,0)),"MAT",IF(ISNUMBER(MATCH($A305,'Mão de Obra e Serviços'!$A$4:$A$200,0)),"MO","CÓDIGO?")))</f>
        <v/>
      </c>
      <c r="C305" s="54" t="str">
        <f aca="false">IF($A305="","",IFERROR(INDEX('Cotação de Materiais'!$C$4:$C$200,MATCH($A305,'Cotação de Materiais'!$A$4:$A$200,0)),IFERROR(INDEX('Mão de Obra e Serviços'!$B$4:$B$200,MATCH($A305,'Mão de Obra e Serviços'!$A$4:$A$200,0)),"")))</f>
        <v/>
      </c>
      <c r="D305" s="43"/>
      <c r="E305" s="43"/>
      <c r="F305" s="43"/>
      <c r="G305" s="57" t="str">
        <f aca="false">IF($A305="","",E305*IF(F305="",1,F305))</f>
        <v/>
      </c>
      <c r="H305" s="31" t="str">
        <f aca="false">IF($A305="","",IF(SUMIF($A$6:$A$600,$A305,$G$6:$G$600)=0,0,G305/SUMIF($A$6:$A$600,$A305,$G$6:$G$600)))</f>
        <v/>
      </c>
      <c r="I305" s="30" t="str">
        <f aca="false">IF($A305="","",IFERROR(INDEX('Cotação de Materiais'!$H$4:$H$200,MATCH($A305,'Cotação de Materiais'!$A$4:$A$200,0)),IFERROR(INDEX('Mão de Obra e Serviços'!$G$4:$G$200,MATCH($A305,'Mão de Obra e Serviços'!$A$4:$A$200,0)),0)))</f>
        <v/>
      </c>
      <c r="K305" s="30" t="str">
        <f aca="false">IF($A305="","",I305*H305)</f>
        <v/>
      </c>
      <c r="L305" s="58"/>
      <c r="M305" s="54" t="str">
        <f aca="false">IF($A305="","",IF(B305="CÓDIGO?","CÓDIGO NÃO ACHADO",IF($D305="","FALTA ITEM DO ANEXO",IF($D305="INDIRETO","",IF(COUNTIFS('Anexo III'!$B$8:$B$400,$D305,'Anexo III'!$E$8:$E$400,"&gt;0")=0,"ITEM NÃO ACHADO NO ANEXO","")))))</f>
        <v/>
      </c>
    </row>
    <row r="306" customFormat="false" ht="15" hidden="false" customHeight="false" outlineLevel="0" collapsed="false">
      <c r="A306" s="43"/>
      <c r="B306" s="53" t="str">
        <f aca="false">IF($A306="","",IF(ISNUMBER(MATCH($A306,'Cotação de Materiais'!$A$4:$A$200,0)),"MAT",IF(ISNUMBER(MATCH($A306,'Mão de Obra e Serviços'!$A$4:$A$200,0)),"MO","CÓDIGO?")))</f>
        <v/>
      </c>
      <c r="C306" s="54" t="str">
        <f aca="false">IF($A306="","",IFERROR(INDEX('Cotação de Materiais'!$C$4:$C$200,MATCH($A306,'Cotação de Materiais'!$A$4:$A$200,0)),IFERROR(INDEX('Mão de Obra e Serviços'!$B$4:$B$200,MATCH($A306,'Mão de Obra e Serviços'!$A$4:$A$200,0)),"")))</f>
        <v/>
      </c>
      <c r="D306" s="43"/>
      <c r="E306" s="43"/>
      <c r="F306" s="43"/>
      <c r="G306" s="57" t="str">
        <f aca="false">IF($A306="","",E306*IF(F306="",1,F306))</f>
        <v/>
      </c>
      <c r="H306" s="31" t="str">
        <f aca="false">IF($A306="","",IF(SUMIF($A$6:$A$600,$A306,$G$6:$G$600)=0,0,G306/SUMIF($A$6:$A$600,$A306,$G$6:$G$600)))</f>
        <v/>
      </c>
      <c r="I306" s="30" t="str">
        <f aca="false">IF($A306="","",IFERROR(INDEX('Cotação de Materiais'!$H$4:$H$200,MATCH($A306,'Cotação de Materiais'!$A$4:$A$200,0)),IFERROR(INDEX('Mão de Obra e Serviços'!$G$4:$G$200,MATCH($A306,'Mão de Obra e Serviços'!$A$4:$A$200,0)),0)))</f>
        <v/>
      </c>
      <c r="K306" s="30" t="str">
        <f aca="false">IF($A306="","",I306*H306)</f>
        <v/>
      </c>
      <c r="L306" s="58"/>
      <c r="M306" s="54" t="str">
        <f aca="false">IF($A306="","",IF(B306="CÓDIGO?","CÓDIGO NÃO ACHADO",IF($D306="","FALTA ITEM DO ANEXO",IF($D306="INDIRETO","",IF(COUNTIFS('Anexo III'!$B$8:$B$400,$D306,'Anexo III'!$E$8:$E$400,"&gt;0")=0,"ITEM NÃO ACHADO NO ANEXO","")))))</f>
        <v/>
      </c>
    </row>
    <row r="307" customFormat="false" ht="15" hidden="false" customHeight="false" outlineLevel="0" collapsed="false">
      <c r="A307" s="43"/>
      <c r="B307" s="53" t="str">
        <f aca="false">IF($A307="","",IF(ISNUMBER(MATCH($A307,'Cotação de Materiais'!$A$4:$A$200,0)),"MAT",IF(ISNUMBER(MATCH($A307,'Mão de Obra e Serviços'!$A$4:$A$200,0)),"MO","CÓDIGO?")))</f>
        <v/>
      </c>
      <c r="C307" s="54" t="str">
        <f aca="false">IF($A307="","",IFERROR(INDEX('Cotação de Materiais'!$C$4:$C$200,MATCH($A307,'Cotação de Materiais'!$A$4:$A$200,0)),IFERROR(INDEX('Mão de Obra e Serviços'!$B$4:$B$200,MATCH($A307,'Mão de Obra e Serviços'!$A$4:$A$200,0)),"")))</f>
        <v/>
      </c>
      <c r="D307" s="43"/>
      <c r="E307" s="43"/>
      <c r="F307" s="43"/>
      <c r="G307" s="57" t="str">
        <f aca="false">IF($A307="","",E307*IF(F307="",1,F307))</f>
        <v/>
      </c>
      <c r="H307" s="31" t="str">
        <f aca="false">IF($A307="","",IF(SUMIF($A$6:$A$600,$A307,$G$6:$G$600)=0,0,G307/SUMIF($A$6:$A$600,$A307,$G$6:$G$600)))</f>
        <v/>
      </c>
      <c r="I307" s="30" t="str">
        <f aca="false">IF($A307="","",IFERROR(INDEX('Cotação de Materiais'!$H$4:$H$200,MATCH($A307,'Cotação de Materiais'!$A$4:$A$200,0)),IFERROR(INDEX('Mão de Obra e Serviços'!$G$4:$G$200,MATCH($A307,'Mão de Obra e Serviços'!$A$4:$A$200,0)),0)))</f>
        <v/>
      </c>
      <c r="K307" s="30" t="str">
        <f aca="false">IF($A307="","",I307*H307)</f>
        <v/>
      </c>
      <c r="L307" s="58"/>
      <c r="M307" s="54" t="str">
        <f aca="false">IF($A307="","",IF(B307="CÓDIGO?","CÓDIGO NÃO ACHADO",IF($D307="","FALTA ITEM DO ANEXO",IF($D307="INDIRETO","",IF(COUNTIFS('Anexo III'!$B$8:$B$400,$D307,'Anexo III'!$E$8:$E$400,"&gt;0")=0,"ITEM NÃO ACHADO NO ANEXO","")))))</f>
        <v/>
      </c>
    </row>
    <row r="308" customFormat="false" ht="15" hidden="false" customHeight="false" outlineLevel="0" collapsed="false">
      <c r="A308" s="43"/>
      <c r="B308" s="53" t="str">
        <f aca="false">IF($A308="","",IF(ISNUMBER(MATCH($A308,'Cotação de Materiais'!$A$4:$A$200,0)),"MAT",IF(ISNUMBER(MATCH($A308,'Mão de Obra e Serviços'!$A$4:$A$200,0)),"MO","CÓDIGO?")))</f>
        <v/>
      </c>
      <c r="C308" s="54" t="str">
        <f aca="false">IF($A308="","",IFERROR(INDEX('Cotação de Materiais'!$C$4:$C$200,MATCH($A308,'Cotação de Materiais'!$A$4:$A$200,0)),IFERROR(INDEX('Mão de Obra e Serviços'!$B$4:$B$200,MATCH($A308,'Mão de Obra e Serviços'!$A$4:$A$200,0)),"")))</f>
        <v/>
      </c>
      <c r="D308" s="43"/>
      <c r="E308" s="43"/>
      <c r="F308" s="43"/>
      <c r="G308" s="57" t="str">
        <f aca="false">IF($A308="","",E308*IF(F308="",1,F308))</f>
        <v/>
      </c>
      <c r="H308" s="31" t="str">
        <f aca="false">IF($A308="","",IF(SUMIF($A$6:$A$600,$A308,$G$6:$G$600)=0,0,G308/SUMIF($A$6:$A$600,$A308,$G$6:$G$600)))</f>
        <v/>
      </c>
      <c r="I308" s="30" t="str">
        <f aca="false">IF($A308="","",IFERROR(INDEX('Cotação de Materiais'!$H$4:$H$200,MATCH($A308,'Cotação de Materiais'!$A$4:$A$200,0)),IFERROR(INDEX('Mão de Obra e Serviços'!$G$4:$G$200,MATCH($A308,'Mão de Obra e Serviços'!$A$4:$A$200,0)),0)))</f>
        <v/>
      </c>
      <c r="K308" s="30" t="str">
        <f aca="false">IF($A308="","",I308*H308)</f>
        <v/>
      </c>
      <c r="L308" s="58"/>
      <c r="M308" s="54" t="str">
        <f aca="false">IF($A308="","",IF(B308="CÓDIGO?","CÓDIGO NÃO ACHADO",IF($D308="","FALTA ITEM DO ANEXO",IF($D308="INDIRETO","",IF(COUNTIFS('Anexo III'!$B$8:$B$400,$D308,'Anexo III'!$E$8:$E$400,"&gt;0")=0,"ITEM NÃO ACHADO NO ANEXO","")))))</f>
        <v/>
      </c>
    </row>
    <row r="309" customFormat="false" ht="15" hidden="false" customHeight="false" outlineLevel="0" collapsed="false">
      <c r="A309" s="43"/>
      <c r="B309" s="53" t="str">
        <f aca="false">IF($A309="","",IF(ISNUMBER(MATCH($A309,'Cotação de Materiais'!$A$4:$A$200,0)),"MAT",IF(ISNUMBER(MATCH($A309,'Mão de Obra e Serviços'!$A$4:$A$200,0)),"MO","CÓDIGO?")))</f>
        <v/>
      </c>
      <c r="C309" s="54" t="str">
        <f aca="false">IF($A309="","",IFERROR(INDEX('Cotação de Materiais'!$C$4:$C$200,MATCH($A309,'Cotação de Materiais'!$A$4:$A$200,0)),IFERROR(INDEX('Mão de Obra e Serviços'!$B$4:$B$200,MATCH($A309,'Mão de Obra e Serviços'!$A$4:$A$200,0)),"")))</f>
        <v/>
      </c>
      <c r="D309" s="43"/>
      <c r="E309" s="43"/>
      <c r="F309" s="43"/>
      <c r="G309" s="57" t="str">
        <f aca="false">IF($A309="","",E309*IF(F309="",1,F309))</f>
        <v/>
      </c>
      <c r="H309" s="31" t="str">
        <f aca="false">IF($A309="","",IF(SUMIF($A$6:$A$600,$A309,$G$6:$G$600)=0,0,G309/SUMIF($A$6:$A$600,$A309,$G$6:$G$600)))</f>
        <v/>
      </c>
      <c r="I309" s="30" t="str">
        <f aca="false">IF($A309="","",IFERROR(INDEX('Cotação de Materiais'!$H$4:$H$200,MATCH($A309,'Cotação de Materiais'!$A$4:$A$200,0)),IFERROR(INDEX('Mão de Obra e Serviços'!$G$4:$G$200,MATCH($A309,'Mão de Obra e Serviços'!$A$4:$A$200,0)),0)))</f>
        <v/>
      </c>
      <c r="K309" s="30" t="str">
        <f aca="false">IF($A309="","",I309*H309)</f>
        <v/>
      </c>
      <c r="L309" s="58"/>
      <c r="M309" s="54" t="str">
        <f aca="false">IF($A309="","",IF(B309="CÓDIGO?","CÓDIGO NÃO ACHADO",IF($D309="","FALTA ITEM DO ANEXO",IF($D309="INDIRETO","",IF(COUNTIFS('Anexo III'!$B$8:$B$400,$D309,'Anexo III'!$E$8:$E$400,"&gt;0")=0,"ITEM NÃO ACHADO NO ANEXO","")))))</f>
        <v/>
      </c>
    </row>
    <row r="310" customFormat="false" ht="15" hidden="false" customHeight="false" outlineLevel="0" collapsed="false">
      <c r="A310" s="43"/>
      <c r="B310" s="53" t="str">
        <f aca="false">IF($A310="","",IF(ISNUMBER(MATCH($A310,'Cotação de Materiais'!$A$4:$A$200,0)),"MAT",IF(ISNUMBER(MATCH($A310,'Mão de Obra e Serviços'!$A$4:$A$200,0)),"MO","CÓDIGO?")))</f>
        <v/>
      </c>
      <c r="C310" s="54" t="str">
        <f aca="false">IF($A310="","",IFERROR(INDEX('Cotação de Materiais'!$C$4:$C$200,MATCH($A310,'Cotação de Materiais'!$A$4:$A$200,0)),IFERROR(INDEX('Mão de Obra e Serviços'!$B$4:$B$200,MATCH($A310,'Mão de Obra e Serviços'!$A$4:$A$200,0)),"")))</f>
        <v/>
      </c>
      <c r="D310" s="43"/>
      <c r="E310" s="43"/>
      <c r="F310" s="43"/>
      <c r="G310" s="57" t="str">
        <f aca="false">IF($A310="","",E310*IF(F310="",1,F310))</f>
        <v/>
      </c>
      <c r="H310" s="31" t="str">
        <f aca="false">IF($A310="","",IF(SUMIF($A$6:$A$600,$A310,$G$6:$G$600)=0,0,G310/SUMIF($A$6:$A$600,$A310,$G$6:$G$600)))</f>
        <v/>
      </c>
      <c r="I310" s="30" t="str">
        <f aca="false">IF($A310="","",IFERROR(INDEX('Cotação de Materiais'!$H$4:$H$200,MATCH($A310,'Cotação de Materiais'!$A$4:$A$200,0)),IFERROR(INDEX('Mão de Obra e Serviços'!$G$4:$G$200,MATCH($A310,'Mão de Obra e Serviços'!$A$4:$A$200,0)),0)))</f>
        <v/>
      </c>
      <c r="K310" s="30" t="str">
        <f aca="false">IF($A310="","",I310*H310)</f>
        <v/>
      </c>
      <c r="L310" s="58"/>
      <c r="M310" s="54" t="str">
        <f aca="false">IF($A310="","",IF(B310="CÓDIGO?","CÓDIGO NÃO ACHADO",IF($D310="","FALTA ITEM DO ANEXO",IF($D310="INDIRETO","",IF(COUNTIFS('Anexo III'!$B$8:$B$400,$D310,'Anexo III'!$E$8:$E$400,"&gt;0")=0,"ITEM NÃO ACHADO NO ANEXO","")))))</f>
        <v/>
      </c>
    </row>
    <row r="311" customFormat="false" ht="15" hidden="false" customHeight="false" outlineLevel="0" collapsed="false">
      <c r="A311" s="43"/>
      <c r="B311" s="53" t="str">
        <f aca="false">IF($A311="","",IF(ISNUMBER(MATCH($A311,'Cotação de Materiais'!$A$4:$A$200,0)),"MAT",IF(ISNUMBER(MATCH($A311,'Mão de Obra e Serviços'!$A$4:$A$200,0)),"MO","CÓDIGO?")))</f>
        <v/>
      </c>
      <c r="C311" s="54" t="str">
        <f aca="false">IF($A311="","",IFERROR(INDEX('Cotação de Materiais'!$C$4:$C$200,MATCH($A311,'Cotação de Materiais'!$A$4:$A$200,0)),IFERROR(INDEX('Mão de Obra e Serviços'!$B$4:$B$200,MATCH($A311,'Mão de Obra e Serviços'!$A$4:$A$200,0)),"")))</f>
        <v/>
      </c>
      <c r="D311" s="43"/>
      <c r="E311" s="43"/>
      <c r="F311" s="43"/>
      <c r="G311" s="57" t="str">
        <f aca="false">IF($A311="","",E311*IF(F311="",1,F311))</f>
        <v/>
      </c>
      <c r="H311" s="31" t="str">
        <f aca="false">IF($A311="","",IF(SUMIF($A$6:$A$600,$A311,$G$6:$G$600)=0,0,G311/SUMIF($A$6:$A$600,$A311,$G$6:$G$600)))</f>
        <v/>
      </c>
      <c r="I311" s="30" t="str">
        <f aca="false">IF($A311="","",IFERROR(INDEX('Cotação de Materiais'!$H$4:$H$200,MATCH($A311,'Cotação de Materiais'!$A$4:$A$200,0)),IFERROR(INDEX('Mão de Obra e Serviços'!$G$4:$G$200,MATCH($A311,'Mão de Obra e Serviços'!$A$4:$A$200,0)),0)))</f>
        <v/>
      </c>
      <c r="K311" s="30" t="str">
        <f aca="false">IF($A311="","",I311*H311)</f>
        <v/>
      </c>
      <c r="L311" s="58"/>
      <c r="M311" s="54" t="str">
        <f aca="false">IF($A311="","",IF(B311="CÓDIGO?","CÓDIGO NÃO ACHADO",IF($D311="","FALTA ITEM DO ANEXO",IF($D311="INDIRETO","",IF(COUNTIFS('Anexo III'!$B$8:$B$400,$D311,'Anexo III'!$E$8:$E$400,"&gt;0")=0,"ITEM NÃO ACHADO NO ANEXO","")))))</f>
        <v/>
      </c>
    </row>
    <row r="312" customFormat="false" ht="15" hidden="false" customHeight="false" outlineLevel="0" collapsed="false">
      <c r="A312" s="43"/>
      <c r="B312" s="53" t="str">
        <f aca="false">IF($A312="","",IF(ISNUMBER(MATCH($A312,'Cotação de Materiais'!$A$4:$A$200,0)),"MAT",IF(ISNUMBER(MATCH($A312,'Mão de Obra e Serviços'!$A$4:$A$200,0)),"MO","CÓDIGO?")))</f>
        <v/>
      </c>
      <c r="C312" s="54" t="str">
        <f aca="false">IF($A312="","",IFERROR(INDEX('Cotação de Materiais'!$C$4:$C$200,MATCH($A312,'Cotação de Materiais'!$A$4:$A$200,0)),IFERROR(INDEX('Mão de Obra e Serviços'!$B$4:$B$200,MATCH($A312,'Mão de Obra e Serviços'!$A$4:$A$200,0)),"")))</f>
        <v/>
      </c>
      <c r="D312" s="43"/>
      <c r="E312" s="43"/>
      <c r="F312" s="43"/>
      <c r="G312" s="57" t="str">
        <f aca="false">IF($A312="","",E312*IF(F312="",1,F312))</f>
        <v/>
      </c>
      <c r="H312" s="31" t="str">
        <f aca="false">IF($A312="","",IF(SUMIF($A$6:$A$600,$A312,$G$6:$G$600)=0,0,G312/SUMIF($A$6:$A$600,$A312,$G$6:$G$600)))</f>
        <v/>
      </c>
      <c r="I312" s="30" t="str">
        <f aca="false">IF($A312="","",IFERROR(INDEX('Cotação de Materiais'!$H$4:$H$200,MATCH($A312,'Cotação de Materiais'!$A$4:$A$200,0)),IFERROR(INDEX('Mão de Obra e Serviços'!$G$4:$G$200,MATCH($A312,'Mão de Obra e Serviços'!$A$4:$A$200,0)),0)))</f>
        <v/>
      </c>
      <c r="K312" s="30" t="str">
        <f aca="false">IF($A312="","",I312*H312)</f>
        <v/>
      </c>
      <c r="L312" s="58"/>
      <c r="M312" s="54" t="str">
        <f aca="false">IF($A312="","",IF(B312="CÓDIGO?","CÓDIGO NÃO ACHADO",IF($D312="","FALTA ITEM DO ANEXO",IF($D312="INDIRETO","",IF(COUNTIFS('Anexo III'!$B$8:$B$400,$D312,'Anexo III'!$E$8:$E$400,"&gt;0")=0,"ITEM NÃO ACHADO NO ANEXO","")))))</f>
        <v/>
      </c>
    </row>
    <row r="313" customFormat="false" ht="15" hidden="false" customHeight="false" outlineLevel="0" collapsed="false">
      <c r="A313" s="43"/>
      <c r="B313" s="53" t="str">
        <f aca="false">IF($A313="","",IF(ISNUMBER(MATCH($A313,'Cotação de Materiais'!$A$4:$A$200,0)),"MAT",IF(ISNUMBER(MATCH($A313,'Mão de Obra e Serviços'!$A$4:$A$200,0)),"MO","CÓDIGO?")))</f>
        <v/>
      </c>
      <c r="C313" s="54" t="str">
        <f aca="false">IF($A313="","",IFERROR(INDEX('Cotação de Materiais'!$C$4:$C$200,MATCH($A313,'Cotação de Materiais'!$A$4:$A$200,0)),IFERROR(INDEX('Mão de Obra e Serviços'!$B$4:$B$200,MATCH($A313,'Mão de Obra e Serviços'!$A$4:$A$200,0)),"")))</f>
        <v/>
      </c>
      <c r="D313" s="43"/>
      <c r="E313" s="43"/>
      <c r="F313" s="43"/>
      <c r="G313" s="57" t="str">
        <f aca="false">IF($A313="","",E313*IF(F313="",1,F313))</f>
        <v/>
      </c>
      <c r="H313" s="31" t="str">
        <f aca="false">IF($A313="","",IF(SUMIF($A$6:$A$600,$A313,$G$6:$G$600)=0,0,G313/SUMIF($A$6:$A$600,$A313,$G$6:$G$600)))</f>
        <v/>
      </c>
      <c r="I313" s="30" t="str">
        <f aca="false">IF($A313="","",IFERROR(INDEX('Cotação de Materiais'!$H$4:$H$200,MATCH($A313,'Cotação de Materiais'!$A$4:$A$200,0)),IFERROR(INDEX('Mão de Obra e Serviços'!$G$4:$G$200,MATCH($A313,'Mão de Obra e Serviços'!$A$4:$A$200,0)),0)))</f>
        <v/>
      </c>
      <c r="K313" s="30" t="str">
        <f aca="false">IF($A313="","",I313*H313)</f>
        <v/>
      </c>
      <c r="L313" s="58"/>
      <c r="M313" s="54" t="str">
        <f aca="false">IF($A313="","",IF(B313="CÓDIGO?","CÓDIGO NÃO ACHADO",IF($D313="","FALTA ITEM DO ANEXO",IF($D313="INDIRETO","",IF(COUNTIFS('Anexo III'!$B$8:$B$400,$D313,'Anexo III'!$E$8:$E$400,"&gt;0")=0,"ITEM NÃO ACHADO NO ANEXO","")))))</f>
        <v/>
      </c>
    </row>
    <row r="314" customFormat="false" ht="15" hidden="false" customHeight="false" outlineLevel="0" collapsed="false">
      <c r="A314" s="43"/>
      <c r="B314" s="53" t="str">
        <f aca="false">IF($A314="","",IF(ISNUMBER(MATCH($A314,'Cotação de Materiais'!$A$4:$A$200,0)),"MAT",IF(ISNUMBER(MATCH($A314,'Mão de Obra e Serviços'!$A$4:$A$200,0)),"MO","CÓDIGO?")))</f>
        <v/>
      </c>
      <c r="C314" s="54" t="str">
        <f aca="false">IF($A314="","",IFERROR(INDEX('Cotação de Materiais'!$C$4:$C$200,MATCH($A314,'Cotação de Materiais'!$A$4:$A$200,0)),IFERROR(INDEX('Mão de Obra e Serviços'!$B$4:$B$200,MATCH($A314,'Mão de Obra e Serviços'!$A$4:$A$200,0)),"")))</f>
        <v/>
      </c>
      <c r="D314" s="43"/>
      <c r="E314" s="43"/>
      <c r="F314" s="43"/>
      <c r="G314" s="57" t="str">
        <f aca="false">IF($A314="","",E314*IF(F314="",1,F314))</f>
        <v/>
      </c>
      <c r="H314" s="31" t="str">
        <f aca="false">IF($A314="","",IF(SUMIF($A$6:$A$600,$A314,$G$6:$G$600)=0,0,G314/SUMIF($A$6:$A$600,$A314,$G$6:$G$600)))</f>
        <v/>
      </c>
      <c r="I314" s="30" t="str">
        <f aca="false">IF($A314="","",IFERROR(INDEX('Cotação de Materiais'!$H$4:$H$200,MATCH($A314,'Cotação de Materiais'!$A$4:$A$200,0)),IFERROR(INDEX('Mão de Obra e Serviços'!$G$4:$G$200,MATCH($A314,'Mão de Obra e Serviços'!$A$4:$A$200,0)),0)))</f>
        <v/>
      </c>
      <c r="K314" s="30" t="str">
        <f aca="false">IF($A314="","",I314*H314)</f>
        <v/>
      </c>
      <c r="L314" s="58"/>
      <c r="M314" s="54" t="str">
        <f aca="false">IF($A314="","",IF(B314="CÓDIGO?","CÓDIGO NÃO ACHADO",IF($D314="","FALTA ITEM DO ANEXO",IF($D314="INDIRETO","",IF(COUNTIFS('Anexo III'!$B$8:$B$400,$D314,'Anexo III'!$E$8:$E$400,"&gt;0")=0,"ITEM NÃO ACHADO NO ANEXO","")))))</f>
        <v/>
      </c>
    </row>
    <row r="315" customFormat="false" ht="15" hidden="false" customHeight="false" outlineLevel="0" collapsed="false">
      <c r="A315" s="43"/>
      <c r="B315" s="53" t="str">
        <f aca="false">IF($A315="","",IF(ISNUMBER(MATCH($A315,'Cotação de Materiais'!$A$4:$A$200,0)),"MAT",IF(ISNUMBER(MATCH($A315,'Mão de Obra e Serviços'!$A$4:$A$200,0)),"MO","CÓDIGO?")))</f>
        <v/>
      </c>
      <c r="C315" s="54" t="str">
        <f aca="false">IF($A315="","",IFERROR(INDEX('Cotação de Materiais'!$C$4:$C$200,MATCH($A315,'Cotação de Materiais'!$A$4:$A$200,0)),IFERROR(INDEX('Mão de Obra e Serviços'!$B$4:$B$200,MATCH($A315,'Mão de Obra e Serviços'!$A$4:$A$200,0)),"")))</f>
        <v/>
      </c>
      <c r="D315" s="43"/>
      <c r="E315" s="43"/>
      <c r="F315" s="43"/>
      <c r="G315" s="57" t="str">
        <f aca="false">IF($A315="","",E315*IF(F315="",1,F315))</f>
        <v/>
      </c>
      <c r="H315" s="31" t="str">
        <f aca="false">IF($A315="","",IF(SUMIF($A$6:$A$600,$A315,$G$6:$G$600)=0,0,G315/SUMIF($A$6:$A$600,$A315,$G$6:$G$600)))</f>
        <v/>
      </c>
      <c r="I315" s="30" t="str">
        <f aca="false">IF($A315="","",IFERROR(INDEX('Cotação de Materiais'!$H$4:$H$200,MATCH($A315,'Cotação de Materiais'!$A$4:$A$200,0)),IFERROR(INDEX('Mão de Obra e Serviços'!$G$4:$G$200,MATCH($A315,'Mão de Obra e Serviços'!$A$4:$A$200,0)),0)))</f>
        <v/>
      </c>
      <c r="K315" s="30" t="str">
        <f aca="false">IF($A315="","",I315*H315)</f>
        <v/>
      </c>
      <c r="L315" s="58"/>
      <c r="M315" s="54" t="str">
        <f aca="false">IF($A315="","",IF(B315="CÓDIGO?","CÓDIGO NÃO ACHADO",IF($D315="","FALTA ITEM DO ANEXO",IF($D315="INDIRETO","",IF(COUNTIFS('Anexo III'!$B$8:$B$400,$D315,'Anexo III'!$E$8:$E$400,"&gt;0")=0,"ITEM NÃO ACHADO NO ANEXO","")))))</f>
        <v/>
      </c>
    </row>
    <row r="316" customFormat="false" ht="15" hidden="false" customHeight="false" outlineLevel="0" collapsed="false">
      <c r="A316" s="43"/>
      <c r="B316" s="53" t="str">
        <f aca="false">IF($A316="","",IF(ISNUMBER(MATCH($A316,'Cotação de Materiais'!$A$4:$A$200,0)),"MAT",IF(ISNUMBER(MATCH($A316,'Mão de Obra e Serviços'!$A$4:$A$200,0)),"MO","CÓDIGO?")))</f>
        <v/>
      </c>
      <c r="C316" s="54" t="str">
        <f aca="false">IF($A316="","",IFERROR(INDEX('Cotação de Materiais'!$C$4:$C$200,MATCH($A316,'Cotação de Materiais'!$A$4:$A$200,0)),IFERROR(INDEX('Mão de Obra e Serviços'!$B$4:$B$200,MATCH($A316,'Mão de Obra e Serviços'!$A$4:$A$200,0)),"")))</f>
        <v/>
      </c>
      <c r="D316" s="43"/>
      <c r="E316" s="43"/>
      <c r="F316" s="43"/>
      <c r="G316" s="57" t="str">
        <f aca="false">IF($A316="","",E316*IF(F316="",1,F316))</f>
        <v/>
      </c>
      <c r="H316" s="31" t="str">
        <f aca="false">IF($A316="","",IF(SUMIF($A$6:$A$600,$A316,$G$6:$G$600)=0,0,G316/SUMIF($A$6:$A$600,$A316,$G$6:$G$600)))</f>
        <v/>
      </c>
      <c r="I316" s="30" t="str">
        <f aca="false">IF($A316="","",IFERROR(INDEX('Cotação de Materiais'!$H$4:$H$200,MATCH($A316,'Cotação de Materiais'!$A$4:$A$200,0)),IFERROR(INDEX('Mão de Obra e Serviços'!$G$4:$G$200,MATCH($A316,'Mão de Obra e Serviços'!$A$4:$A$200,0)),0)))</f>
        <v/>
      </c>
      <c r="K316" s="30" t="str">
        <f aca="false">IF($A316="","",I316*H316)</f>
        <v/>
      </c>
      <c r="L316" s="58"/>
      <c r="M316" s="54" t="str">
        <f aca="false">IF($A316="","",IF(B316="CÓDIGO?","CÓDIGO NÃO ACHADO",IF($D316="","FALTA ITEM DO ANEXO",IF($D316="INDIRETO","",IF(COUNTIFS('Anexo III'!$B$8:$B$400,$D316,'Anexo III'!$E$8:$E$400,"&gt;0")=0,"ITEM NÃO ACHADO NO ANEXO","")))))</f>
        <v/>
      </c>
    </row>
    <row r="317" customFormat="false" ht="15" hidden="false" customHeight="false" outlineLevel="0" collapsed="false">
      <c r="A317" s="43"/>
      <c r="B317" s="53" t="str">
        <f aca="false">IF($A317="","",IF(ISNUMBER(MATCH($A317,'Cotação de Materiais'!$A$4:$A$200,0)),"MAT",IF(ISNUMBER(MATCH($A317,'Mão de Obra e Serviços'!$A$4:$A$200,0)),"MO","CÓDIGO?")))</f>
        <v/>
      </c>
      <c r="C317" s="54" t="str">
        <f aca="false">IF($A317="","",IFERROR(INDEX('Cotação de Materiais'!$C$4:$C$200,MATCH($A317,'Cotação de Materiais'!$A$4:$A$200,0)),IFERROR(INDEX('Mão de Obra e Serviços'!$B$4:$B$200,MATCH($A317,'Mão de Obra e Serviços'!$A$4:$A$200,0)),"")))</f>
        <v/>
      </c>
      <c r="D317" s="43"/>
      <c r="E317" s="43"/>
      <c r="F317" s="43"/>
      <c r="G317" s="57" t="str">
        <f aca="false">IF($A317="","",E317*IF(F317="",1,F317))</f>
        <v/>
      </c>
      <c r="H317" s="31" t="str">
        <f aca="false">IF($A317="","",IF(SUMIF($A$6:$A$600,$A317,$G$6:$G$600)=0,0,G317/SUMIF($A$6:$A$600,$A317,$G$6:$G$600)))</f>
        <v/>
      </c>
      <c r="I317" s="30" t="str">
        <f aca="false">IF($A317="","",IFERROR(INDEX('Cotação de Materiais'!$H$4:$H$200,MATCH($A317,'Cotação de Materiais'!$A$4:$A$200,0)),IFERROR(INDEX('Mão de Obra e Serviços'!$G$4:$G$200,MATCH($A317,'Mão de Obra e Serviços'!$A$4:$A$200,0)),0)))</f>
        <v/>
      </c>
      <c r="K317" s="30" t="str">
        <f aca="false">IF($A317="","",I317*H317)</f>
        <v/>
      </c>
      <c r="L317" s="58"/>
      <c r="M317" s="54" t="str">
        <f aca="false">IF($A317="","",IF(B317="CÓDIGO?","CÓDIGO NÃO ACHADO",IF($D317="","FALTA ITEM DO ANEXO",IF($D317="INDIRETO","",IF(COUNTIFS('Anexo III'!$B$8:$B$400,$D317,'Anexo III'!$E$8:$E$400,"&gt;0")=0,"ITEM NÃO ACHADO NO ANEXO","")))))</f>
        <v/>
      </c>
    </row>
    <row r="318" customFormat="false" ht="15" hidden="false" customHeight="false" outlineLevel="0" collapsed="false">
      <c r="A318" s="43"/>
      <c r="B318" s="53" t="str">
        <f aca="false">IF($A318="","",IF(ISNUMBER(MATCH($A318,'Cotação de Materiais'!$A$4:$A$200,0)),"MAT",IF(ISNUMBER(MATCH($A318,'Mão de Obra e Serviços'!$A$4:$A$200,0)),"MO","CÓDIGO?")))</f>
        <v/>
      </c>
      <c r="C318" s="54" t="str">
        <f aca="false">IF($A318="","",IFERROR(INDEX('Cotação de Materiais'!$C$4:$C$200,MATCH($A318,'Cotação de Materiais'!$A$4:$A$200,0)),IFERROR(INDEX('Mão de Obra e Serviços'!$B$4:$B$200,MATCH($A318,'Mão de Obra e Serviços'!$A$4:$A$200,0)),"")))</f>
        <v/>
      </c>
      <c r="D318" s="43"/>
      <c r="E318" s="43"/>
      <c r="F318" s="43"/>
      <c r="G318" s="57" t="str">
        <f aca="false">IF($A318="","",E318*IF(F318="",1,F318))</f>
        <v/>
      </c>
      <c r="H318" s="31" t="str">
        <f aca="false">IF($A318="","",IF(SUMIF($A$6:$A$600,$A318,$G$6:$G$600)=0,0,G318/SUMIF($A$6:$A$600,$A318,$G$6:$G$600)))</f>
        <v/>
      </c>
      <c r="I318" s="30" t="str">
        <f aca="false">IF($A318="","",IFERROR(INDEX('Cotação de Materiais'!$H$4:$H$200,MATCH($A318,'Cotação de Materiais'!$A$4:$A$200,0)),IFERROR(INDEX('Mão de Obra e Serviços'!$G$4:$G$200,MATCH($A318,'Mão de Obra e Serviços'!$A$4:$A$200,0)),0)))</f>
        <v/>
      </c>
      <c r="K318" s="30" t="str">
        <f aca="false">IF($A318="","",I318*H318)</f>
        <v/>
      </c>
      <c r="L318" s="58"/>
      <c r="M318" s="54" t="str">
        <f aca="false">IF($A318="","",IF(B318="CÓDIGO?","CÓDIGO NÃO ACHADO",IF($D318="","FALTA ITEM DO ANEXO",IF($D318="INDIRETO","",IF(COUNTIFS('Anexo III'!$B$8:$B$400,$D318,'Anexo III'!$E$8:$E$400,"&gt;0")=0,"ITEM NÃO ACHADO NO ANEXO","")))))</f>
        <v/>
      </c>
    </row>
    <row r="319" customFormat="false" ht="15" hidden="false" customHeight="false" outlineLevel="0" collapsed="false">
      <c r="A319" s="43"/>
      <c r="B319" s="53" t="str">
        <f aca="false">IF($A319="","",IF(ISNUMBER(MATCH($A319,'Cotação de Materiais'!$A$4:$A$200,0)),"MAT",IF(ISNUMBER(MATCH($A319,'Mão de Obra e Serviços'!$A$4:$A$200,0)),"MO","CÓDIGO?")))</f>
        <v/>
      </c>
      <c r="C319" s="54" t="str">
        <f aca="false">IF($A319="","",IFERROR(INDEX('Cotação de Materiais'!$C$4:$C$200,MATCH($A319,'Cotação de Materiais'!$A$4:$A$200,0)),IFERROR(INDEX('Mão de Obra e Serviços'!$B$4:$B$200,MATCH($A319,'Mão de Obra e Serviços'!$A$4:$A$200,0)),"")))</f>
        <v/>
      </c>
      <c r="D319" s="43"/>
      <c r="E319" s="43"/>
      <c r="F319" s="43"/>
      <c r="G319" s="57" t="str">
        <f aca="false">IF($A319="","",E319*IF(F319="",1,F319))</f>
        <v/>
      </c>
      <c r="H319" s="31" t="str">
        <f aca="false">IF($A319="","",IF(SUMIF($A$6:$A$600,$A319,$G$6:$G$600)=0,0,G319/SUMIF($A$6:$A$600,$A319,$G$6:$G$600)))</f>
        <v/>
      </c>
      <c r="I319" s="30" t="str">
        <f aca="false">IF($A319="","",IFERROR(INDEX('Cotação de Materiais'!$H$4:$H$200,MATCH($A319,'Cotação de Materiais'!$A$4:$A$200,0)),IFERROR(INDEX('Mão de Obra e Serviços'!$G$4:$G$200,MATCH($A319,'Mão de Obra e Serviços'!$A$4:$A$200,0)),0)))</f>
        <v/>
      </c>
      <c r="K319" s="30" t="str">
        <f aca="false">IF($A319="","",I319*H319)</f>
        <v/>
      </c>
      <c r="L319" s="58"/>
      <c r="M319" s="54" t="str">
        <f aca="false">IF($A319="","",IF(B319="CÓDIGO?","CÓDIGO NÃO ACHADO",IF($D319="","FALTA ITEM DO ANEXO",IF($D319="INDIRETO","",IF(COUNTIFS('Anexo III'!$B$8:$B$400,$D319,'Anexo III'!$E$8:$E$400,"&gt;0")=0,"ITEM NÃO ACHADO NO ANEXO","")))))</f>
        <v/>
      </c>
    </row>
    <row r="320" customFormat="false" ht="15" hidden="false" customHeight="false" outlineLevel="0" collapsed="false">
      <c r="A320" s="43"/>
      <c r="B320" s="53" t="str">
        <f aca="false">IF($A320="","",IF(ISNUMBER(MATCH($A320,'Cotação de Materiais'!$A$4:$A$200,0)),"MAT",IF(ISNUMBER(MATCH($A320,'Mão de Obra e Serviços'!$A$4:$A$200,0)),"MO","CÓDIGO?")))</f>
        <v/>
      </c>
      <c r="C320" s="54" t="str">
        <f aca="false">IF($A320="","",IFERROR(INDEX('Cotação de Materiais'!$C$4:$C$200,MATCH($A320,'Cotação de Materiais'!$A$4:$A$200,0)),IFERROR(INDEX('Mão de Obra e Serviços'!$B$4:$B$200,MATCH($A320,'Mão de Obra e Serviços'!$A$4:$A$200,0)),"")))</f>
        <v/>
      </c>
      <c r="D320" s="43"/>
      <c r="E320" s="43"/>
      <c r="F320" s="43"/>
      <c r="G320" s="57" t="str">
        <f aca="false">IF($A320="","",E320*IF(F320="",1,F320))</f>
        <v/>
      </c>
      <c r="H320" s="31" t="str">
        <f aca="false">IF($A320="","",IF(SUMIF($A$6:$A$600,$A320,$G$6:$G$600)=0,0,G320/SUMIF($A$6:$A$600,$A320,$G$6:$G$600)))</f>
        <v/>
      </c>
      <c r="I320" s="30" t="str">
        <f aca="false">IF($A320="","",IFERROR(INDEX('Cotação de Materiais'!$H$4:$H$200,MATCH($A320,'Cotação de Materiais'!$A$4:$A$200,0)),IFERROR(INDEX('Mão de Obra e Serviços'!$G$4:$G$200,MATCH($A320,'Mão de Obra e Serviços'!$A$4:$A$200,0)),0)))</f>
        <v/>
      </c>
      <c r="K320" s="30" t="str">
        <f aca="false">IF($A320="","",I320*H320)</f>
        <v/>
      </c>
      <c r="L320" s="58"/>
      <c r="M320" s="54" t="str">
        <f aca="false">IF($A320="","",IF(B320="CÓDIGO?","CÓDIGO NÃO ACHADO",IF($D320="","FALTA ITEM DO ANEXO",IF($D320="INDIRETO","",IF(COUNTIFS('Anexo III'!$B$8:$B$400,$D320,'Anexo III'!$E$8:$E$400,"&gt;0")=0,"ITEM NÃO ACHADO NO ANEXO","")))))</f>
        <v/>
      </c>
    </row>
    <row r="321" customFormat="false" ht="15" hidden="false" customHeight="false" outlineLevel="0" collapsed="false">
      <c r="A321" s="43"/>
      <c r="B321" s="53" t="str">
        <f aca="false">IF($A321="","",IF(ISNUMBER(MATCH($A321,'Cotação de Materiais'!$A$4:$A$200,0)),"MAT",IF(ISNUMBER(MATCH($A321,'Mão de Obra e Serviços'!$A$4:$A$200,0)),"MO","CÓDIGO?")))</f>
        <v/>
      </c>
      <c r="C321" s="54" t="str">
        <f aca="false">IF($A321="","",IFERROR(INDEX('Cotação de Materiais'!$C$4:$C$200,MATCH($A321,'Cotação de Materiais'!$A$4:$A$200,0)),IFERROR(INDEX('Mão de Obra e Serviços'!$B$4:$B$200,MATCH($A321,'Mão de Obra e Serviços'!$A$4:$A$200,0)),"")))</f>
        <v/>
      </c>
      <c r="D321" s="43"/>
      <c r="E321" s="43"/>
      <c r="F321" s="43"/>
      <c r="G321" s="57" t="str">
        <f aca="false">IF($A321="","",E321*IF(F321="",1,F321))</f>
        <v/>
      </c>
      <c r="H321" s="31" t="str">
        <f aca="false">IF($A321="","",IF(SUMIF($A$6:$A$600,$A321,$G$6:$G$600)=0,0,G321/SUMIF($A$6:$A$600,$A321,$G$6:$G$600)))</f>
        <v/>
      </c>
      <c r="I321" s="30" t="str">
        <f aca="false">IF($A321="","",IFERROR(INDEX('Cotação de Materiais'!$H$4:$H$200,MATCH($A321,'Cotação de Materiais'!$A$4:$A$200,0)),IFERROR(INDEX('Mão de Obra e Serviços'!$G$4:$G$200,MATCH($A321,'Mão de Obra e Serviços'!$A$4:$A$200,0)),0)))</f>
        <v/>
      </c>
      <c r="K321" s="30" t="str">
        <f aca="false">IF($A321="","",I321*H321)</f>
        <v/>
      </c>
      <c r="L321" s="58"/>
      <c r="M321" s="54" t="str">
        <f aca="false">IF($A321="","",IF(B321="CÓDIGO?","CÓDIGO NÃO ACHADO",IF($D321="","FALTA ITEM DO ANEXO",IF($D321="INDIRETO","",IF(COUNTIFS('Anexo III'!$B$8:$B$400,$D321,'Anexo III'!$E$8:$E$400,"&gt;0")=0,"ITEM NÃO ACHADO NO ANEXO","")))))</f>
        <v/>
      </c>
    </row>
    <row r="322" customFormat="false" ht="15" hidden="false" customHeight="false" outlineLevel="0" collapsed="false">
      <c r="A322" s="43"/>
      <c r="B322" s="53" t="str">
        <f aca="false">IF($A322="","",IF(ISNUMBER(MATCH($A322,'Cotação de Materiais'!$A$4:$A$200,0)),"MAT",IF(ISNUMBER(MATCH($A322,'Mão de Obra e Serviços'!$A$4:$A$200,0)),"MO","CÓDIGO?")))</f>
        <v/>
      </c>
      <c r="C322" s="54" t="str">
        <f aca="false">IF($A322="","",IFERROR(INDEX('Cotação de Materiais'!$C$4:$C$200,MATCH($A322,'Cotação de Materiais'!$A$4:$A$200,0)),IFERROR(INDEX('Mão de Obra e Serviços'!$B$4:$B$200,MATCH($A322,'Mão de Obra e Serviços'!$A$4:$A$200,0)),"")))</f>
        <v/>
      </c>
      <c r="D322" s="43"/>
      <c r="E322" s="43"/>
      <c r="F322" s="43"/>
      <c r="G322" s="57" t="str">
        <f aca="false">IF($A322="","",E322*IF(F322="",1,F322))</f>
        <v/>
      </c>
      <c r="H322" s="31" t="str">
        <f aca="false">IF($A322="","",IF(SUMIF($A$6:$A$600,$A322,$G$6:$G$600)=0,0,G322/SUMIF($A$6:$A$600,$A322,$G$6:$G$600)))</f>
        <v/>
      </c>
      <c r="I322" s="30" t="str">
        <f aca="false">IF($A322="","",IFERROR(INDEX('Cotação de Materiais'!$H$4:$H$200,MATCH($A322,'Cotação de Materiais'!$A$4:$A$200,0)),IFERROR(INDEX('Mão de Obra e Serviços'!$G$4:$G$200,MATCH($A322,'Mão de Obra e Serviços'!$A$4:$A$200,0)),0)))</f>
        <v/>
      </c>
      <c r="K322" s="30" t="str">
        <f aca="false">IF($A322="","",I322*H322)</f>
        <v/>
      </c>
      <c r="L322" s="58"/>
      <c r="M322" s="54" t="str">
        <f aca="false">IF($A322="","",IF(B322="CÓDIGO?","CÓDIGO NÃO ACHADO",IF($D322="","FALTA ITEM DO ANEXO",IF($D322="INDIRETO","",IF(COUNTIFS('Anexo III'!$B$8:$B$400,$D322,'Anexo III'!$E$8:$E$400,"&gt;0")=0,"ITEM NÃO ACHADO NO ANEXO","")))))</f>
        <v/>
      </c>
    </row>
    <row r="323" customFormat="false" ht="15" hidden="false" customHeight="false" outlineLevel="0" collapsed="false">
      <c r="A323" s="43"/>
      <c r="B323" s="53" t="str">
        <f aca="false">IF($A323="","",IF(ISNUMBER(MATCH($A323,'Cotação de Materiais'!$A$4:$A$200,0)),"MAT",IF(ISNUMBER(MATCH($A323,'Mão de Obra e Serviços'!$A$4:$A$200,0)),"MO","CÓDIGO?")))</f>
        <v/>
      </c>
      <c r="C323" s="54" t="str">
        <f aca="false">IF($A323="","",IFERROR(INDEX('Cotação de Materiais'!$C$4:$C$200,MATCH($A323,'Cotação de Materiais'!$A$4:$A$200,0)),IFERROR(INDEX('Mão de Obra e Serviços'!$B$4:$B$200,MATCH($A323,'Mão de Obra e Serviços'!$A$4:$A$200,0)),"")))</f>
        <v/>
      </c>
      <c r="D323" s="43"/>
      <c r="E323" s="43"/>
      <c r="F323" s="43"/>
      <c r="G323" s="57" t="str">
        <f aca="false">IF($A323="","",E323*IF(F323="",1,F323))</f>
        <v/>
      </c>
      <c r="H323" s="31" t="str">
        <f aca="false">IF($A323="","",IF(SUMIF($A$6:$A$600,$A323,$G$6:$G$600)=0,0,G323/SUMIF($A$6:$A$600,$A323,$G$6:$G$600)))</f>
        <v/>
      </c>
      <c r="I323" s="30" t="str">
        <f aca="false">IF($A323="","",IFERROR(INDEX('Cotação de Materiais'!$H$4:$H$200,MATCH($A323,'Cotação de Materiais'!$A$4:$A$200,0)),IFERROR(INDEX('Mão de Obra e Serviços'!$G$4:$G$200,MATCH($A323,'Mão de Obra e Serviços'!$A$4:$A$200,0)),0)))</f>
        <v/>
      </c>
      <c r="K323" s="30" t="str">
        <f aca="false">IF($A323="","",I323*H323)</f>
        <v/>
      </c>
      <c r="L323" s="58"/>
      <c r="M323" s="54" t="str">
        <f aca="false">IF($A323="","",IF(B323="CÓDIGO?","CÓDIGO NÃO ACHADO",IF($D323="","FALTA ITEM DO ANEXO",IF($D323="INDIRETO","",IF(COUNTIFS('Anexo III'!$B$8:$B$400,$D323,'Anexo III'!$E$8:$E$400,"&gt;0")=0,"ITEM NÃO ACHADO NO ANEXO","")))))</f>
        <v/>
      </c>
    </row>
    <row r="324" customFormat="false" ht="15" hidden="false" customHeight="false" outlineLevel="0" collapsed="false">
      <c r="A324" s="43"/>
      <c r="B324" s="53" t="str">
        <f aca="false">IF($A324="","",IF(ISNUMBER(MATCH($A324,'Cotação de Materiais'!$A$4:$A$200,0)),"MAT",IF(ISNUMBER(MATCH($A324,'Mão de Obra e Serviços'!$A$4:$A$200,0)),"MO","CÓDIGO?")))</f>
        <v/>
      </c>
      <c r="C324" s="54" t="str">
        <f aca="false">IF($A324="","",IFERROR(INDEX('Cotação de Materiais'!$C$4:$C$200,MATCH($A324,'Cotação de Materiais'!$A$4:$A$200,0)),IFERROR(INDEX('Mão de Obra e Serviços'!$B$4:$B$200,MATCH($A324,'Mão de Obra e Serviços'!$A$4:$A$200,0)),"")))</f>
        <v/>
      </c>
      <c r="D324" s="43"/>
      <c r="E324" s="43"/>
      <c r="F324" s="43"/>
      <c r="G324" s="57" t="str">
        <f aca="false">IF($A324="","",E324*IF(F324="",1,F324))</f>
        <v/>
      </c>
      <c r="H324" s="31" t="str">
        <f aca="false">IF($A324="","",IF(SUMIF($A$6:$A$600,$A324,$G$6:$G$600)=0,0,G324/SUMIF($A$6:$A$600,$A324,$G$6:$G$600)))</f>
        <v/>
      </c>
      <c r="I324" s="30" t="str">
        <f aca="false">IF($A324="","",IFERROR(INDEX('Cotação de Materiais'!$H$4:$H$200,MATCH($A324,'Cotação de Materiais'!$A$4:$A$200,0)),IFERROR(INDEX('Mão de Obra e Serviços'!$G$4:$G$200,MATCH($A324,'Mão de Obra e Serviços'!$A$4:$A$200,0)),0)))</f>
        <v/>
      </c>
      <c r="K324" s="30" t="str">
        <f aca="false">IF($A324="","",I324*H324)</f>
        <v/>
      </c>
      <c r="L324" s="58"/>
      <c r="M324" s="54" t="str">
        <f aca="false">IF($A324="","",IF(B324="CÓDIGO?","CÓDIGO NÃO ACHADO",IF($D324="","FALTA ITEM DO ANEXO",IF($D324="INDIRETO","",IF(COUNTIFS('Anexo III'!$B$8:$B$400,$D324,'Anexo III'!$E$8:$E$400,"&gt;0")=0,"ITEM NÃO ACHADO NO ANEXO","")))))</f>
        <v/>
      </c>
    </row>
    <row r="325" customFormat="false" ht="15" hidden="false" customHeight="false" outlineLevel="0" collapsed="false">
      <c r="A325" s="43"/>
      <c r="B325" s="53" t="str">
        <f aca="false">IF($A325="","",IF(ISNUMBER(MATCH($A325,'Cotação de Materiais'!$A$4:$A$200,0)),"MAT",IF(ISNUMBER(MATCH($A325,'Mão de Obra e Serviços'!$A$4:$A$200,0)),"MO","CÓDIGO?")))</f>
        <v/>
      </c>
      <c r="C325" s="54" t="str">
        <f aca="false">IF($A325="","",IFERROR(INDEX('Cotação de Materiais'!$C$4:$C$200,MATCH($A325,'Cotação de Materiais'!$A$4:$A$200,0)),IFERROR(INDEX('Mão de Obra e Serviços'!$B$4:$B$200,MATCH($A325,'Mão de Obra e Serviços'!$A$4:$A$200,0)),"")))</f>
        <v/>
      </c>
      <c r="D325" s="43"/>
      <c r="E325" s="43"/>
      <c r="F325" s="43"/>
      <c r="G325" s="57" t="str">
        <f aca="false">IF($A325="","",E325*IF(F325="",1,F325))</f>
        <v/>
      </c>
      <c r="H325" s="31" t="str">
        <f aca="false">IF($A325="","",IF(SUMIF($A$6:$A$600,$A325,$G$6:$G$600)=0,0,G325/SUMIF($A$6:$A$600,$A325,$G$6:$G$600)))</f>
        <v/>
      </c>
      <c r="I325" s="30" t="str">
        <f aca="false">IF($A325="","",IFERROR(INDEX('Cotação de Materiais'!$H$4:$H$200,MATCH($A325,'Cotação de Materiais'!$A$4:$A$200,0)),IFERROR(INDEX('Mão de Obra e Serviços'!$G$4:$G$200,MATCH($A325,'Mão de Obra e Serviços'!$A$4:$A$200,0)),0)))</f>
        <v/>
      </c>
      <c r="K325" s="30" t="str">
        <f aca="false">IF($A325="","",I325*H325)</f>
        <v/>
      </c>
      <c r="L325" s="58"/>
      <c r="M325" s="54" t="str">
        <f aca="false">IF($A325="","",IF(B325="CÓDIGO?","CÓDIGO NÃO ACHADO",IF($D325="","FALTA ITEM DO ANEXO",IF($D325="INDIRETO","",IF(COUNTIFS('Anexo III'!$B$8:$B$400,$D325,'Anexo III'!$E$8:$E$400,"&gt;0")=0,"ITEM NÃO ACHADO NO ANEXO","")))))</f>
        <v/>
      </c>
    </row>
    <row r="326" customFormat="false" ht="15" hidden="false" customHeight="false" outlineLevel="0" collapsed="false">
      <c r="A326" s="43"/>
      <c r="B326" s="53" t="str">
        <f aca="false">IF($A326="","",IF(ISNUMBER(MATCH($A326,'Cotação de Materiais'!$A$4:$A$200,0)),"MAT",IF(ISNUMBER(MATCH($A326,'Mão de Obra e Serviços'!$A$4:$A$200,0)),"MO","CÓDIGO?")))</f>
        <v/>
      </c>
      <c r="C326" s="54" t="str">
        <f aca="false">IF($A326="","",IFERROR(INDEX('Cotação de Materiais'!$C$4:$C$200,MATCH($A326,'Cotação de Materiais'!$A$4:$A$200,0)),IFERROR(INDEX('Mão de Obra e Serviços'!$B$4:$B$200,MATCH($A326,'Mão de Obra e Serviços'!$A$4:$A$200,0)),"")))</f>
        <v/>
      </c>
      <c r="D326" s="43"/>
      <c r="E326" s="43"/>
      <c r="F326" s="43"/>
      <c r="G326" s="57" t="str">
        <f aca="false">IF($A326="","",E326*IF(F326="",1,F326))</f>
        <v/>
      </c>
      <c r="H326" s="31" t="str">
        <f aca="false">IF($A326="","",IF(SUMIF($A$6:$A$600,$A326,$G$6:$G$600)=0,0,G326/SUMIF($A$6:$A$600,$A326,$G$6:$G$600)))</f>
        <v/>
      </c>
      <c r="I326" s="30" t="str">
        <f aca="false">IF($A326="","",IFERROR(INDEX('Cotação de Materiais'!$H$4:$H$200,MATCH($A326,'Cotação de Materiais'!$A$4:$A$200,0)),IFERROR(INDEX('Mão de Obra e Serviços'!$G$4:$G$200,MATCH($A326,'Mão de Obra e Serviços'!$A$4:$A$200,0)),0)))</f>
        <v/>
      </c>
      <c r="K326" s="30" t="str">
        <f aca="false">IF($A326="","",I326*H326)</f>
        <v/>
      </c>
      <c r="L326" s="58"/>
      <c r="M326" s="54" t="str">
        <f aca="false">IF($A326="","",IF(B326="CÓDIGO?","CÓDIGO NÃO ACHADO",IF($D326="","FALTA ITEM DO ANEXO",IF($D326="INDIRETO","",IF(COUNTIFS('Anexo III'!$B$8:$B$400,$D326,'Anexo III'!$E$8:$E$400,"&gt;0")=0,"ITEM NÃO ACHADO NO ANEXO","")))))</f>
        <v/>
      </c>
    </row>
    <row r="327" customFormat="false" ht="15" hidden="false" customHeight="false" outlineLevel="0" collapsed="false">
      <c r="A327" s="43"/>
      <c r="B327" s="53" t="str">
        <f aca="false">IF($A327="","",IF(ISNUMBER(MATCH($A327,'Cotação de Materiais'!$A$4:$A$200,0)),"MAT",IF(ISNUMBER(MATCH($A327,'Mão de Obra e Serviços'!$A$4:$A$200,0)),"MO","CÓDIGO?")))</f>
        <v/>
      </c>
      <c r="C327" s="54" t="str">
        <f aca="false">IF($A327="","",IFERROR(INDEX('Cotação de Materiais'!$C$4:$C$200,MATCH($A327,'Cotação de Materiais'!$A$4:$A$200,0)),IFERROR(INDEX('Mão de Obra e Serviços'!$B$4:$B$200,MATCH($A327,'Mão de Obra e Serviços'!$A$4:$A$200,0)),"")))</f>
        <v/>
      </c>
      <c r="D327" s="43"/>
      <c r="E327" s="43"/>
      <c r="F327" s="43"/>
      <c r="G327" s="57" t="str">
        <f aca="false">IF($A327="","",E327*IF(F327="",1,F327))</f>
        <v/>
      </c>
      <c r="H327" s="31" t="str">
        <f aca="false">IF($A327="","",IF(SUMIF($A$6:$A$600,$A327,$G$6:$G$600)=0,0,G327/SUMIF($A$6:$A$600,$A327,$G$6:$G$600)))</f>
        <v/>
      </c>
      <c r="I327" s="30" t="str">
        <f aca="false">IF($A327="","",IFERROR(INDEX('Cotação de Materiais'!$H$4:$H$200,MATCH($A327,'Cotação de Materiais'!$A$4:$A$200,0)),IFERROR(INDEX('Mão de Obra e Serviços'!$G$4:$G$200,MATCH($A327,'Mão de Obra e Serviços'!$A$4:$A$200,0)),0)))</f>
        <v/>
      </c>
      <c r="K327" s="30" t="str">
        <f aca="false">IF($A327="","",I327*H327)</f>
        <v/>
      </c>
      <c r="L327" s="58"/>
      <c r="M327" s="54" t="str">
        <f aca="false">IF($A327="","",IF(B327="CÓDIGO?","CÓDIGO NÃO ACHADO",IF($D327="","FALTA ITEM DO ANEXO",IF($D327="INDIRETO","",IF(COUNTIFS('Anexo III'!$B$8:$B$400,$D327,'Anexo III'!$E$8:$E$400,"&gt;0")=0,"ITEM NÃO ACHADO NO ANEXO","")))))</f>
        <v/>
      </c>
    </row>
    <row r="328" customFormat="false" ht="15" hidden="false" customHeight="false" outlineLevel="0" collapsed="false">
      <c r="A328" s="43"/>
      <c r="B328" s="53" t="str">
        <f aca="false">IF($A328="","",IF(ISNUMBER(MATCH($A328,'Cotação de Materiais'!$A$4:$A$200,0)),"MAT",IF(ISNUMBER(MATCH($A328,'Mão de Obra e Serviços'!$A$4:$A$200,0)),"MO","CÓDIGO?")))</f>
        <v/>
      </c>
      <c r="C328" s="54" t="str">
        <f aca="false">IF($A328="","",IFERROR(INDEX('Cotação de Materiais'!$C$4:$C$200,MATCH($A328,'Cotação de Materiais'!$A$4:$A$200,0)),IFERROR(INDEX('Mão de Obra e Serviços'!$B$4:$B$200,MATCH($A328,'Mão de Obra e Serviços'!$A$4:$A$200,0)),"")))</f>
        <v/>
      </c>
      <c r="D328" s="43"/>
      <c r="E328" s="43"/>
      <c r="F328" s="43"/>
      <c r="G328" s="57" t="str">
        <f aca="false">IF($A328="","",E328*IF(F328="",1,F328))</f>
        <v/>
      </c>
      <c r="H328" s="31" t="str">
        <f aca="false">IF($A328="","",IF(SUMIF($A$6:$A$600,$A328,$G$6:$G$600)=0,0,G328/SUMIF($A$6:$A$600,$A328,$G$6:$G$600)))</f>
        <v/>
      </c>
      <c r="I328" s="30" t="str">
        <f aca="false">IF($A328="","",IFERROR(INDEX('Cotação de Materiais'!$H$4:$H$200,MATCH($A328,'Cotação de Materiais'!$A$4:$A$200,0)),IFERROR(INDEX('Mão de Obra e Serviços'!$G$4:$G$200,MATCH($A328,'Mão de Obra e Serviços'!$A$4:$A$200,0)),0)))</f>
        <v/>
      </c>
      <c r="K328" s="30" t="str">
        <f aca="false">IF($A328="","",I328*H328)</f>
        <v/>
      </c>
      <c r="L328" s="58"/>
      <c r="M328" s="54" t="str">
        <f aca="false">IF($A328="","",IF(B328="CÓDIGO?","CÓDIGO NÃO ACHADO",IF($D328="","FALTA ITEM DO ANEXO",IF($D328="INDIRETO","",IF(COUNTIFS('Anexo III'!$B$8:$B$400,$D328,'Anexo III'!$E$8:$E$400,"&gt;0")=0,"ITEM NÃO ACHADO NO ANEXO","")))))</f>
        <v/>
      </c>
    </row>
    <row r="329" customFormat="false" ht="15" hidden="false" customHeight="false" outlineLevel="0" collapsed="false">
      <c r="A329" s="43"/>
      <c r="B329" s="53" t="str">
        <f aca="false">IF($A329="","",IF(ISNUMBER(MATCH($A329,'Cotação de Materiais'!$A$4:$A$200,0)),"MAT",IF(ISNUMBER(MATCH($A329,'Mão de Obra e Serviços'!$A$4:$A$200,0)),"MO","CÓDIGO?")))</f>
        <v/>
      </c>
      <c r="C329" s="54" t="str">
        <f aca="false">IF($A329="","",IFERROR(INDEX('Cotação de Materiais'!$C$4:$C$200,MATCH($A329,'Cotação de Materiais'!$A$4:$A$200,0)),IFERROR(INDEX('Mão de Obra e Serviços'!$B$4:$B$200,MATCH($A329,'Mão de Obra e Serviços'!$A$4:$A$200,0)),"")))</f>
        <v/>
      </c>
      <c r="D329" s="43"/>
      <c r="E329" s="43"/>
      <c r="F329" s="43"/>
      <c r="G329" s="57" t="str">
        <f aca="false">IF($A329="","",E329*IF(F329="",1,F329))</f>
        <v/>
      </c>
      <c r="H329" s="31" t="str">
        <f aca="false">IF($A329="","",IF(SUMIF($A$6:$A$600,$A329,$G$6:$G$600)=0,0,G329/SUMIF($A$6:$A$600,$A329,$G$6:$G$600)))</f>
        <v/>
      </c>
      <c r="I329" s="30" t="str">
        <f aca="false">IF($A329="","",IFERROR(INDEX('Cotação de Materiais'!$H$4:$H$200,MATCH($A329,'Cotação de Materiais'!$A$4:$A$200,0)),IFERROR(INDEX('Mão de Obra e Serviços'!$G$4:$G$200,MATCH($A329,'Mão de Obra e Serviços'!$A$4:$A$200,0)),0)))</f>
        <v/>
      </c>
      <c r="K329" s="30" t="str">
        <f aca="false">IF($A329="","",I329*H329)</f>
        <v/>
      </c>
      <c r="L329" s="58"/>
      <c r="M329" s="54" t="str">
        <f aca="false">IF($A329="","",IF(B329="CÓDIGO?","CÓDIGO NÃO ACHADO",IF($D329="","FALTA ITEM DO ANEXO",IF($D329="INDIRETO","",IF(COUNTIFS('Anexo III'!$B$8:$B$400,$D329,'Anexo III'!$E$8:$E$400,"&gt;0")=0,"ITEM NÃO ACHADO NO ANEXO","")))))</f>
        <v/>
      </c>
    </row>
    <row r="330" customFormat="false" ht="15" hidden="false" customHeight="false" outlineLevel="0" collapsed="false">
      <c r="A330" s="43"/>
      <c r="B330" s="53" t="str">
        <f aca="false">IF($A330="","",IF(ISNUMBER(MATCH($A330,'Cotação de Materiais'!$A$4:$A$200,0)),"MAT",IF(ISNUMBER(MATCH($A330,'Mão de Obra e Serviços'!$A$4:$A$200,0)),"MO","CÓDIGO?")))</f>
        <v/>
      </c>
      <c r="C330" s="54" t="str">
        <f aca="false">IF($A330="","",IFERROR(INDEX('Cotação de Materiais'!$C$4:$C$200,MATCH($A330,'Cotação de Materiais'!$A$4:$A$200,0)),IFERROR(INDEX('Mão de Obra e Serviços'!$B$4:$B$200,MATCH($A330,'Mão de Obra e Serviços'!$A$4:$A$200,0)),"")))</f>
        <v/>
      </c>
      <c r="D330" s="43"/>
      <c r="E330" s="43"/>
      <c r="F330" s="43"/>
      <c r="G330" s="57" t="str">
        <f aca="false">IF($A330="","",E330*IF(F330="",1,F330))</f>
        <v/>
      </c>
      <c r="H330" s="31" t="str">
        <f aca="false">IF($A330="","",IF(SUMIF($A$6:$A$600,$A330,$G$6:$G$600)=0,0,G330/SUMIF($A$6:$A$600,$A330,$G$6:$G$600)))</f>
        <v/>
      </c>
      <c r="I330" s="30" t="str">
        <f aca="false">IF($A330="","",IFERROR(INDEX('Cotação de Materiais'!$H$4:$H$200,MATCH($A330,'Cotação de Materiais'!$A$4:$A$200,0)),IFERROR(INDEX('Mão de Obra e Serviços'!$G$4:$G$200,MATCH($A330,'Mão de Obra e Serviços'!$A$4:$A$200,0)),0)))</f>
        <v/>
      </c>
      <c r="K330" s="30" t="str">
        <f aca="false">IF($A330="","",I330*H330)</f>
        <v/>
      </c>
      <c r="L330" s="58"/>
      <c r="M330" s="54" t="str">
        <f aca="false">IF($A330="","",IF(B330="CÓDIGO?","CÓDIGO NÃO ACHADO",IF($D330="","FALTA ITEM DO ANEXO",IF($D330="INDIRETO","",IF(COUNTIFS('Anexo III'!$B$8:$B$400,$D330,'Anexo III'!$E$8:$E$400,"&gt;0")=0,"ITEM NÃO ACHADO NO ANEXO","")))))</f>
        <v/>
      </c>
    </row>
    <row r="331" customFormat="false" ht="15" hidden="false" customHeight="false" outlineLevel="0" collapsed="false">
      <c r="A331" s="43"/>
      <c r="B331" s="53" t="str">
        <f aca="false">IF($A331="","",IF(ISNUMBER(MATCH($A331,'Cotação de Materiais'!$A$4:$A$200,0)),"MAT",IF(ISNUMBER(MATCH($A331,'Mão de Obra e Serviços'!$A$4:$A$200,0)),"MO","CÓDIGO?")))</f>
        <v/>
      </c>
      <c r="C331" s="54" t="str">
        <f aca="false">IF($A331="","",IFERROR(INDEX('Cotação de Materiais'!$C$4:$C$200,MATCH($A331,'Cotação de Materiais'!$A$4:$A$200,0)),IFERROR(INDEX('Mão de Obra e Serviços'!$B$4:$B$200,MATCH($A331,'Mão de Obra e Serviços'!$A$4:$A$200,0)),"")))</f>
        <v/>
      </c>
      <c r="D331" s="43"/>
      <c r="E331" s="43"/>
      <c r="F331" s="43"/>
      <c r="G331" s="57" t="str">
        <f aca="false">IF($A331="","",E331*IF(F331="",1,F331))</f>
        <v/>
      </c>
      <c r="H331" s="31" t="str">
        <f aca="false">IF($A331="","",IF(SUMIF($A$6:$A$600,$A331,$G$6:$G$600)=0,0,G331/SUMIF($A$6:$A$600,$A331,$G$6:$G$600)))</f>
        <v/>
      </c>
      <c r="I331" s="30" t="str">
        <f aca="false">IF($A331="","",IFERROR(INDEX('Cotação de Materiais'!$H$4:$H$200,MATCH($A331,'Cotação de Materiais'!$A$4:$A$200,0)),IFERROR(INDEX('Mão de Obra e Serviços'!$G$4:$G$200,MATCH($A331,'Mão de Obra e Serviços'!$A$4:$A$200,0)),0)))</f>
        <v/>
      </c>
      <c r="K331" s="30" t="str">
        <f aca="false">IF($A331="","",I331*H331)</f>
        <v/>
      </c>
      <c r="L331" s="58"/>
      <c r="M331" s="54" t="str">
        <f aca="false">IF($A331="","",IF(B331="CÓDIGO?","CÓDIGO NÃO ACHADO",IF($D331="","FALTA ITEM DO ANEXO",IF($D331="INDIRETO","",IF(COUNTIFS('Anexo III'!$B$8:$B$400,$D331,'Anexo III'!$E$8:$E$400,"&gt;0")=0,"ITEM NÃO ACHADO NO ANEXO","")))))</f>
        <v/>
      </c>
    </row>
    <row r="332" customFormat="false" ht="15" hidden="false" customHeight="false" outlineLevel="0" collapsed="false">
      <c r="A332" s="43"/>
      <c r="B332" s="53" t="str">
        <f aca="false">IF($A332="","",IF(ISNUMBER(MATCH($A332,'Cotação de Materiais'!$A$4:$A$200,0)),"MAT",IF(ISNUMBER(MATCH($A332,'Mão de Obra e Serviços'!$A$4:$A$200,0)),"MO","CÓDIGO?")))</f>
        <v/>
      </c>
      <c r="C332" s="54" t="str">
        <f aca="false">IF($A332="","",IFERROR(INDEX('Cotação de Materiais'!$C$4:$C$200,MATCH($A332,'Cotação de Materiais'!$A$4:$A$200,0)),IFERROR(INDEX('Mão de Obra e Serviços'!$B$4:$B$200,MATCH($A332,'Mão de Obra e Serviços'!$A$4:$A$200,0)),"")))</f>
        <v/>
      </c>
      <c r="D332" s="43"/>
      <c r="E332" s="43"/>
      <c r="F332" s="43"/>
      <c r="G332" s="57" t="str">
        <f aca="false">IF($A332="","",E332*IF(F332="",1,F332))</f>
        <v/>
      </c>
      <c r="H332" s="31" t="str">
        <f aca="false">IF($A332="","",IF(SUMIF($A$6:$A$600,$A332,$G$6:$G$600)=0,0,G332/SUMIF($A$6:$A$600,$A332,$G$6:$G$600)))</f>
        <v/>
      </c>
      <c r="I332" s="30" t="str">
        <f aca="false">IF($A332="","",IFERROR(INDEX('Cotação de Materiais'!$H$4:$H$200,MATCH($A332,'Cotação de Materiais'!$A$4:$A$200,0)),IFERROR(INDEX('Mão de Obra e Serviços'!$G$4:$G$200,MATCH($A332,'Mão de Obra e Serviços'!$A$4:$A$200,0)),0)))</f>
        <v/>
      </c>
      <c r="K332" s="30" t="str">
        <f aca="false">IF($A332="","",I332*H332)</f>
        <v/>
      </c>
      <c r="L332" s="58"/>
      <c r="M332" s="54" t="str">
        <f aca="false">IF($A332="","",IF(B332="CÓDIGO?","CÓDIGO NÃO ACHADO",IF($D332="","FALTA ITEM DO ANEXO",IF($D332="INDIRETO","",IF(COUNTIFS('Anexo III'!$B$8:$B$400,$D332,'Anexo III'!$E$8:$E$400,"&gt;0")=0,"ITEM NÃO ACHADO NO ANEXO","")))))</f>
        <v/>
      </c>
    </row>
    <row r="333" customFormat="false" ht="15" hidden="false" customHeight="false" outlineLevel="0" collapsed="false">
      <c r="A333" s="43"/>
      <c r="B333" s="53" t="str">
        <f aca="false">IF($A333="","",IF(ISNUMBER(MATCH($A333,'Cotação de Materiais'!$A$4:$A$200,0)),"MAT",IF(ISNUMBER(MATCH($A333,'Mão de Obra e Serviços'!$A$4:$A$200,0)),"MO","CÓDIGO?")))</f>
        <v/>
      </c>
      <c r="C333" s="54" t="str">
        <f aca="false">IF($A333="","",IFERROR(INDEX('Cotação de Materiais'!$C$4:$C$200,MATCH($A333,'Cotação de Materiais'!$A$4:$A$200,0)),IFERROR(INDEX('Mão de Obra e Serviços'!$B$4:$B$200,MATCH($A333,'Mão de Obra e Serviços'!$A$4:$A$200,0)),"")))</f>
        <v/>
      </c>
      <c r="D333" s="43"/>
      <c r="E333" s="43"/>
      <c r="F333" s="43"/>
      <c r="G333" s="57" t="str">
        <f aca="false">IF($A333="","",E333*IF(F333="",1,F333))</f>
        <v/>
      </c>
      <c r="H333" s="31" t="str">
        <f aca="false">IF($A333="","",IF(SUMIF($A$6:$A$600,$A333,$G$6:$G$600)=0,0,G333/SUMIF($A$6:$A$600,$A333,$G$6:$G$600)))</f>
        <v/>
      </c>
      <c r="I333" s="30" t="str">
        <f aca="false">IF($A333="","",IFERROR(INDEX('Cotação de Materiais'!$H$4:$H$200,MATCH($A333,'Cotação de Materiais'!$A$4:$A$200,0)),IFERROR(INDEX('Mão de Obra e Serviços'!$G$4:$G$200,MATCH($A333,'Mão de Obra e Serviços'!$A$4:$A$200,0)),0)))</f>
        <v/>
      </c>
      <c r="K333" s="30" t="str">
        <f aca="false">IF($A333="","",I333*H333)</f>
        <v/>
      </c>
      <c r="L333" s="58"/>
      <c r="M333" s="54" t="str">
        <f aca="false">IF($A333="","",IF(B333="CÓDIGO?","CÓDIGO NÃO ACHADO",IF($D333="","FALTA ITEM DO ANEXO",IF($D333="INDIRETO","",IF(COUNTIFS('Anexo III'!$B$8:$B$400,$D333,'Anexo III'!$E$8:$E$400,"&gt;0")=0,"ITEM NÃO ACHADO NO ANEXO","")))))</f>
        <v/>
      </c>
    </row>
    <row r="334" customFormat="false" ht="15" hidden="false" customHeight="false" outlineLevel="0" collapsed="false">
      <c r="A334" s="43"/>
      <c r="B334" s="53" t="str">
        <f aca="false">IF($A334="","",IF(ISNUMBER(MATCH($A334,'Cotação de Materiais'!$A$4:$A$200,0)),"MAT",IF(ISNUMBER(MATCH($A334,'Mão de Obra e Serviços'!$A$4:$A$200,0)),"MO","CÓDIGO?")))</f>
        <v/>
      </c>
      <c r="C334" s="54" t="str">
        <f aca="false">IF($A334="","",IFERROR(INDEX('Cotação de Materiais'!$C$4:$C$200,MATCH($A334,'Cotação de Materiais'!$A$4:$A$200,0)),IFERROR(INDEX('Mão de Obra e Serviços'!$B$4:$B$200,MATCH($A334,'Mão de Obra e Serviços'!$A$4:$A$200,0)),"")))</f>
        <v/>
      </c>
      <c r="D334" s="43"/>
      <c r="E334" s="43"/>
      <c r="F334" s="43"/>
      <c r="G334" s="57" t="str">
        <f aca="false">IF($A334="","",E334*IF(F334="",1,F334))</f>
        <v/>
      </c>
      <c r="H334" s="31" t="str">
        <f aca="false">IF($A334="","",IF(SUMIF($A$6:$A$600,$A334,$G$6:$G$600)=0,0,G334/SUMIF($A$6:$A$600,$A334,$G$6:$G$600)))</f>
        <v/>
      </c>
      <c r="I334" s="30" t="str">
        <f aca="false">IF($A334="","",IFERROR(INDEX('Cotação de Materiais'!$H$4:$H$200,MATCH($A334,'Cotação de Materiais'!$A$4:$A$200,0)),IFERROR(INDEX('Mão de Obra e Serviços'!$G$4:$G$200,MATCH($A334,'Mão de Obra e Serviços'!$A$4:$A$200,0)),0)))</f>
        <v/>
      </c>
      <c r="K334" s="30" t="str">
        <f aca="false">IF($A334="","",I334*H334)</f>
        <v/>
      </c>
      <c r="L334" s="58"/>
      <c r="M334" s="54" t="str">
        <f aca="false">IF($A334="","",IF(B334="CÓDIGO?","CÓDIGO NÃO ACHADO",IF($D334="","FALTA ITEM DO ANEXO",IF($D334="INDIRETO","",IF(COUNTIFS('Anexo III'!$B$8:$B$400,$D334,'Anexo III'!$E$8:$E$400,"&gt;0")=0,"ITEM NÃO ACHADO NO ANEXO","")))))</f>
        <v/>
      </c>
    </row>
    <row r="335" customFormat="false" ht="15" hidden="false" customHeight="false" outlineLevel="0" collapsed="false">
      <c r="A335" s="43"/>
      <c r="B335" s="53" t="str">
        <f aca="false">IF($A335="","",IF(ISNUMBER(MATCH($A335,'Cotação de Materiais'!$A$4:$A$200,0)),"MAT",IF(ISNUMBER(MATCH($A335,'Mão de Obra e Serviços'!$A$4:$A$200,0)),"MO","CÓDIGO?")))</f>
        <v/>
      </c>
      <c r="C335" s="54" t="str">
        <f aca="false">IF($A335="","",IFERROR(INDEX('Cotação de Materiais'!$C$4:$C$200,MATCH($A335,'Cotação de Materiais'!$A$4:$A$200,0)),IFERROR(INDEX('Mão de Obra e Serviços'!$B$4:$B$200,MATCH($A335,'Mão de Obra e Serviços'!$A$4:$A$200,0)),"")))</f>
        <v/>
      </c>
      <c r="D335" s="43"/>
      <c r="E335" s="43"/>
      <c r="F335" s="43"/>
      <c r="G335" s="57" t="str">
        <f aca="false">IF($A335="","",E335*IF(F335="",1,F335))</f>
        <v/>
      </c>
      <c r="H335" s="31" t="str">
        <f aca="false">IF($A335="","",IF(SUMIF($A$6:$A$600,$A335,$G$6:$G$600)=0,0,G335/SUMIF($A$6:$A$600,$A335,$G$6:$G$600)))</f>
        <v/>
      </c>
      <c r="I335" s="30" t="str">
        <f aca="false">IF($A335="","",IFERROR(INDEX('Cotação de Materiais'!$H$4:$H$200,MATCH($A335,'Cotação de Materiais'!$A$4:$A$200,0)),IFERROR(INDEX('Mão de Obra e Serviços'!$G$4:$G$200,MATCH($A335,'Mão de Obra e Serviços'!$A$4:$A$200,0)),0)))</f>
        <v/>
      </c>
      <c r="K335" s="30" t="str">
        <f aca="false">IF($A335="","",I335*H335)</f>
        <v/>
      </c>
      <c r="L335" s="58"/>
      <c r="M335" s="54" t="str">
        <f aca="false">IF($A335="","",IF(B335="CÓDIGO?","CÓDIGO NÃO ACHADO",IF($D335="","FALTA ITEM DO ANEXO",IF($D335="INDIRETO","",IF(COUNTIFS('Anexo III'!$B$8:$B$400,$D335,'Anexo III'!$E$8:$E$400,"&gt;0")=0,"ITEM NÃO ACHADO NO ANEXO","")))))</f>
        <v/>
      </c>
    </row>
    <row r="336" customFormat="false" ht="15" hidden="false" customHeight="false" outlineLevel="0" collapsed="false">
      <c r="A336" s="43"/>
      <c r="B336" s="53" t="str">
        <f aca="false">IF($A336="","",IF(ISNUMBER(MATCH($A336,'Cotação de Materiais'!$A$4:$A$200,0)),"MAT",IF(ISNUMBER(MATCH($A336,'Mão de Obra e Serviços'!$A$4:$A$200,0)),"MO","CÓDIGO?")))</f>
        <v/>
      </c>
      <c r="C336" s="54" t="str">
        <f aca="false">IF($A336="","",IFERROR(INDEX('Cotação de Materiais'!$C$4:$C$200,MATCH($A336,'Cotação de Materiais'!$A$4:$A$200,0)),IFERROR(INDEX('Mão de Obra e Serviços'!$B$4:$B$200,MATCH($A336,'Mão de Obra e Serviços'!$A$4:$A$200,0)),"")))</f>
        <v/>
      </c>
      <c r="D336" s="43"/>
      <c r="E336" s="43"/>
      <c r="F336" s="43"/>
      <c r="G336" s="57" t="str">
        <f aca="false">IF($A336="","",E336*IF(F336="",1,F336))</f>
        <v/>
      </c>
      <c r="H336" s="31" t="str">
        <f aca="false">IF($A336="","",IF(SUMIF($A$6:$A$600,$A336,$G$6:$G$600)=0,0,G336/SUMIF($A$6:$A$600,$A336,$G$6:$G$600)))</f>
        <v/>
      </c>
      <c r="I336" s="30" t="str">
        <f aca="false">IF($A336="","",IFERROR(INDEX('Cotação de Materiais'!$H$4:$H$200,MATCH($A336,'Cotação de Materiais'!$A$4:$A$200,0)),IFERROR(INDEX('Mão de Obra e Serviços'!$G$4:$G$200,MATCH($A336,'Mão de Obra e Serviços'!$A$4:$A$200,0)),0)))</f>
        <v/>
      </c>
      <c r="K336" s="30" t="str">
        <f aca="false">IF($A336="","",I336*H336)</f>
        <v/>
      </c>
      <c r="L336" s="58"/>
      <c r="M336" s="54" t="str">
        <f aca="false">IF($A336="","",IF(B336="CÓDIGO?","CÓDIGO NÃO ACHADO",IF($D336="","FALTA ITEM DO ANEXO",IF($D336="INDIRETO","",IF(COUNTIFS('Anexo III'!$B$8:$B$400,$D336,'Anexo III'!$E$8:$E$400,"&gt;0")=0,"ITEM NÃO ACHADO NO ANEXO","")))))</f>
        <v/>
      </c>
    </row>
    <row r="337" customFormat="false" ht="15" hidden="false" customHeight="false" outlineLevel="0" collapsed="false">
      <c r="A337" s="43"/>
      <c r="B337" s="53" t="str">
        <f aca="false">IF($A337="","",IF(ISNUMBER(MATCH($A337,'Cotação de Materiais'!$A$4:$A$200,0)),"MAT",IF(ISNUMBER(MATCH($A337,'Mão de Obra e Serviços'!$A$4:$A$200,0)),"MO","CÓDIGO?")))</f>
        <v/>
      </c>
      <c r="C337" s="54" t="str">
        <f aca="false">IF($A337="","",IFERROR(INDEX('Cotação de Materiais'!$C$4:$C$200,MATCH($A337,'Cotação de Materiais'!$A$4:$A$200,0)),IFERROR(INDEX('Mão de Obra e Serviços'!$B$4:$B$200,MATCH($A337,'Mão de Obra e Serviços'!$A$4:$A$200,0)),"")))</f>
        <v/>
      </c>
      <c r="D337" s="43"/>
      <c r="E337" s="43"/>
      <c r="F337" s="43"/>
      <c r="G337" s="57" t="str">
        <f aca="false">IF($A337="","",E337*IF(F337="",1,F337))</f>
        <v/>
      </c>
      <c r="H337" s="31" t="str">
        <f aca="false">IF($A337="","",IF(SUMIF($A$6:$A$600,$A337,$G$6:$G$600)=0,0,G337/SUMIF($A$6:$A$600,$A337,$G$6:$G$600)))</f>
        <v/>
      </c>
      <c r="I337" s="30" t="str">
        <f aca="false">IF($A337="","",IFERROR(INDEX('Cotação de Materiais'!$H$4:$H$200,MATCH($A337,'Cotação de Materiais'!$A$4:$A$200,0)),IFERROR(INDEX('Mão de Obra e Serviços'!$G$4:$G$200,MATCH($A337,'Mão de Obra e Serviços'!$A$4:$A$200,0)),0)))</f>
        <v/>
      </c>
      <c r="K337" s="30" t="str">
        <f aca="false">IF($A337="","",I337*H337)</f>
        <v/>
      </c>
      <c r="L337" s="58"/>
      <c r="M337" s="54" t="str">
        <f aca="false">IF($A337="","",IF(B337="CÓDIGO?","CÓDIGO NÃO ACHADO",IF($D337="","FALTA ITEM DO ANEXO",IF($D337="INDIRETO","",IF(COUNTIFS('Anexo III'!$B$8:$B$400,$D337,'Anexo III'!$E$8:$E$400,"&gt;0")=0,"ITEM NÃO ACHADO NO ANEXO","")))))</f>
        <v/>
      </c>
    </row>
    <row r="338" customFormat="false" ht="15" hidden="false" customHeight="false" outlineLevel="0" collapsed="false">
      <c r="A338" s="43"/>
      <c r="B338" s="53" t="str">
        <f aca="false">IF($A338="","",IF(ISNUMBER(MATCH($A338,'Cotação de Materiais'!$A$4:$A$200,0)),"MAT",IF(ISNUMBER(MATCH($A338,'Mão de Obra e Serviços'!$A$4:$A$200,0)),"MO","CÓDIGO?")))</f>
        <v/>
      </c>
      <c r="C338" s="54" t="str">
        <f aca="false">IF($A338="","",IFERROR(INDEX('Cotação de Materiais'!$C$4:$C$200,MATCH($A338,'Cotação de Materiais'!$A$4:$A$200,0)),IFERROR(INDEX('Mão de Obra e Serviços'!$B$4:$B$200,MATCH($A338,'Mão de Obra e Serviços'!$A$4:$A$200,0)),"")))</f>
        <v/>
      </c>
      <c r="D338" s="43"/>
      <c r="E338" s="43"/>
      <c r="F338" s="43"/>
      <c r="G338" s="57" t="str">
        <f aca="false">IF($A338="","",E338*IF(F338="",1,F338))</f>
        <v/>
      </c>
      <c r="H338" s="31" t="str">
        <f aca="false">IF($A338="","",IF(SUMIF($A$6:$A$600,$A338,$G$6:$G$600)=0,0,G338/SUMIF($A$6:$A$600,$A338,$G$6:$G$600)))</f>
        <v/>
      </c>
      <c r="I338" s="30" t="str">
        <f aca="false">IF($A338="","",IFERROR(INDEX('Cotação de Materiais'!$H$4:$H$200,MATCH($A338,'Cotação de Materiais'!$A$4:$A$200,0)),IFERROR(INDEX('Mão de Obra e Serviços'!$G$4:$G$200,MATCH($A338,'Mão de Obra e Serviços'!$A$4:$A$200,0)),0)))</f>
        <v/>
      </c>
      <c r="K338" s="30" t="str">
        <f aca="false">IF($A338="","",I338*H338)</f>
        <v/>
      </c>
      <c r="L338" s="58"/>
      <c r="M338" s="54" t="str">
        <f aca="false">IF($A338="","",IF(B338="CÓDIGO?","CÓDIGO NÃO ACHADO",IF($D338="","FALTA ITEM DO ANEXO",IF($D338="INDIRETO","",IF(COUNTIFS('Anexo III'!$B$8:$B$400,$D338,'Anexo III'!$E$8:$E$400,"&gt;0")=0,"ITEM NÃO ACHADO NO ANEXO","")))))</f>
        <v/>
      </c>
    </row>
    <row r="339" customFormat="false" ht="15" hidden="false" customHeight="false" outlineLevel="0" collapsed="false">
      <c r="A339" s="43"/>
      <c r="B339" s="53" t="str">
        <f aca="false">IF($A339="","",IF(ISNUMBER(MATCH($A339,'Cotação de Materiais'!$A$4:$A$200,0)),"MAT",IF(ISNUMBER(MATCH($A339,'Mão de Obra e Serviços'!$A$4:$A$200,0)),"MO","CÓDIGO?")))</f>
        <v/>
      </c>
      <c r="C339" s="54" t="str">
        <f aca="false">IF($A339="","",IFERROR(INDEX('Cotação de Materiais'!$C$4:$C$200,MATCH($A339,'Cotação de Materiais'!$A$4:$A$200,0)),IFERROR(INDEX('Mão de Obra e Serviços'!$B$4:$B$200,MATCH($A339,'Mão de Obra e Serviços'!$A$4:$A$200,0)),"")))</f>
        <v/>
      </c>
      <c r="D339" s="43"/>
      <c r="E339" s="43"/>
      <c r="F339" s="43"/>
      <c r="G339" s="57" t="str">
        <f aca="false">IF($A339="","",E339*IF(F339="",1,F339))</f>
        <v/>
      </c>
      <c r="H339" s="31" t="str">
        <f aca="false">IF($A339="","",IF(SUMIF($A$6:$A$600,$A339,$G$6:$G$600)=0,0,G339/SUMIF($A$6:$A$600,$A339,$G$6:$G$600)))</f>
        <v/>
      </c>
      <c r="I339" s="30" t="str">
        <f aca="false">IF($A339="","",IFERROR(INDEX('Cotação de Materiais'!$H$4:$H$200,MATCH($A339,'Cotação de Materiais'!$A$4:$A$200,0)),IFERROR(INDEX('Mão de Obra e Serviços'!$G$4:$G$200,MATCH($A339,'Mão de Obra e Serviços'!$A$4:$A$200,0)),0)))</f>
        <v/>
      </c>
      <c r="K339" s="30" t="str">
        <f aca="false">IF($A339="","",I339*H339)</f>
        <v/>
      </c>
      <c r="L339" s="58"/>
      <c r="M339" s="54" t="str">
        <f aca="false">IF($A339="","",IF(B339="CÓDIGO?","CÓDIGO NÃO ACHADO",IF($D339="","FALTA ITEM DO ANEXO",IF($D339="INDIRETO","",IF(COUNTIFS('Anexo III'!$B$8:$B$400,$D339,'Anexo III'!$E$8:$E$400,"&gt;0")=0,"ITEM NÃO ACHADO NO ANEXO","")))))</f>
        <v/>
      </c>
    </row>
    <row r="340" customFormat="false" ht="15" hidden="false" customHeight="false" outlineLevel="0" collapsed="false">
      <c r="A340" s="43"/>
      <c r="B340" s="53" t="str">
        <f aca="false">IF($A340="","",IF(ISNUMBER(MATCH($A340,'Cotação de Materiais'!$A$4:$A$200,0)),"MAT",IF(ISNUMBER(MATCH($A340,'Mão de Obra e Serviços'!$A$4:$A$200,0)),"MO","CÓDIGO?")))</f>
        <v/>
      </c>
      <c r="C340" s="54" t="str">
        <f aca="false">IF($A340="","",IFERROR(INDEX('Cotação de Materiais'!$C$4:$C$200,MATCH($A340,'Cotação de Materiais'!$A$4:$A$200,0)),IFERROR(INDEX('Mão de Obra e Serviços'!$B$4:$B$200,MATCH($A340,'Mão de Obra e Serviços'!$A$4:$A$200,0)),"")))</f>
        <v/>
      </c>
      <c r="D340" s="43"/>
      <c r="E340" s="43"/>
      <c r="F340" s="43"/>
      <c r="G340" s="57" t="str">
        <f aca="false">IF($A340="","",E340*IF(F340="",1,F340))</f>
        <v/>
      </c>
      <c r="H340" s="31" t="str">
        <f aca="false">IF($A340="","",IF(SUMIF($A$6:$A$600,$A340,$G$6:$G$600)=0,0,G340/SUMIF($A$6:$A$600,$A340,$G$6:$G$600)))</f>
        <v/>
      </c>
      <c r="I340" s="30" t="str">
        <f aca="false">IF($A340="","",IFERROR(INDEX('Cotação de Materiais'!$H$4:$H$200,MATCH($A340,'Cotação de Materiais'!$A$4:$A$200,0)),IFERROR(INDEX('Mão de Obra e Serviços'!$G$4:$G$200,MATCH($A340,'Mão de Obra e Serviços'!$A$4:$A$200,0)),0)))</f>
        <v/>
      </c>
      <c r="K340" s="30" t="str">
        <f aca="false">IF($A340="","",I340*H340)</f>
        <v/>
      </c>
      <c r="L340" s="58"/>
      <c r="M340" s="54" t="str">
        <f aca="false">IF($A340="","",IF(B340="CÓDIGO?","CÓDIGO NÃO ACHADO",IF($D340="","FALTA ITEM DO ANEXO",IF($D340="INDIRETO","",IF(COUNTIFS('Anexo III'!$B$8:$B$400,$D340,'Anexo III'!$E$8:$E$400,"&gt;0")=0,"ITEM NÃO ACHADO NO ANEXO","")))))</f>
        <v/>
      </c>
    </row>
    <row r="341" customFormat="false" ht="15" hidden="false" customHeight="false" outlineLevel="0" collapsed="false">
      <c r="A341" s="43"/>
      <c r="B341" s="53" t="str">
        <f aca="false">IF($A341="","",IF(ISNUMBER(MATCH($A341,'Cotação de Materiais'!$A$4:$A$200,0)),"MAT",IF(ISNUMBER(MATCH($A341,'Mão de Obra e Serviços'!$A$4:$A$200,0)),"MO","CÓDIGO?")))</f>
        <v/>
      </c>
      <c r="C341" s="54" t="str">
        <f aca="false">IF($A341="","",IFERROR(INDEX('Cotação de Materiais'!$C$4:$C$200,MATCH($A341,'Cotação de Materiais'!$A$4:$A$200,0)),IFERROR(INDEX('Mão de Obra e Serviços'!$B$4:$B$200,MATCH($A341,'Mão de Obra e Serviços'!$A$4:$A$200,0)),"")))</f>
        <v/>
      </c>
      <c r="D341" s="43"/>
      <c r="E341" s="43"/>
      <c r="F341" s="43"/>
      <c r="G341" s="57" t="str">
        <f aca="false">IF($A341="","",E341*IF(F341="",1,F341))</f>
        <v/>
      </c>
      <c r="H341" s="31" t="str">
        <f aca="false">IF($A341="","",IF(SUMIF($A$6:$A$600,$A341,$G$6:$G$600)=0,0,G341/SUMIF($A$6:$A$600,$A341,$G$6:$G$600)))</f>
        <v/>
      </c>
      <c r="I341" s="30" t="str">
        <f aca="false">IF($A341="","",IFERROR(INDEX('Cotação de Materiais'!$H$4:$H$200,MATCH($A341,'Cotação de Materiais'!$A$4:$A$200,0)),IFERROR(INDEX('Mão de Obra e Serviços'!$G$4:$G$200,MATCH($A341,'Mão de Obra e Serviços'!$A$4:$A$200,0)),0)))</f>
        <v/>
      </c>
      <c r="K341" s="30" t="str">
        <f aca="false">IF($A341="","",I341*H341)</f>
        <v/>
      </c>
      <c r="L341" s="58"/>
      <c r="M341" s="54" t="str">
        <f aca="false">IF($A341="","",IF(B341="CÓDIGO?","CÓDIGO NÃO ACHADO",IF($D341="","FALTA ITEM DO ANEXO",IF($D341="INDIRETO","",IF(COUNTIFS('Anexo III'!$B$8:$B$400,$D341,'Anexo III'!$E$8:$E$400,"&gt;0")=0,"ITEM NÃO ACHADO NO ANEXO","")))))</f>
        <v/>
      </c>
    </row>
    <row r="342" customFormat="false" ht="15" hidden="false" customHeight="false" outlineLevel="0" collapsed="false">
      <c r="A342" s="43"/>
      <c r="B342" s="53" t="str">
        <f aca="false">IF($A342="","",IF(ISNUMBER(MATCH($A342,'Cotação de Materiais'!$A$4:$A$200,0)),"MAT",IF(ISNUMBER(MATCH($A342,'Mão de Obra e Serviços'!$A$4:$A$200,0)),"MO","CÓDIGO?")))</f>
        <v/>
      </c>
      <c r="C342" s="54" t="str">
        <f aca="false">IF($A342="","",IFERROR(INDEX('Cotação de Materiais'!$C$4:$C$200,MATCH($A342,'Cotação de Materiais'!$A$4:$A$200,0)),IFERROR(INDEX('Mão de Obra e Serviços'!$B$4:$B$200,MATCH($A342,'Mão de Obra e Serviços'!$A$4:$A$200,0)),"")))</f>
        <v/>
      </c>
      <c r="D342" s="43"/>
      <c r="E342" s="43"/>
      <c r="F342" s="43"/>
      <c r="G342" s="57" t="str">
        <f aca="false">IF($A342="","",E342*IF(F342="",1,F342))</f>
        <v/>
      </c>
      <c r="H342" s="31" t="str">
        <f aca="false">IF($A342="","",IF(SUMIF($A$6:$A$600,$A342,$G$6:$G$600)=0,0,G342/SUMIF($A$6:$A$600,$A342,$G$6:$G$600)))</f>
        <v/>
      </c>
      <c r="I342" s="30" t="str">
        <f aca="false">IF($A342="","",IFERROR(INDEX('Cotação de Materiais'!$H$4:$H$200,MATCH($A342,'Cotação de Materiais'!$A$4:$A$200,0)),IFERROR(INDEX('Mão de Obra e Serviços'!$G$4:$G$200,MATCH($A342,'Mão de Obra e Serviços'!$A$4:$A$200,0)),0)))</f>
        <v/>
      </c>
      <c r="K342" s="30" t="str">
        <f aca="false">IF($A342="","",I342*H342)</f>
        <v/>
      </c>
      <c r="L342" s="58"/>
      <c r="M342" s="54" t="str">
        <f aca="false">IF($A342="","",IF(B342="CÓDIGO?","CÓDIGO NÃO ACHADO",IF($D342="","FALTA ITEM DO ANEXO",IF($D342="INDIRETO","",IF(COUNTIFS('Anexo III'!$B$8:$B$400,$D342,'Anexo III'!$E$8:$E$400,"&gt;0")=0,"ITEM NÃO ACHADO NO ANEXO","")))))</f>
        <v/>
      </c>
    </row>
    <row r="343" customFormat="false" ht="15" hidden="false" customHeight="false" outlineLevel="0" collapsed="false">
      <c r="A343" s="43"/>
      <c r="B343" s="53" t="str">
        <f aca="false">IF($A343="","",IF(ISNUMBER(MATCH($A343,'Cotação de Materiais'!$A$4:$A$200,0)),"MAT",IF(ISNUMBER(MATCH($A343,'Mão de Obra e Serviços'!$A$4:$A$200,0)),"MO","CÓDIGO?")))</f>
        <v/>
      </c>
      <c r="C343" s="54" t="str">
        <f aca="false">IF($A343="","",IFERROR(INDEX('Cotação de Materiais'!$C$4:$C$200,MATCH($A343,'Cotação de Materiais'!$A$4:$A$200,0)),IFERROR(INDEX('Mão de Obra e Serviços'!$B$4:$B$200,MATCH($A343,'Mão de Obra e Serviços'!$A$4:$A$200,0)),"")))</f>
        <v/>
      </c>
      <c r="D343" s="43"/>
      <c r="E343" s="43"/>
      <c r="F343" s="43"/>
      <c r="G343" s="57" t="str">
        <f aca="false">IF($A343="","",E343*IF(F343="",1,F343))</f>
        <v/>
      </c>
      <c r="H343" s="31" t="str">
        <f aca="false">IF($A343="","",IF(SUMIF($A$6:$A$600,$A343,$G$6:$G$600)=0,0,G343/SUMIF($A$6:$A$600,$A343,$G$6:$G$600)))</f>
        <v/>
      </c>
      <c r="I343" s="30" t="str">
        <f aca="false">IF($A343="","",IFERROR(INDEX('Cotação de Materiais'!$H$4:$H$200,MATCH($A343,'Cotação de Materiais'!$A$4:$A$200,0)),IFERROR(INDEX('Mão de Obra e Serviços'!$G$4:$G$200,MATCH($A343,'Mão de Obra e Serviços'!$A$4:$A$200,0)),0)))</f>
        <v/>
      </c>
      <c r="K343" s="30" t="str">
        <f aca="false">IF($A343="","",I343*H343)</f>
        <v/>
      </c>
      <c r="L343" s="58"/>
      <c r="M343" s="54" t="str">
        <f aca="false">IF($A343="","",IF(B343="CÓDIGO?","CÓDIGO NÃO ACHADO",IF($D343="","FALTA ITEM DO ANEXO",IF($D343="INDIRETO","",IF(COUNTIFS('Anexo III'!$B$8:$B$400,$D343,'Anexo III'!$E$8:$E$400,"&gt;0")=0,"ITEM NÃO ACHADO NO ANEXO","")))))</f>
        <v/>
      </c>
    </row>
    <row r="344" customFormat="false" ht="15" hidden="false" customHeight="false" outlineLevel="0" collapsed="false">
      <c r="A344" s="43"/>
      <c r="B344" s="53" t="str">
        <f aca="false">IF($A344="","",IF(ISNUMBER(MATCH($A344,'Cotação de Materiais'!$A$4:$A$200,0)),"MAT",IF(ISNUMBER(MATCH($A344,'Mão de Obra e Serviços'!$A$4:$A$200,0)),"MO","CÓDIGO?")))</f>
        <v/>
      </c>
      <c r="C344" s="54" t="str">
        <f aca="false">IF($A344="","",IFERROR(INDEX('Cotação de Materiais'!$C$4:$C$200,MATCH($A344,'Cotação de Materiais'!$A$4:$A$200,0)),IFERROR(INDEX('Mão de Obra e Serviços'!$B$4:$B$200,MATCH($A344,'Mão de Obra e Serviços'!$A$4:$A$200,0)),"")))</f>
        <v/>
      </c>
      <c r="D344" s="43"/>
      <c r="E344" s="43"/>
      <c r="F344" s="43"/>
      <c r="G344" s="57" t="str">
        <f aca="false">IF($A344="","",E344*IF(F344="",1,F344))</f>
        <v/>
      </c>
      <c r="H344" s="31" t="str">
        <f aca="false">IF($A344="","",IF(SUMIF($A$6:$A$600,$A344,$G$6:$G$600)=0,0,G344/SUMIF($A$6:$A$600,$A344,$G$6:$G$600)))</f>
        <v/>
      </c>
      <c r="I344" s="30" t="str">
        <f aca="false">IF($A344="","",IFERROR(INDEX('Cotação de Materiais'!$H$4:$H$200,MATCH($A344,'Cotação de Materiais'!$A$4:$A$200,0)),IFERROR(INDEX('Mão de Obra e Serviços'!$G$4:$G$200,MATCH($A344,'Mão de Obra e Serviços'!$A$4:$A$200,0)),0)))</f>
        <v/>
      </c>
      <c r="K344" s="30" t="str">
        <f aca="false">IF($A344="","",I344*H344)</f>
        <v/>
      </c>
      <c r="L344" s="58"/>
      <c r="M344" s="54" t="str">
        <f aca="false">IF($A344="","",IF(B344="CÓDIGO?","CÓDIGO NÃO ACHADO",IF($D344="","FALTA ITEM DO ANEXO",IF($D344="INDIRETO","",IF(COUNTIFS('Anexo III'!$B$8:$B$400,$D344,'Anexo III'!$E$8:$E$400,"&gt;0")=0,"ITEM NÃO ACHADO NO ANEXO","")))))</f>
        <v/>
      </c>
    </row>
    <row r="345" customFormat="false" ht="15" hidden="false" customHeight="false" outlineLevel="0" collapsed="false">
      <c r="A345" s="43"/>
      <c r="B345" s="53" t="str">
        <f aca="false">IF($A345="","",IF(ISNUMBER(MATCH($A345,'Cotação de Materiais'!$A$4:$A$200,0)),"MAT",IF(ISNUMBER(MATCH($A345,'Mão de Obra e Serviços'!$A$4:$A$200,0)),"MO","CÓDIGO?")))</f>
        <v/>
      </c>
      <c r="C345" s="54" t="str">
        <f aca="false">IF($A345="","",IFERROR(INDEX('Cotação de Materiais'!$C$4:$C$200,MATCH($A345,'Cotação de Materiais'!$A$4:$A$200,0)),IFERROR(INDEX('Mão de Obra e Serviços'!$B$4:$B$200,MATCH($A345,'Mão de Obra e Serviços'!$A$4:$A$200,0)),"")))</f>
        <v/>
      </c>
      <c r="D345" s="43"/>
      <c r="E345" s="43"/>
      <c r="F345" s="43"/>
      <c r="G345" s="57" t="str">
        <f aca="false">IF($A345="","",E345*IF(F345="",1,F345))</f>
        <v/>
      </c>
      <c r="H345" s="31" t="str">
        <f aca="false">IF($A345="","",IF(SUMIF($A$6:$A$600,$A345,$G$6:$G$600)=0,0,G345/SUMIF($A$6:$A$600,$A345,$G$6:$G$600)))</f>
        <v/>
      </c>
      <c r="I345" s="30" t="str">
        <f aca="false">IF($A345="","",IFERROR(INDEX('Cotação de Materiais'!$H$4:$H$200,MATCH($A345,'Cotação de Materiais'!$A$4:$A$200,0)),IFERROR(INDEX('Mão de Obra e Serviços'!$G$4:$G$200,MATCH($A345,'Mão de Obra e Serviços'!$A$4:$A$200,0)),0)))</f>
        <v/>
      </c>
      <c r="K345" s="30" t="str">
        <f aca="false">IF($A345="","",I345*H345)</f>
        <v/>
      </c>
      <c r="L345" s="58"/>
      <c r="M345" s="54" t="str">
        <f aca="false">IF($A345="","",IF(B345="CÓDIGO?","CÓDIGO NÃO ACHADO",IF($D345="","FALTA ITEM DO ANEXO",IF($D345="INDIRETO","",IF(COUNTIFS('Anexo III'!$B$8:$B$400,$D345,'Anexo III'!$E$8:$E$400,"&gt;0")=0,"ITEM NÃO ACHADO NO ANEXO","")))))</f>
        <v/>
      </c>
    </row>
    <row r="346" customFormat="false" ht="15" hidden="false" customHeight="false" outlineLevel="0" collapsed="false">
      <c r="A346" s="43"/>
      <c r="B346" s="53" t="str">
        <f aca="false">IF($A346="","",IF(ISNUMBER(MATCH($A346,'Cotação de Materiais'!$A$4:$A$200,0)),"MAT",IF(ISNUMBER(MATCH($A346,'Mão de Obra e Serviços'!$A$4:$A$200,0)),"MO","CÓDIGO?")))</f>
        <v/>
      </c>
      <c r="C346" s="54" t="str">
        <f aca="false">IF($A346="","",IFERROR(INDEX('Cotação de Materiais'!$C$4:$C$200,MATCH($A346,'Cotação de Materiais'!$A$4:$A$200,0)),IFERROR(INDEX('Mão de Obra e Serviços'!$B$4:$B$200,MATCH($A346,'Mão de Obra e Serviços'!$A$4:$A$200,0)),"")))</f>
        <v/>
      </c>
      <c r="D346" s="43"/>
      <c r="E346" s="43"/>
      <c r="F346" s="43"/>
      <c r="G346" s="57" t="str">
        <f aca="false">IF($A346="","",E346*IF(F346="",1,F346))</f>
        <v/>
      </c>
      <c r="H346" s="31" t="str">
        <f aca="false">IF($A346="","",IF(SUMIF($A$6:$A$600,$A346,$G$6:$G$600)=0,0,G346/SUMIF($A$6:$A$600,$A346,$G$6:$G$600)))</f>
        <v/>
      </c>
      <c r="I346" s="30" t="str">
        <f aca="false">IF($A346="","",IFERROR(INDEX('Cotação de Materiais'!$H$4:$H$200,MATCH($A346,'Cotação de Materiais'!$A$4:$A$200,0)),IFERROR(INDEX('Mão de Obra e Serviços'!$G$4:$G$200,MATCH($A346,'Mão de Obra e Serviços'!$A$4:$A$200,0)),0)))</f>
        <v/>
      </c>
      <c r="K346" s="30" t="str">
        <f aca="false">IF($A346="","",I346*H346)</f>
        <v/>
      </c>
      <c r="L346" s="58"/>
      <c r="M346" s="54" t="str">
        <f aca="false">IF($A346="","",IF(B346="CÓDIGO?","CÓDIGO NÃO ACHADO",IF($D346="","FALTA ITEM DO ANEXO",IF($D346="INDIRETO","",IF(COUNTIFS('Anexo III'!$B$8:$B$400,$D346,'Anexo III'!$E$8:$E$400,"&gt;0")=0,"ITEM NÃO ACHADO NO ANEXO","")))))</f>
        <v/>
      </c>
    </row>
    <row r="347" customFormat="false" ht="15" hidden="false" customHeight="false" outlineLevel="0" collapsed="false">
      <c r="A347" s="43"/>
      <c r="B347" s="53" t="str">
        <f aca="false">IF($A347="","",IF(ISNUMBER(MATCH($A347,'Cotação de Materiais'!$A$4:$A$200,0)),"MAT",IF(ISNUMBER(MATCH($A347,'Mão de Obra e Serviços'!$A$4:$A$200,0)),"MO","CÓDIGO?")))</f>
        <v/>
      </c>
      <c r="C347" s="54" t="str">
        <f aca="false">IF($A347="","",IFERROR(INDEX('Cotação de Materiais'!$C$4:$C$200,MATCH($A347,'Cotação de Materiais'!$A$4:$A$200,0)),IFERROR(INDEX('Mão de Obra e Serviços'!$B$4:$B$200,MATCH($A347,'Mão de Obra e Serviços'!$A$4:$A$200,0)),"")))</f>
        <v/>
      </c>
      <c r="D347" s="43"/>
      <c r="E347" s="43"/>
      <c r="F347" s="43"/>
      <c r="G347" s="57" t="str">
        <f aca="false">IF($A347="","",E347*IF(F347="",1,F347))</f>
        <v/>
      </c>
      <c r="H347" s="31" t="str">
        <f aca="false">IF($A347="","",IF(SUMIF($A$6:$A$600,$A347,$G$6:$G$600)=0,0,G347/SUMIF($A$6:$A$600,$A347,$G$6:$G$600)))</f>
        <v/>
      </c>
      <c r="I347" s="30" t="str">
        <f aca="false">IF($A347="","",IFERROR(INDEX('Cotação de Materiais'!$H$4:$H$200,MATCH($A347,'Cotação de Materiais'!$A$4:$A$200,0)),IFERROR(INDEX('Mão de Obra e Serviços'!$G$4:$G$200,MATCH($A347,'Mão de Obra e Serviços'!$A$4:$A$200,0)),0)))</f>
        <v/>
      </c>
      <c r="K347" s="30" t="str">
        <f aca="false">IF($A347="","",I347*H347)</f>
        <v/>
      </c>
      <c r="L347" s="58"/>
      <c r="M347" s="54" t="str">
        <f aca="false">IF($A347="","",IF(B347="CÓDIGO?","CÓDIGO NÃO ACHADO",IF($D347="","FALTA ITEM DO ANEXO",IF($D347="INDIRETO","",IF(COUNTIFS('Anexo III'!$B$8:$B$400,$D347,'Anexo III'!$E$8:$E$400,"&gt;0")=0,"ITEM NÃO ACHADO NO ANEXO","")))))</f>
        <v/>
      </c>
    </row>
    <row r="348" customFormat="false" ht="15" hidden="false" customHeight="false" outlineLevel="0" collapsed="false">
      <c r="A348" s="43"/>
      <c r="B348" s="53" t="str">
        <f aca="false">IF($A348="","",IF(ISNUMBER(MATCH($A348,'Cotação de Materiais'!$A$4:$A$200,0)),"MAT",IF(ISNUMBER(MATCH($A348,'Mão de Obra e Serviços'!$A$4:$A$200,0)),"MO","CÓDIGO?")))</f>
        <v/>
      </c>
      <c r="C348" s="54" t="str">
        <f aca="false">IF($A348="","",IFERROR(INDEX('Cotação de Materiais'!$C$4:$C$200,MATCH($A348,'Cotação de Materiais'!$A$4:$A$200,0)),IFERROR(INDEX('Mão de Obra e Serviços'!$B$4:$B$200,MATCH($A348,'Mão de Obra e Serviços'!$A$4:$A$200,0)),"")))</f>
        <v/>
      </c>
      <c r="D348" s="43"/>
      <c r="E348" s="43"/>
      <c r="F348" s="43"/>
      <c r="G348" s="57" t="str">
        <f aca="false">IF($A348="","",E348*IF(F348="",1,F348))</f>
        <v/>
      </c>
      <c r="H348" s="31" t="str">
        <f aca="false">IF($A348="","",IF(SUMIF($A$6:$A$600,$A348,$G$6:$G$600)=0,0,G348/SUMIF($A$6:$A$600,$A348,$G$6:$G$600)))</f>
        <v/>
      </c>
      <c r="I348" s="30" t="str">
        <f aca="false">IF($A348="","",IFERROR(INDEX('Cotação de Materiais'!$H$4:$H$200,MATCH($A348,'Cotação de Materiais'!$A$4:$A$200,0)),IFERROR(INDEX('Mão de Obra e Serviços'!$G$4:$G$200,MATCH($A348,'Mão de Obra e Serviços'!$A$4:$A$200,0)),0)))</f>
        <v/>
      </c>
      <c r="K348" s="30" t="str">
        <f aca="false">IF($A348="","",I348*H348)</f>
        <v/>
      </c>
      <c r="L348" s="58"/>
      <c r="M348" s="54" t="str">
        <f aca="false">IF($A348="","",IF(B348="CÓDIGO?","CÓDIGO NÃO ACHADO",IF($D348="","FALTA ITEM DO ANEXO",IF($D348="INDIRETO","",IF(COUNTIFS('Anexo III'!$B$8:$B$400,$D348,'Anexo III'!$E$8:$E$400,"&gt;0")=0,"ITEM NÃO ACHADO NO ANEXO","")))))</f>
        <v/>
      </c>
    </row>
    <row r="349" customFormat="false" ht="15" hidden="false" customHeight="false" outlineLevel="0" collapsed="false">
      <c r="A349" s="43"/>
      <c r="B349" s="53" t="str">
        <f aca="false">IF($A349="","",IF(ISNUMBER(MATCH($A349,'Cotação de Materiais'!$A$4:$A$200,0)),"MAT",IF(ISNUMBER(MATCH($A349,'Mão de Obra e Serviços'!$A$4:$A$200,0)),"MO","CÓDIGO?")))</f>
        <v/>
      </c>
      <c r="C349" s="54" t="str">
        <f aca="false">IF($A349="","",IFERROR(INDEX('Cotação de Materiais'!$C$4:$C$200,MATCH($A349,'Cotação de Materiais'!$A$4:$A$200,0)),IFERROR(INDEX('Mão de Obra e Serviços'!$B$4:$B$200,MATCH($A349,'Mão de Obra e Serviços'!$A$4:$A$200,0)),"")))</f>
        <v/>
      </c>
      <c r="D349" s="43"/>
      <c r="E349" s="43"/>
      <c r="F349" s="43"/>
      <c r="G349" s="57" t="str">
        <f aca="false">IF($A349="","",E349*IF(F349="",1,F349))</f>
        <v/>
      </c>
      <c r="H349" s="31" t="str">
        <f aca="false">IF($A349="","",IF(SUMIF($A$6:$A$600,$A349,$G$6:$G$600)=0,0,G349/SUMIF($A$6:$A$600,$A349,$G$6:$G$600)))</f>
        <v/>
      </c>
      <c r="I349" s="30" t="str">
        <f aca="false">IF($A349="","",IFERROR(INDEX('Cotação de Materiais'!$H$4:$H$200,MATCH($A349,'Cotação de Materiais'!$A$4:$A$200,0)),IFERROR(INDEX('Mão de Obra e Serviços'!$G$4:$G$200,MATCH($A349,'Mão de Obra e Serviços'!$A$4:$A$200,0)),0)))</f>
        <v/>
      </c>
      <c r="K349" s="30" t="str">
        <f aca="false">IF($A349="","",I349*H349)</f>
        <v/>
      </c>
      <c r="L349" s="58"/>
      <c r="M349" s="54" t="str">
        <f aca="false">IF($A349="","",IF(B349="CÓDIGO?","CÓDIGO NÃO ACHADO",IF($D349="","FALTA ITEM DO ANEXO",IF($D349="INDIRETO","",IF(COUNTIFS('Anexo III'!$B$8:$B$400,$D349,'Anexo III'!$E$8:$E$400,"&gt;0")=0,"ITEM NÃO ACHADO NO ANEXO","")))))</f>
        <v/>
      </c>
    </row>
    <row r="350" customFormat="false" ht="15" hidden="false" customHeight="false" outlineLevel="0" collapsed="false">
      <c r="A350" s="43"/>
      <c r="B350" s="53" t="str">
        <f aca="false">IF($A350="","",IF(ISNUMBER(MATCH($A350,'Cotação de Materiais'!$A$4:$A$200,0)),"MAT",IF(ISNUMBER(MATCH($A350,'Mão de Obra e Serviços'!$A$4:$A$200,0)),"MO","CÓDIGO?")))</f>
        <v/>
      </c>
      <c r="C350" s="54" t="str">
        <f aca="false">IF($A350="","",IFERROR(INDEX('Cotação de Materiais'!$C$4:$C$200,MATCH($A350,'Cotação de Materiais'!$A$4:$A$200,0)),IFERROR(INDEX('Mão de Obra e Serviços'!$B$4:$B$200,MATCH($A350,'Mão de Obra e Serviços'!$A$4:$A$200,0)),"")))</f>
        <v/>
      </c>
      <c r="D350" s="43"/>
      <c r="E350" s="43"/>
      <c r="F350" s="43"/>
      <c r="G350" s="57" t="str">
        <f aca="false">IF($A350="","",E350*IF(F350="",1,F350))</f>
        <v/>
      </c>
      <c r="H350" s="31" t="str">
        <f aca="false">IF($A350="","",IF(SUMIF($A$6:$A$600,$A350,$G$6:$G$600)=0,0,G350/SUMIF($A$6:$A$600,$A350,$G$6:$G$600)))</f>
        <v/>
      </c>
      <c r="I350" s="30" t="str">
        <f aca="false">IF($A350="","",IFERROR(INDEX('Cotação de Materiais'!$H$4:$H$200,MATCH($A350,'Cotação de Materiais'!$A$4:$A$200,0)),IFERROR(INDEX('Mão de Obra e Serviços'!$G$4:$G$200,MATCH($A350,'Mão de Obra e Serviços'!$A$4:$A$200,0)),0)))</f>
        <v/>
      </c>
      <c r="K350" s="30" t="str">
        <f aca="false">IF($A350="","",I350*H350)</f>
        <v/>
      </c>
      <c r="L350" s="58"/>
      <c r="M350" s="54" t="str">
        <f aca="false">IF($A350="","",IF(B350="CÓDIGO?","CÓDIGO NÃO ACHADO",IF($D350="","FALTA ITEM DO ANEXO",IF($D350="INDIRETO","",IF(COUNTIFS('Anexo III'!$B$8:$B$400,$D350,'Anexo III'!$E$8:$E$400,"&gt;0")=0,"ITEM NÃO ACHADO NO ANEXO","")))))</f>
        <v/>
      </c>
    </row>
    <row r="351" customFormat="false" ht="15" hidden="false" customHeight="false" outlineLevel="0" collapsed="false">
      <c r="A351" s="43"/>
      <c r="B351" s="53" t="str">
        <f aca="false">IF($A351="","",IF(ISNUMBER(MATCH($A351,'Cotação de Materiais'!$A$4:$A$200,0)),"MAT",IF(ISNUMBER(MATCH($A351,'Mão de Obra e Serviços'!$A$4:$A$200,0)),"MO","CÓDIGO?")))</f>
        <v/>
      </c>
      <c r="C351" s="54" t="str">
        <f aca="false">IF($A351="","",IFERROR(INDEX('Cotação de Materiais'!$C$4:$C$200,MATCH($A351,'Cotação de Materiais'!$A$4:$A$200,0)),IFERROR(INDEX('Mão de Obra e Serviços'!$B$4:$B$200,MATCH($A351,'Mão de Obra e Serviços'!$A$4:$A$200,0)),"")))</f>
        <v/>
      </c>
      <c r="D351" s="43"/>
      <c r="E351" s="43"/>
      <c r="F351" s="43"/>
      <c r="G351" s="57" t="str">
        <f aca="false">IF($A351="","",E351*IF(F351="",1,F351))</f>
        <v/>
      </c>
      <c r="H351" s="31" t="str">
        <f aca="false">IF($A351="","",IF(SUMIF($A$6:$A$600,$A351,$G$6:$G$600)=0,0,G351/SUMIF($A$6:$A$600,$A351,$G$6:$G$600)))</f>
        <v/>
      </c>
      <c r="I351" s="30" t="str">
        <f aca="false">IF($A351="","",IFERROR(INDEX('Cotação de Materiais'!$H$4:$H$200,MATCH($A351,'Cotação de Materiais'!$A$4:$A$200,0)),IFERROR(INDEX('Mão de Obra e Serviços'!$G$4:$G$200,MATCH($A351,'Mão de Obra e Serviços'!$A$4:$A$200,0)),0)))</f>
        <v/>
      </c>
      <c r="K351" s="30" t="str">
        <f aca="false">IF($A351="","",I351*H351)</f>
        <v/>
      </c>
      <c r="L351" s="58"/>
      <c r="M351" s="54" t="str">
        <f aca="false">IF($A351="","",IF(B351="CÓDIGO?","CÓDIGO NÃO ACHADO",IF($D351="","FALTA ITEM DO ANEXO",IF($D351="INDIRETO","",IF(COUNTIFS('Anexo III'!$B$8:$B$400,$D351,'Anexo III'!$E$8:$E$400,"&gt;0")=0,"ITEM NÃO ACHADO NO ANEXO","")))))</f>
        <v/>
      </c>
    </row>
    <row r="352" customFormat="false" ht="15" hidden="false" customHeight="false" outlineLevel="0" collapsed="false">
      <c r="A352" s="43"/>
      <c r="B352" s="53" t="str">
        <f aca="false">IF($A352="","",IF(ISNUMBER(MATCH($A352,'Cotação de Materiais'!$A$4:$A$200,0)),"MAT",IF(ISNUMBER(MATCH($A352,'Mão de Obra e Serviços'!$A$4:$A$200,0)),"MO","CÓDIGO?")))</f>
        <v/>
      </c>
      <c r="C352" s="54" t="str">
        <f aca="false">IF($A352="","",IFERROR(INDEX('Cotação de Materiais'!$C$4:$C$200,MATCH($A352,'Cotação de Materiais'!$A$4:$A$200,0)),IFERROR(INDEX('Mão de Obra e Serviços'!$B$4:$B$200,MATCH($A352,'Mão de Obra e Serviços'!$A$4:$A$200,0)),"")))</f>
        <v/>
      </c>
      <c r="D352" s="43"/>
      <c r="E352" s="43"/>
      <c r="F352" s="43"/>
      <c r="G352" s="57" t="str">
        <f aca="false">IF($A352="","",E352*IF(F352="",1,F352))</f>
        <v/>
      </c>
      <c r="H352" s="31" t="str">
        <f aca="false">IF($A352="","",IF(SUMIF($A$6:$A$600,$A352,$G$6:$G$600)=0,0,G352/SUMIF($A$6:$A$600,$A352,$G$6:$G$600)))</f>
        <v/>
      </c>
      <c r="I352" s="30" t="str">
        <f aca="false">IF($A352="","",IFERROR(INDEX('Cotação de Materiais'!$H$4:$H$200,MATCH($A352,'Cotação de Materiais'!$A$4:$A$200,0)),IFERROR(INDEX('Mão de Obra e Serviços'!$G$4:$G$200,MATCH($A352,'Mão de Obra e Serviços'!$A$4:$A$200,0)),0)))</f>
        <v/>
      </c>
      <c r="K352" s="30" t="str">
        <f aca="false">IF($A352="","",I352*H352)</f>
        <v/>
      </c>
      <c r="L352" s="58"/>
      <c r="M352" s="54" t="str">
        <f aca="false">IF($A352="","",IF(B352="CÓDIGO?","CÓDIGO NÃO ACHADO",IF($D352="","FALTA ITEM DO ANEXO",IF($D352="INDIRETO","",IF(COUNTIFS('Anexo III'!$B$8:$B$400,$D352,'Anexo III'!$E$8:$E$400,"&gt;0")=0,"ITEM NÃO ACHADO NO ANEXO","")))))</f>
        <v/>
      </c>
    </row>
    <row r="353" customFormat="false" ht="15" hidden="false" customHeight="false" outlineLevel="0" collapsed="false">
      <c r="A353" s="43"/>
      <c r="B353" s="53" t="str">
        <f aca="false">IF($A353="","",IF(ISNUMBER(MATCH($A353,'Cotação de Materiais'!$A$4:$A$200,0)),"MAT",IF(ISNUMBER(MATCH($A353,'Mão de Obra e Serviços'!$A$4:$A$200,0)),"MO","CÓDIGO?")))</f>
        <v/>
      </c>
      <c r="C353" s="54" t="str">
        <f aca="false">IF($A353="","",IFERROR(INDEX('Cotação de Materiais'!$C$4:$C$200,MATCH($A353,'Cotação de Materiais'!$A$4:$A$200,0)),IFERROR(INDEX('Mão de Obra e Serviços'!$B$4:$B$200,MATCH($A353,'Mão de Obra e Serviços'!$A$4:$A$200,0)),"")))</f>
        <v/>
      </c>
      <c r="D353" s="43"/>
      <c r="E353" s="43"/>
      <c r="F353" s="43"/>
      <c r="G353" s="57" t="str">
        <f aca="false">IF($A353="","",E353*IF(F353="",1,F353))</f>
        <v/>
      </c>
      <c r="H353" s="31" t="str">
        <f aca="false">IF($A353="","",IF(SUMIF($A$6:$A$600,$A353,$G$6:$G$600)=0,0,G353/SUMIF($A$6:$A$600,$A353,$G$6:$G$600)))</f>
        <v/>
      </c>
      <c r="I353" s="30" t="str">
        <f aca="false">IF($A353="","",IFERROR(INDEX('Cotação de Materiais'!$H$4:$H$200,MATCH($A353,'Cotação de Materiais'!$A$4:$A$200,0)),IFERROR(INDEX('Mão de Obra e Serviços'!$G$4:$G$200,MATCH($A353,'Mão de Obra e Serviços'!$A$4:$A$200,0)),0)))</f>
        <v/>
      </c>
      <c r="K353" s="30" t="str">
        <f aca="false">IF($A353="","",I353*H353)</f>
        <v/>
      </c>
      <c r="L353" s="58"/>
      <c r="M353" s="54" t="str">
        <f aca="false">IF($A353="","",IF(B353="CÓDIGO?","CÓDIGO NÃO ACHADO",IF($D353="","FALTA ITEM DO ANEXO",IF($D353="INDIRETO","",IF(COUNTIFS('Anexo III'!$B$8:$B$400,$D353,'Anexo III'!$E$8:$E$400,"&gt;0")=0,"ITEM NÃO ACHADO NO ANEXO","")))))</f>
        <v/>
      </c>
    </row>
    <row r="354" customFormat="false" ht="15" hidden="false" customHeight="false" outlineLevel="0" collapsed="false">
      <c r="A354" s="43"/>
      <c r="B354" s="53" t="str">
        <f aca="false">IF($A354="","",IF(ISNUMBER(MATCH($A354,'Cotação de Materiais'!$A$4:$A$200,0)),"MAT",IF(ISNUMBER(MATCH($A354,'Mão de Obra e Serviços'!$A$4:$A$200,0)),"MO","CÓDIGO?")))</f>
        <v/>
      </c>
      <c r="C354" s="54" t="str">
        <f aca="false">IF($A354="","",IFERROR(INDEX('Cotação de Materiais'!$C$4:$C$200,MATCH($A354,'Cotação de Materiais'!$A$4:$A$200,0)),IFERROR(INDEX('Mão de Obra e Serviços'!$B$4:$B$200,MATCH($A354,'Mão de Obra e Serviços'!$A$4:$A$200,0)),"")))</f>
        <v/>
      </c>
      <c r="D354" s="43"/>
      <c r="E354" s="43"/>
      <c r="F354" s="43"/>
      <c r="G354" s="57" t="str">
        <f aca="false">IF($A354="","",E354*IF(F354="",1,F354))</f>
        <v/>
      </c>
      <c r="H354" s="31" t="str">
        <f aca="false">IF($A354="","",IF(SUMIF($A$6:$A$600,$A354,$G$6:$G$600)=0,0,G354/SUMIF($A$6:$A$600,$A354,$G$6:$G$600)))</f>
        <v/>
      </c>
      <c r="I354" s="30" t="str">
        <f aca="false">IF($A354="","",IFERROR(INDEX('Cotação de Materiais'!$H$4:$H$200,MATCH($A354,'Cotação de Materiais'!$A$4:$A$200,0)),IFERROR(INDEX('Mão de Obra e Serviços'!$G$4:$G$200,MATCH($A354,'Mão de Obra e Serviços'!$A$4:$A$200,0)),0)))</f>
        <v/>
      </c>
      <c r="K354" s="30" t="str">
        <f aca="false">IF($A354="","",I354*H354)</f>
        <v/>
      </c>
      <c r="L354" s="58"/>
      <c r="M354" s="54" t="str">
        <f aca="false">IF($A354="","",IF(B354="CÓDIGO?","CÓDIGO NÃO ACHADO",IF($D354="","FALTA ITEM DO ANEXO",IF($D354="INDIRETO","",IF(COUNTIFS('Anexo III'!$B$8:$B$400,$D354,'Anexo III'!$E$8:$E$400,"&gt;0")=0,"ITEM NÃO ACHADO NO ANEXO","")))))</f>
        <v/>
      </c>
    </row>
    <row r="355" customFormat="false" ht="15" hidden="false" customHeight="false" outlineLevel="0" collapsed="false">
      <c r="A355" s="43"/>
      <c r="B355" s="53" t="str">
        <f aca="false">IF($A355="","",IF(ISNUMBER(MATCH($A355,'Cotação de Materiais'!$A$4:$A$200,0)),"MAT",IF(ISNUMBER(MATCH($A355,'Mão de Obra e Serviços'!$A$4:$A$200,0)),"MO","CÓDIGO?")))</f>
        <v/>
      </c>
      <c r="C355" s="54" t="str">
        <f aca="false">IF($A355="","",IFERROR(INDEX('Cotação de Materiais'!$C$4:$C$200,MATCH($A355,'Cotação de Materiais'!$A$4:$A$200,0)),IFERROR(INDEX('Mão de Obra e Serviços'!$B$4:$B$200,MATCH($A355,'Mão de Obra e Serviços'!$A$4:$A$200,0)),"")))</f>
        <v/>
      </c>
      <c r="D355" s="43"/>
      <c r="E355" s="43"/>
      <c r="F355" s="43"/>
      <c r="G355" s="57" t="str">
        <f aca="false">IF($A355="","",E355*IF(F355="",1,F355))</f>
        <v/>
      </c>
      <c r="H355" s="31" t="str">
        <f aca="false">IF($A355="","",IF(SUMIF($A$6:$A$600,$A355,$G$6:$G$600)=0,0,G355/SUMIF($A$6:$A$600,$A355,$G$6:$G$600)))</f>
        <v/>
      </c>
      <c r="I355" s="30" t="str">
        <f aca="false">IF($A355="","",IFERROR(INDEX('Cotação de Materiais'!$H$4:$H$200,MATCH($A355,'Cotação de Materiais'!$A$4:$A$200,0)),IFERROR(INDEX('Mão de Obra e Serviços'!$G$4:$G$200,MATCH($A355,'Mão de Obra e Serviços'!$A$4:$A$200,0)),0)))</f>
        <v/>
      </c>
      <c r="K355" s="30" t="str">
        <f aca="false">IF($A355="","",I355*H355)</f>
        <v/>
      </c>
      <c r="L355" s="58"/>
      <c r="M355" s="54" t="str">
        <f aca="false">IF($A355="","",IF(B355="CÓDIGO?","CÓDIGO NÃO ACHADO",IF($D355="","FALTA ITEM DO ANEXO",IF($D355="INDIRETO","",IF(COUNTIFS('Anexo III'!$B$8:$B$400,$D355,'Anexo III'!$E$8:$E$400,"&gt;0")=0,"ITEM NÃO ACHADO NO ANEXO","")))))</f>
        <v/>
      </c>
    </row>
    <row r="356" customFormat="false" ht="15" hidden="false" customHeight="false" outlineLevel="0" collapsed="false">
      <c r="A356" s="43"/>
      <c r="B356" s="53" t="str">
        <f aca="false">IF($A356="","",IF(ISNUMBER(MATCH($A356,'Cotação de Materiais'!$A$4:$A$200,0)),"MAT",IF(ISNUMBER(MATCH($A356,'Mão de Obra e Serviços'!$A$4:$A$200,0)),"MO","CÓDIGO?")))</f>
        <v/>
      </c>
      <c r="C356" s="54" t="str">
        <f aca="false">IF($A356="","",IFERROR(INDEX('Cotação de Materiais'!$C$4:$C$200,MATCH($A356,'Cotação de Materiais'!$A$4:$A$200,0)),IFERROR(INDEX('Mão de Obra e Serviços'!$B$4:$B$200,MATCH($A356,'Mão de Obra e Serviços'!$A$4:$A$200,0)),"")))</f>
        <v/>
      </c>
      <c r="D356" s="43"/>
      <c r="E356" s="43"/>
      <c r="F356" s="43"/>
      <c r="G356" s="57" t="str">
        <f aca="false">IF($A356="","",E356*IF(F356="",1,F356))</f>
        <v/>
      </c>
      <c r="H356" s="31" t="str">
        <f aca="false">IF($A356="","",IF(SUMIF($A$6:$A$600,$A356,$G$6:$G$600)=0,0,G356/SUMIF($A$6:$A$600,$A356,$G$6:$G$600)))</f>
        <v/>
      </c>
      <c r="I356" s="30" t="str">
        <f aca="false">IF($A356="","",IFERROR(INDEX('Cotação de Materiais'!$H$4:$H$200,MATCH($A356,'Cotação de Materiais'!$A$4:$A$200,0)),IFERROR(INDEX('Mão de Obra e Serviços'!$G$4:$G$200,MATCH($A356,'Mão de Obra e Serviços'!$A$4:$A$200,0)),0)))</f>
        <v/>
      </c>
      <c r="K356" s="30" t="str">
        <f aca="false">IF($A356="","",I356*H356)</f>
        <v/>
      </c>
      <c r="L356" s="58"/>
      <c r="M356" s="54" t="str">
        <f aca="false">IF($A356="","",IF(B356="CÓDIGO?","CÓDIGO NÃO ACHADO",IF($D356="","FALTA ITEM DO ANEXO",IF($D356="INDIRETO","",IF(COUNTIFS('Anexo III'!$B$8:$B$400,$D356,'Anexo III'!$E$8:$E$400,"&gt;0")=0,"ITEM NÃO ACHADO NO ANEXO","")))))</f>
        <v/>
      </c>
    </row>
    <row r="357" customFormat="false" ht="15" hidden="false" customHeight="false" outlineLevel="0" collapsed="false">
      <c r="A357" s="43"/>
      <c r="B357" s="53" t="str">
        <f aca="false">IF($A357="","",IF(ISNUMBER(MATCH($A357,'Cotação de Materiais'!$A$4:$A$200,0)),"MAT",IF(ISNUMBER(MATCH($A357,'Mão de Obra e Serviços'!$A$4:$A$200,0)),"MO","CÓDIGO?")))</f>
        <v/>
      </c>
      <c r="C357" s="54" t="str">
        <f aca="false">IF($A357="","",IFERROR(INDEX('Cotação de Materiais'!$C$4:$C$200,MATCH($A357,'Cotação de Materiais'!$A$4:$A$200,0)),IFERROR(INDEX('Mão de Obra e Serviços'!$B$4:$B$200,MATCH($A357,'Mão de Obra e Serviços'!$A$4:$A$200,0)),"")))</f>
        <v/>
      </c>
      <c r="D357" s="43"/>
      <c r="E357" s="43"/>
      <c r="F357" s="43"/>
      <c r="G357" s="57" t="str">
        <f aca="false">IF($A357="","",E357*IF(F357="",1,F357))</f>
        <v/>
      </c>
      <c r="H357" s="31" t="str">
        <f aca="false">IF($A357="","",IF(SUMIF($A$6:$A$600,$A357,$G$6:$G$600)=0,0,G357/SUMIF($A$6:$A$600,$A357,$G$6:$G$600)))</f>
        <v/>
      </c>
      <c r="I357" s="30" t="str">
        <f aca="false">IF($A357="","",IFERROR(INDEX('Cotação de Materiais'!$H$4:$H$200,MATCH($A357,'Cotação de Materiais'!$A$4:$A$200,0)),IFERROR(INDEX('Mão de Obra e Serviços'!$G$4:$G$200,MATCH($A357,'Mão de Obra e Serviços'!$A$4:$A$200,0)),0)))</f>
        <v/>
      </c>
      <c r="K357" s="30" t="str">
        <f aca="false">IF($A357="","",I357*H357)</f>
        <v/>
      </c>
      <c r="L357" s="58"/>
      <c r="M357" s="54" t="str">
        <f aca="false">IF($A357="","",IF(B357="CÓDIGO?","CÓDIGO NÃO ACHADO",IF($D357="","FALTA ITEM DO ANEXO",IF($D357="INDIRETO","",IF(COUNTIFS('Anexo III'!$B$8:$B$400,$D357,'Anexo III'!$E$8:$E$400,"&gt;0")=0,"ITEM NÃO ACHADO NO ANEXO","")))))</f>
        <v/>
      </c>
    </row>
    <row r="358" customFormat="false" ht="15" hidden="false" customHeight="false" outlineLevel="0" collapsed="false">
      <c r="A358" s="43"/>
      <c r="B358" s="53" t="str">
        <f aca="false">IF($A358="","",IF(ISNUMBER(MATCH($A358,'Cotação de Materiais'!$A$4:$A$200,0)),"MAT",IF(ISNUMBER(MATCH($A358,'Mão de Obra e Serviços'!$A$4:$A$200,0)),"MO","CÓDIGO?")))</f>
        <v/>
      </c>
      <c r="C358" s="54" t="str">
        <f aca="false">IF($A358="","",IFERROR(INDEX('Cotação de Materiais'!$C$4:$C$200,MATCH($A358,'Cotação de Materiais'!$A$4:$A$200,0)),IFERROR(INDEX('Mão de Obra e Serviços'!$B$4:$B$200,MATCH($A358,'Mão de Obra e Serviços'!$A$4:$A$200,0)),"")))</f>
        <v/>
      </c>
      <c r="D358" s="43"/>
      <c r="E358" s="43"/>
      <c r="F358" s="43"/>
      <c r="G358" s="57" t="str">
        <f aca="false">IF($A358="","",E358*IF(F358="",1,F358))</f>
        <v/>
      </c>
      <c r="H358" s="31" t="str">
        <f aca="false">IF($A358="","",IF(SUMIF($A$6:$A$600,$A358,$G$6:$G$600)=0,0,G358/SUMIF($A$6:$A$600,$A358,$G$6:$G$600)))</f>
        <v/>
      </c>
      <c r="I358" s="30" t="str">
        <f aca="false">IF($A358="","",IFERROR(INDEX('Cotação de Materiais'!$H$4:$H$200,MATCH($A358,'Cotação de Materiais'!$A$4:$A$200,0)),IFERROR(INDEX('Mão de Obra e Serviços'!$G$4:$G$200,MATCH($A358,'Mão de Obra e Serviços'!$A$4:$A$200,0)),0)))</f>
        <v/>
      </c>
      <c r="K358" s="30" t="str">
        <f aca="false">IF($A358="","",I358*H358)</f>
        <v/>
      </c>
      <c r="L358" s="58"/>
      <c r="M358" s="54" t="str">
        <f aca="false">IF($A358="","",IF(B358="CÓDIGO?","CÓDIGO NÃO ACHADO",IF($D358="","FALTA ITEM DO ANEXO",IF($D358="INDIRETO","",IF(COUNTIFS('Anexo III'!$B$8:$B$400,$D358,'Anexo III'!$E$8:$E$400,"&gt;0")=0,"ITEM NÃO ACHADO NO ANEXO","")))))</f>
        <v/>
      </c>
    </row>
    <row r="359" customFormat="false" ht="15" hidden="false" customHeight="false" outlineLevel="0" collapsed="false">
      <c r="A359" s="43"/>
      <c r="B359" s="53" t="str">
        <f aca="false">IF($A359="","",IF(ISNUMBER(MATCH($A359,'Cotação de Materiais'!$A$4:$A$200,0)),"MAT",IF(ISNUMBER(MATCH($A359,'Mão de Obra e Serviços'!$A$4:$A$200,0)),"MO","CÓDIGO?")))</f>
        <v/>
      </c>
      <c r="C359" s="54" t="str">
        <f aca="false">IF($A359="","",IFERROR(INDEX('Cotação de Materiais'!$C$4:$C$200,MATCH($A359,'Cotação de Materiais'!$A$4:$A$200,0)),IFERROR(INDEX('Mão de Obra e Serviços'!$B$4:$B$200,MATCH($A359,'Mão de Obra e Serviços'!$A$4:$A$200,0)),"")))</f>
        <v/>
      </c>
      <c r="D359" s="43"/>
      <c r="E359" s="43"/>
      <c r="F359" s="43"/>
      <c r="G359" s="57" t="str">
        <f aca="false">IF($A359="","",E359*IF(F359="",1,F359))</f>
        <v/>
      </c>
      <c r="H359" s="31" t="str">
        <f aca="false">IF($A359="","",IF(SUMIF($A$6:$A$600,$A359,$G$6:$G$600)=0,0,G359/SUMIF($A$6:$A$600,$A359,$G$6:$G$600)))</f>
        <v/>
      </c>
      <c r="I359" s="30" t="str">
        <f aca="false">IF($A359="","",IFERROR(INDEX('Cotação de Materiais'!$H$4:$H$200,MATCH($A359,'Cotação de Materiais'!$A$4:$A$200,0)),IFERROR(INDEX('Mão de Obra e Serviços'!$G$4:$G$200,MATCH($A359,'Mão de Obra e Serviços'!$A$4:$A$200,0)),0)))</f>
        <v/>
      </c>
      <c r="K359" s="30" t="str">
        <f aca="false">IF($A359="","",I359*H359)</f>
        <v/>
      </c>
      <c r="L359" s="58"/>
      <c r="M359" s="54" t="str">
        <f aca="false">IF($A359="","",IF(B359="CÓDIGO?","CÓDIGO NÃO ACHADO",IF($D359="","FALTA ITEM DO ANEXO",IF($D359="INDIRETO","",IF(COUNTIFS('Anexo III'!$B$8:$B$400,$D359,'Anexo III'!$E$8:$E$400,"&gt;0")=0,"ITEM NÃO ACHADO NO ANEXO","")))))</f>
        <v/>
      </c>
    </row>
    <row r="360" customFormat="false" ht="15" hidden="false" customHeight="false" outlineLevel="0" collapsed="false">
      <c r="A360" s="43"/>
      <c r="B360" s="53" t="str">
        <f aca="false">IF($A360="","",IF(ISNUMBER(MATCH($A360,'Cotação de Materiais'!$A$4:$A$200,0)),"MAT",IF(ISNUMBER(MATCH($A360,'Mão de Obra e Serviços'!$A$4:$A$200,0)),"MO","CÓDIGO?")))</f>
        <v/>
      </c>
      <c r="C360" s="54" t="str">
        <f aca="false">IF($A360="","",IFERROR(INDEX('Cotação de Materiais'!$C$4:$C$200,MATCH($A360,'Cotação de Materiais'!$A$4:$A$200,0)),IFERROR(INDEX('Mão de Obra e Serviços'!$B$4:$B$200,MATCH($A360,'Mão de Obra e Serviços'!$A$4:$A$200,0)),"")))</f>
        <v/>
      </c>
      <c r="D360" s="43"/>
      <c r="E360" s="43"/>
      <c r="F360" s="43"/>
      <c r="G360" s="57" t="str">
        <f aca="false">IF($A360="","",E360*IF(F360="",1,F360))</f>
        <v/>
      </c>
      <c r="H360" s="31" t="str">
        <f aca="false">IF($A360="","",IF(SUMIF($A$6:$A$600,$A360,$G$6:$G$600)=0,0,G360/SUMIF($A$6:$A$600,$A360,$G$6:$G$600)))</f>
        <v/>
      </c>
      <c r="I360" s="30" t="str">
        <f aca="false">IF($A360="","",IFERROR(INDEX('Cotação de Materiais'!$H$4:$H$200,MATCH($A360,'Cotação de Materiais'!$A$4:$A$200,0)),IFERROR(INDEX('Mão de Obra e Serviços'!$G$4:$G$200,MATCH($A360,'Mão de Obra e Serviços'!$A$4:$A$200,0)),0)))</f>
        <v/>
      </c>
      <c r="K360" s="30" t="str">
        <f aca="false">IF($A360="","",I360*H360)</f>
        <v/>
      </c>
      <c r="L360" s="58"/>
      <c r="M360" s="54" t="str">
        <f aca="false">IF($A360="","",IF(B360="CÓDIGO?","CÓDIGO NÃO ACHADO",IF($D360="","FALTA ITEM DO ANEXO",IF($D360="INDIRETO","",IF(COUNTIFS('Anexo III'!$B$8:$B$400,$D360,'Anexo III'!$E$8:$E$400,"&gt;0")=0,"ITEM NÃO ACHADO NO ANEXO","")))))</f>
        <v/>
      </c>
    </row>
    <row r="361" customFormat="false" ht="15" hidden="false" customHeight="false" outlineLevel="0" collapsed="false">
      <c r="A361" s="43"/>
      <c r="B361" s="53" t="str">
        <f aca="false">IF($A361="","",IF(ISNUMBER(MATCH($A361,'Cotação de Materiais'!$A$4:$A$200,0)),"MAT",IF(ISNUMBER(MATCH($A361,'Mão de Obra e Serviços'!$A$4:$A$200,0)),"MO","CÓDIGO?")))</f>
        <v/>
      </c>
      <c r="C361" s="54" t="str">
        <f aca="false">IF($A361="","",IFERROR(INDEX('Cotação de Materiais'!$C$4:$C$200,MATCH($A361,'Cotação de Materiais'!$A$4:$A$200,0)),IFERROR(INDEX('Mão de Obra e Serviços'!$B$4:$B$200,MATCH($A361,'Mão de Obra e Serviços'!$A$4:$A$200,0)),"")))</f>
        <v/>
      </c>
      <c r="D361" s="43"/>
      <c r="E361" s="43"/>
      <c r="F361" s="43"/>
      <c r="G361" s="57" t="str">
        <f aca="false">IF($A361="","",E361*IF(F361="",1,F361))</f>
        <v/>
      </c>
      <c r="H361" s="31" t="str">
        <f aca="false">IF($A361="","",IF(SUMIF($A$6:$A$600,$A361,$G$6:$G$600)=0,0,G361/SUMIF($A$6:$A$600,$A361,$G$6:$G$600)))</f>
        <v/>
      </c>
      <c r="I361" s="30" t="str">
        <f aca="false">IF($A361="","",IFERROR(INDEX('Cotação de Materiais'!$H$4:$H$200,MATCH($A361,'Cotação de Materiais'!$A$4:$A$200,0)),IFERROR(INDEX('Mão de Obra e Serviços'!$G$4:$G$200,MATCH($A361,'Mão de Obra e Serviços'!$A$4:$A$200,0)),0)))</f>
        <v/>
      </c>
      <c r="K361" s="30" t="str">
        <f aca="false">IF($A361="","",I361*H361)</f>
        <v/>
      </c>
      <c r="L361" s="58"/>
      <c r="M361" s="54" t="str">
        <f aca="false">IF($A361="","",IF(B361="CÓDIGO?","CÓDIGO NÃO ACHADO",IF($D361="","FALTA ITEM DO ANEXO",IF($D361="INDIRETO","",IF(COUNTIFS('Anexo III'!$B$8:$B$400,$D361,'Anexo III'!$E$8:$E$400,"&gt;0")=0,"ITEM NÃO ACHADO NO ANEXO","")))))</f>
        <v/>
      </c>
    </row>
    <row r="362" customFormat="false" ht="15" hidden="false" customHeight="false" outlineLevel="0" collapsed="false">
      <c r="A362" s="43"/>
      <c r="B362" s="53" t="str">
        <f aca="false">IF($A362="","",IF(ISNUMBER(MATCH($A362,'Cotação de Materiais'!$A$4:$A$200,0)),"MAT",IF(ISNUMBER(MATCH($A362,'Mão de Obra e Serviços'!$A$4:$A$200,0)),"MO","CÓDIGO?")))</f>
        <v/>
      </c>
      <c r="C362" s="54" t="str">
        <f aca="false">IF($A362="","",IFERROR(INDEX('Cotação de Materiais'!$C$4:$C$200,MATCH($A362,'Cotação de Materiais'!$A$4:$A$200,0)),IFERROR(INDEX('Mão de Obra e Serviços'!$B$4:$B$200,MATCH($A362,'Mão de Obra e Serviços'!$A$4:$A$200,0)),"")))</f>
        <v/>
      </c>
      <c r="D362" s="43"/>
      <c r="E362" s="43"/>
      <c r="F362" s="43"/>
      <c r="G362" s="57" t="str">
        <f aca="false">IF($A362="","",E362*IF(F362="",1,F362))</f>
        <v/>
      </c>
      <c r="H362" s="31" t="str">
        <f aca="false">IF($A362="","",IF(SUMIF($A$6:$A$600,$A362,$G$6:$G$600)=0,0,G362/SUMIF($A$6:$A$600,$A362,$G$6:$G$600)))</f>
        <v/>
      </c>
      <c r="I362" s="30" t="str">
        <f aca="false">IF($A362="","",IFERROR(INDEX('Cotação de Materiais'!$H$4:$H$200,MATCH($A362,'Cotação de Materiais'!$A$4:$A$200,0)),IFERROR(INDEX('Mão de Obra e Serviços'!$G$4:$G$200,MATCH($A362,'Mão de Obra e Serviços'!$A$4:$A$200,0)),0)))</f>
        <v/>
      </c>
      <c r="K362" s="30" t="str">
        <f aca="false">IF($A362="","",I362*H362)</f>
        <v/>
      </c>
      <c r="L362" s="58"/>
      <c r="M362" s="54" t="str">
        <f aca="false">IF($A362="","",IF(B362="CÓDIGO?","CÓDIGO NÃO ACHADO",IF($D362="","FALTA ITEM DO ANEXO",IF($D362="INDIRETO","",IF(COUNTIFS('Anexo III'!$B$8:$B$400,$D362,'Anexo III'!$E$8:$E$400,"&gt;0")=0,"ITEM NÃO ACHADO NO ANEXO","")))))</f>
        <v/>
      </c>
    </row>
    <row r="363" customFormat="false" ht="15" hidden="false" customHeight="false" outlineLevel="0" collapsed="false">
      <c r="A363" s="43"/>
      <c r="B363" s="53" t="str">
        <f aca="false">IF($A363="","",IF(ISNUMBER(MATCH($A363,'Cotação de Materiais'!$A$4:$A$200,0)),"MAT",IF(ISNUMBER(MATCH($A363,'Mão de Obra e Serviços'!$A$4:$A$200,0)),"MO","CÓDIGO?")))</f>
        <v/>
      </c>
      <c r="C363" s="54" t="str">
        <f aca="false">IF($A363="","",IFERROR(INDEX('Cotação de Materiais'!$C$4:$C$200,MATCH($A363,'Cotação de Materiais'!$A$4:$A$200,0)),IFERROR(INDEX('Mão de Obra e Serviços'!$B$4:$B$200,MATCH($A363,'Mão de Obra e Serviços'!$A$4:$A$200,0)),"")))</f>
        <v/>
      </c>
      <c r="D363" s="43"/>
      <c r="E363" s="43"/>
      <c r="F363" s="43"/>
      <c r="G363" s="57" t="str">
        <f aca="false">IF($A363="","",E363*IF(F363="",1,F363))</f>
        <v/>
      </c>
      <c r="H363" s="31" t="str">
        <f aca="false">IF($A363="","",IF(SUMIF($A$6:$A$600,$A363,$G$6:$G$600)=0,0,G363/SUMIF($A$6:$A$600,$A363,$G$6:$G$600)))</f>
        <v/>
      </c>
      <c r="I363" s="30" t="str">
        <f aca="false">IF($A363="","",IFERROR(INDEX('Cotação de Materiais'!$H$4:$H$200,MATCH($A363,'Cotação de Materiais'!$A$4:$A$200,0)),IFERROR(INDEX('Mão de Obra e Serviços'!$G$4:$G$200,MATCH($A363,'Mão de Obra e Serviços'!$A$4:$A$200,0)),0)))</f>
        <v/>
      </c>
      <c r="K363" s="30" t="str">
        <f aca="false">IF($A363="","",I363*H363)</f>
        <v/>
      </c>
      <c r="L363" s="58"/>
      <c r="M363" s="54" t="str">
        <f aca="false">IF($A363="","",IF(B363="CÓDIGO?","CÓDIGO NÃO ACHADO",IF($D363="","FALTA ITEM DO ANEXO",IF($D363="INDIRETO","",IF(COUNTIFS('Anexo III'!$B$8:$B$400,$D363,'Anexo III'!$E$8:$E$400,"&gt;0")=0,"ITEM NÃO ACHADO NO ANEXO","")))))</f>
        <v/>
      </c>
    </row>
    <row r="364" customFormat="false" ht="15" hidden="false" customHeight="false" outlineLevel="0" collapsed="false">
      <c r="A364" s="43"/>
      <c r="B364" s="53" t="str">
        <f aca="false">IF($A364="","",IF(ISNUMBER(MATCH($A364,'Cotação de Materiais'!$A$4:$A$200,0)),"MAT",IF(ISNUMBER(MATCH($A364,'Mão de Obra e Serviços'!$A$4:$A$200,0)),"MO","CÓDIGO?")))</f>
        <v/>
      </c>
      <c r="C364" s="54" t="str">
        <f aca="false">IF($A364="","",IFERROR(INDEX('Cotação de Materiais'!$C$4:$C$200,MATCH($A364,'Cotação de Materiais'!$A$4:$A$200,0)),IFERROR(INDEX('Mão de Obra e Serviços'!$B$4:$B$200,MATCH($A364,'Mão de Obra e Serviços'!$A$4:$A$200,0)),"")))</f>
        <v/>
      </c>
      <c r="D364" s="43"/>
      <c r="E364" s="43"/>
      <c r="F364" s="43"/>
      <c r="G364" s="57" t="str">
        <f aca="false">IF($A364="","",E364*IF(F364="",1,F364))</f>
        <v/>
      </c>
      <c r="H364" s="31" t="str">
        <f aca="false">IF($A364="","",IF(SUMIF($A$6:$A$600,$A364,$G$6:$G$600)=0,0,G364/SUMIF($A$6:$A$600,$A364,$G$6:$G$600)))</f>
        <v/>
      </c>
      <c r="I364" s="30" t="str">
        <f aca="false">IF($A364="","",IFERROR(INDEX('Cotação de Materiais'!$H$4:$H$200,MATCH($A364,'Cotação de Materiais'!$A$4:$A$200,0)),IFERROR(INDEX('Mão de Obra e Serviços'!$G$4:$G$200,MATCH($A364,'Mão de Obra e Serviços'!$A$4:$A$200,0)),0)))</f>
        <v/>
      </c>
      <c r="K364" s="30" t="str">
        <f aca="false">IF($A364="","",I364*H364)</f>
        <v/>
      </c>
      <c r="L364" s="58"/>
      <c r="M364" s="54" t="str">
        <f aca="false">IF($A364="","",IF(B364="CÓDIGO?","CÓDIGO NÃO ACHADO",IF($D364="","FALTA ITEM DO ANEXO",IF($D364="INDIRETO","",IF(COUNTIFS('Anexo III'!$B$8:$B$400,$D364,'Anexo III'!$E$8:$E$400,"&gt;0")=0,"ITEM NÃO ACHADO NO ANEXO","")))))</f>
        <v/>
      </c>
    </row>
    <row r="365" customFormat="false" ht="15" hidden="false" customHeight="false" outlineLevel="0" collapsed="false">
      <c r="A365" s="43"/>
      <c r="B365" s="53" t="str">
        <f aca="false">IF($A365="","",IF(ISNUMBER(MATCH($A365,'Cotação de Materiais'!$A$4:$A$200,0)),"MAT",IF(ISNUMBER(MATCH($A365,'Mão de Obra e Serviços'!$A$4:$A$200,0)),"MO","CÓDIGO?")))</f>
        <v/>
      </c>
      <c r="C365" s="54" t="str">
        <f aca="false">IF($A365="","",IFERROR(INDEX('Cotação de Materiais'!$C$4:$C$200,MATCH($A365,'Cotação de Materiais'!$A$4:$A$200,0)),IFERROR(INDEX('Mão de Obra e Serviços'!$B$4:$B$200,MATCH($A365,'Mão de Obra e Serviços'!$A$4:$A$200,0)),"")))</f>
        <v/>
      </c>
      <c r="D365" s="43"/>
      <c r="E365" s="43"/>
      <c r="F365" s="43"/>
      <c r="G365" s="57" t="str">
        <f aca="false">IF($A365="","",E365*IF(F365="",1,F365))</f>
        <v/>
      </c>
      <c r="H365" s="31" t="str">
        <f aca="false">IF($A365="","",IF(SUMIF($A$6:$A$600,$A365,$G$6:$G$600)=0,0,G365/SUMIF($A$6:$A$600,$A365,$G$6:$G$600)))</f>
        <v/>
      </c>
      <c r="I365" s="30" t="str">
        <f aca="false">IF($A365="","",IFERROR(INDEX('Cotação de Materiais'!$H$4:$H$200,MATCH($A365,'Cotação de Materiais'!$A$4:$A$200,0)),IFERROR(INDEX('Mão de Obra e Serviços'!$G$4:$G$200,MATCH($A365,'Mão de Obra e Serviços'!$A$4:$A$200,0)),0)))</f>
        <v/>
      </c>
      <c r="K365" s="30" t="str">
        <f aca="false">IF($A365="","",I365*H365)</f>
        <v/>
      </c>
      <c r="L365" s="58"/>
      <c r="M365" s="54" t="str">
        <f aca="false">IF($A365="","",IF(B365="CÓDIGO?","CÓDIGO NÃO ACHADO",IF($D365="","FALTA ITEM DO ANEXO",IF($D365="INDIRETO","",IF(COUNTIFS('Anexo III'!$B$8:$B$400,$D365,'Anexo III'!$E$8:$E$400,"&gt;0")=0,"ITEM NÃO ACHADO NO ANEXO","")))))</f>
        <v/>
      </c>
    </row>
    <row r="366" customFormat="false" ht="15" hidden="false" customHeight="false" outlineLevel="0" collapsed="false">
      <c r="A366" s="43"/>
      <c r="B366" s="53" t="str">
        <f aca="false">IF($A366="","",IF(ISNUMBER(MATCH($A366,'Cotação de Materiais'!$A$4:$A$200,0)),"MAT",IF(ISNUMBER(MATCH($A366,'Mão de Obra e Serviços'!$A$4:$A$200,0)),"MO","CÓDIGO?")))</f>
        <v/>
      </c>
      <c r="C366" s="54" t="str">
        <f aca="false">IF($A366="","",IFERROR(INDEX('Cotação de Materiais'!$C$4:$C$200,MATCH($A366,'Cotação de Materiais'!$A$4:$A$200,0)),IFERROR(INDEX('Mão de Obra e Serviços'!$B$4:$B$200,MATCH($A366,'Mão de Obra e Serviços'!$A$4:$A$200,0)),"")))</f>
        <v/>
      </c>
      <c r="D366" s="43"/>
      <c r="E366" s="43"/>
      <c r="F366" s="43"/>
      <c r="G366" s="57" t="str">
        <f aca="false">IF($A366="","",E366*IF(F366="",1,F366))</f>
        <v/>
      </c>
      <c r="H366" s="31" t="str">
        <f aca="false">IF($A366="","",IF(SUMIF($A$6:$A$600,$A366,$G$6:$G$600)=0,0,G366/SUMIF($A$6:$A$600,$A366,$G$6:$G$600)))</f>
        <v/>
      </c>
      <c r="I366" s="30" t="str">
        <f aca="false">IF($A366="","",IFERROR(INDEX('Cotação de Materiais'!$H$4:$H$200,MATCH($A366,'Cotação de Materiais'!$A$4:$A$200,0)),IFERROR(INDEX('Mão de Obra e Serviços'!$G$4:$G$200,MATCH($A366,'Mão de Obra e Serviços'!$A$4:$A$200,0)),0)))</f>
        <v/>
      </c>
      <c r="K366" s="30" t="str">
        <f aca="false">IF($A366="","",I366*H366)</f>
        <v/>
      </c>
      <c r="L366" s="58"/>
      <c r="M366" s="54" t="str">
        <f aca="false">IF($A366="","",IF(B366="CÓDIGO?","CÓDIGO NÃO ACHADO",IF($D366="","FALTA ITEM DO ANEXO",IF($D366="INDIRETO","",IF(COUNTIFS('Anexo III'!$B$8:$B$400,$D366,'Anexo III'!$E$8:$E$400,"&gt;0")=0,"ITEM NÃO ACHADO NO ANEXO","")))))</f>
        <v/>
      </c>
    </row>
    <row r="367" customFormat="false" ht="15" hidden="false" customHeight="false" outlineLevel="0" collapsed="false">
      <c r="A367" s="43"/>
      <c r="B367" s="53" t="str">
        <f aca="false">IF($A367="","",IF(ISNUMBER(MATCH($A367,'Cotação de Materiais'!$A$4:$A$200,0)),"MAT",IF(ISNUMBER(MATCH($A367,'Mão de Obra e Serviços'!$A$4:$A$200,0)),"MO","CÓDIGO?")))</f>
        <v/>
      </c>
      <c r="C367" s="54" t="str">
        <f aca="false">IF($A367="","",IFERROR(INDEX('Cotação de Materiais'!$C$4:$C$200,MATCH($A367,'Cotação de Materiais'!$A$4:$A$200,0)),IFERROR(INDEX('Mão de Obra e Serviços'!$B$4:$B$200,MATCH($A367,'Mão de Obra e Serviços'!$A$4:$A$200,0)),"")))</f>
        <v/>
      </c>
      <c r="D367" s="43"/>
      <c r="E367" s="43"/>
      <c r="F367" s="43"/>
      <c r="G367" s="57" t="str">
        <f aca="false">IF($A367="","",E367*IF(F367="",1,F367))</f>
        <v/>
      </c>
      <c r="H367" s="31" t="str">
        <f aca="false">IF($A367="","",IF(SUMIF($A$6:$A$600,$A367,$G$6:$G$600)=0,0,G367/SUMIF($A$6:$A$600,$A367,$G$6:$G$600)))</f>
        <v/>
      </c>
      <c r="I367" s="30" t="str">
        <f aca="false">IF($A367="","",IFERROR(INDEX('Cotação de Materiais'!$H$4:$H$200,MATCH($A367,'Cotação de Materiais'!$A$4:$A$200,0)),IFERROR(INDEX('Mão de Obra e Serviços'!$G$4:$G$200,MATCH($A367,'Mão de Obra e Serviços'!$A$4:$A$200,0)),0)))</f>
        <v/>
      </c>
      <c r="K367" s="30" t="str">
        <f aca="false">IF($A367="","",I367*H367)</f>
        <v/>
      </c>
      <c r="L367" s="58"/>
      <c r="M367" s="54" t="str">
        <f aca="false">IF($A367="","",IF(B367="CÓDIGO?","CÓDIGO NÃO ACHADO",IF($D367="","FALTA ITEM DO ANEXO",IF($D367="INDIRETO","",IF(COUNTIFS('Anexo III'!$B$8:$B$400,$D367,'Anexo III'!$E$8:$E$400,"&gt;0")=0,"ITEM NÃO ACHADO NO ANEXO","")))))</f>
        <v/>
      </c>
    </row>
    <row r="368" customFormat="false" ht="15" hidden="false" customHeight="false" outlineLevel="0" collapsed="false">
      <c r="A368" s="43"/>
      <c r="B368" s="53" t="str">
        <f aca="false">IF($A368="","",IF(ISNUMBER(MATCH($A368,'Cotação de Materiais'!$A$4:$A$200,0)),"MAT",IF(ISNUMBER(MATCH($A368,'Mão de Obra e Serviços'!$A$4:$A$200,0)),"MO","CÓDIGO?")))</f>
        <v/>
      </c>
      <c r="C368" s="54" t="str">
        <f aca="false">IF($A368="","",IFERROR(INDEX('Cotação de Materiais'!$C$4:$C$200,MATCH($A368,'Cotação de Materiais'!$A$4:$A$200,0)),IFERROR(INDEX('Mão de Obra e Serviços'!$B$4:$B$200,MATCH($A368,'Mão de Obra e Serviços'!$A$4:$A$200,0)),"")))</f>
        <v/>
      </c>
      <c r="D368" s="43"/>
      <c r="E368" s="43"/>
      <c r="F368" s="43"/>
      <c r="G368" s="57" t="str">
        <f aca="false">IF($A368="","",E368*IF(F368="",1,F368))</f>
        <v/>
      </c>
      <c r="H368" s="31" t="str">
        <f aca="false">IF($A368="","",IF(SUMIF($A$6:$A$600,$A368,$G$6:$G$600)=0,0,G368/SUMIF($A$6:$A$600,$A368,$G$6:$G$600)))</f>
        <v/>
      </c>
      <c r="I368" s="30" t="str">
        <f aca="false">IF($A368="","",IFERROR(INDEX('Cotação de Materiais'!$H$4:$H$200,MATCH($A368,'Cotação de Materiais'!$A$4:$A$200,0)),IFERROR(INDEX('Mão de Obra e Serviços'!$G$4:$G$200,MATCH($A368,'Mão de Obra e Serviços'!$A$4:$A$200,0)),0)))</f>
        <v/>
      </c>
      <c r="K368" s="30" t="str">
        <f aca="false">IF($A368="","",I368*H368)</f>
        <v/>
      </c>
      <c r="L368" s="58"/>
      <c r="M368" s="54" t="str">
        <f aca="false">IF($A368="","",IF(B368="CÓDIGO?","CÓDIGO NÃO ACHADO",IF($D368="","FALTA ITEM DO ANEXO",IF($D368="INDIRETO","",IF(COUNTIFS('Anexo III'!$B$8:$B$400,$D368,'Anexo III'!$E$8:$E$400,"&gt;0")=0,"ITEM NÃO ACHADO NO ANEXO","")))))</f>
        <v/>
      </c>
    </row>
    <row r="369" customFormat="false" ht="15" hidden="false" customHeight="false" outlineLevel="0" collapsed="false">
      <c r="A369" s="43"/>
      <c r="B369" s="53" t="str">
        <f aca="false">IF($A369="","",IF(ISNUMBER(MATCH($A369,'Cotação de Materiais'!$A$4:$A$200,0)),"MAT",IF(ISNUMBER(MATCH($A369,'Mão de Obra e Serviços'!$A$4:$A$200,0)),"MO","CÓDIGO?")))</f>
        <v/>
      </c>
      <c r="C369" s="54" t="str">
        <f aca="false">IF($A369="","",IFERROR(INDEX('Cotação de Materiais'!$C$4:$C$200,MATCH($A369,'Cotação de Materiais'!$A$4:$A$200,0)),IFERROR(INDEX('Mão de Obra e Serviços'!$B$4:$B$200,MATCH($A369,'Mão de Obra e Serviços'!$A$4:$A$200,0)),"")))</f>
        <v/>
      </c>
      <c r="D369" s="43"/>
      <c r="E369" s="43"/>
      <c r="F369" s="43"/>
      <c r="G369" s="57" t="str">
        <f aca="false">IF($A369="","",E369*IF(F369="",1,F369))</f>
        <v/>
      </c>
      <c r="H369" s="31" t="str">
        <f aca="false">IF($A369="","",IF(SUMIF($A$6:$A$600,$A369,$G$6:$G$600)=0,0,G369/SUMIF($A$6:$A$600,$A369,$G$6:$G$600)))</f>
        <v/>
      </c>
      <c r="I369" s="30" t="str">
        <f aca="false">IF($A369="","",IFERROR(INDEX('Cotação de Materiais'!$H$4:$H$200,MATCH($A369,'Cotação de Materiais'!$A$4:$A$200,0)),IFERROR(INDEX('Mão de Obra e Serviços'!$G$4:$G$200,MATCH($A369,'Mão de Obra e Serviços'!$A$4:$A$200,0)),0)))</f>
        <v/>
      </c>
      <c r="K369" s="30" t="str">
        <f aca="false">IF($A369="","",I369*H369)</f>
        <v/>
      </c>
      <c r="L369" s="58"/>
      <c r="M369" s="54" t="str">
        <f aca="false">IF($A369="","",IF(B369="CÓDIGO?","CÓDIGO NÃO ACHADO",IF($D369="","FALTA ITEM DO ANEXO",IF($D369="INDIRETO","",IF(COUNTIFS('Anexo III'!$B$8:$B$400,$D369,'Anexo III'!$E$8:$E$400,"&gt;0")=0,"ITEM NÃO ACHADO NO ANEXO","")))))</f>
        <v/>
      </c>
    </row>
    <row r="370" customFormat="false" ht="15" hidden="false" customHeight="false" outlineLevel="0" collapsed="false">
      <c r="A370" s="43"/>
      <c r="B370" s="53" t="str">
        <f aca="false">IF($A370="","",IF(ISNUMBER(MATCH($A370,'Cotação de Materiais'!$A$4:$A$200,0)),"MAT",IF(ISNUMBER(MATCH($A370,'Mão de Obra e Serviços'!$A$4:$A$200,0)),"MO","CÓDIGO?")))</f>
        <v/>
      </c>
      <c r="C370" s="54" t="str">
        <f aca="false">IF($A370="","",IFERROR(INDEX('Cotação de Materiais'!$C$4:$C$200,MATCH($A370,'Cotação de Materiais'!$A$4:$A$200,0)),IFERROR(INDEX('Mão de Obra e Serviços'!$B$4:$B$200,MATCH($A370,'Mão de Obra e Serviços'!$A$4:$A$200,0)),"")))</f>
        <v/>
      </c>
      <c r="D370" s="43"/>
      <c r="E370" s="43"/>
      <c r="F370" s="43"/>
      <c r="G370" s="57" t="str">
        <f aca="false">IF($A370="","",E370*IF(F370="",1,F370))</f>
        <v/>
      </c>
      <c r="H370" s="31" t="str">
        <f aca="false">IF($A370="","",IF(SUMIF($A$6:$A$600,$A370,$G$6:$G$600)=0,0,G370/SUMIF($A$6:$A$600,$A370,$G$6:$G$600)))</f>
        <v/>
      </c>
      <c r="I370" s="30" t="str">
        <f aca="false">IF($A370="","",IFERROR(INDEX('Cotação de Materiais'!$H$4:$H$200,MATCH($A370,'Cotação de Materiais'!$A$4:$A$200,0)),IFERROR(INDEX('Mão de Obra e Serviços'!$G$4:$G$200,MATCH($A370,'Mão de Obra e Serviços'!$A$4:$A$200,0)),0)))</f>
        <v/>
      </c>
      <c r="K370" s="30" t="str">
        <f aca="false">IF($A370="","",I370*H370)</f>
        <v/>
      </c>
      <c r="L370" s="58"/>
      <c r="M370" s="54" t="str">
        <f aca="false">IF($A370="","",IF(B370="CÓDIGO?","CÓDIGO NÃO ACHADO",IF($D370="","FALTA ITEM DO ANEXO",IF($D370="INDIRETO","",IF(COUNTIFS('Anexo III'!$B$8:$B$400,$D370,'Anexo III'!$E$8:$E$400,"&gt;0")=0,"ITEM NÃO ACHADO NO ANEXO","")))))</f>
        <v/>
      </c>
    </row>
    <row r="371" customFormat="false" ht="15" hidden="false" customHeight="false" outlineLevel="0" collapsed="false">
      <c r="A371" s="43"/>
      <c r="B371" s="53" t="str">
        <f aca="false">IF($A371="","",IF(ISNUMBER(MATCH($A371,'Cotação de Materiais'!$A$4:$A$200,0)),"MAT",IF(ISNUMBER(MATCH($A371,'Mão de Obra e Serviços'!$A$4:$A$200,0)),"MO","CÓDIGO?")))</f>
        <v/>
      </c>
      <c r="C371" s="54" t="str">
        <f aca="false">IF($A371="","",IFERROR(INDEX('Cotação de Materiais'!$C$4:$C$200,MATCH($A371,'Cotação de Materiais'!$A$4:$A$200,0)),IFERROR(INDEX('Mão de Obra e Serviços'!$B$4:$B$200,MATCH($A371,'Mão de Obra e Serviços'!$A$4:$A$200,0)),"")))</f>
        <v/>
      </c>
      <c r="D371" s="43"/>
      <c r="E371" s="43"/>
      <c r="F371" s="43"/>
      <c r="G371" s="57" t="str">
        <f aca="false">IF($A371="","",E371*IF(F371="",1,F371))</f>
        <v/>
      </c>
      <c r="H371" s="31" t="str">
        <f aca="false">IF($A371="","",IF(SUMIF($A$6:$A$600,$A371,$G$6:$G$600)=0,0,G371/SUMIF($A$6:$A$600,$A371,$G$6:$G$600)))</f>
        <v/>
      </c>
      <c r="I371" s="30" t="str">
        <f aca="false">IF($A371="","",IFERROR(INDEX('Cotação de Materiais'!$H$4:$H$200,MATCH($A371,'Cotação de Materiais'!$A$4:$A$200,0)),IFERROR(INDEX('Mão de Obra e Serviços'!$G$4:$G$200,MATCH($A371,'Mão de Obra e Serviços'!$A$4:$A$200,0)),0)))</f>
        <v/>
      </c>
      <c r="K371" s="30" t="str">
        <f aca="false">IF($A371="","",I371*H371)</f>
        <v/>
      </c>
      <c r="L371" s="58"/>
      <c r="M371" s="54" t="str">
        <f aca="false">IF($A371="","",IF(B371="CÓDIGO?","CÓDIGO NÃO ACHADO",IF($D371="","FALTA ITEM DO ANEXO",IF($D371="INDIRETO","",IF(COUNTIFS('Anexo III'!$B$8:$B$400,$D371,'Anexo III'!$E$8:$E$400,"&gt;0")=0,"ITEM NÃO ACHADO NO ANEXO","")))))</f>
        <v/>
      </c>
    </row>
    <row r="372" customFormat="false" ht="15" hidden="false" customHeight="false" outlineLevel="0" collapsed="false">
      <c r="A372" s="43"/>
      <c r="B372" s="53" t="str">
        <f aca="false">IF($A372="","",IF(ISNUMBER(MATCH($A372,'Cotação de Materiais'!$A$4:$A$200,0)),"MAT",IF(ISNUMBER(MATCH($A372,'Mão de Obra e Serviços'!$A$4:$A$200,0)),"MO","CÓDIGO?")))</f>
        <v/>
      </c>
      <c r="C372" s="54" t="str">
        <f aca="false">IF($A372="","",IFERROR(INDEX('Cotação de Materiais'!$C$4:$C$200,MATCH($A372,'Cotação de Materiais'!$A$4:$A$200,0)),IFERROR(INDEX('Mão de Obra e Serviços'!$B$4:$B$200,MATCH($A372,'Mão de Obra e Serviços'!$A$4:$A$200,0)),"")))</f>
        <v/>
      </c>
      <c r="D372" s="43"/>
      <c r="E372" s="43"/>
      <c r="F372" s="43"/>
      <c r="G372" s="57" t="str">
        <f aca="false">IF($A372="","",E372*IF(F372="",1,F372))</f>
        <v/>
      </c>
      <c r="H372" s="31" t="str">
        <f aca="false">IF($A372="","",IF(SUMIF($A$6:$A$600,$A372,$G$6:$G$600)=0,0,G372/SUMIF($A$6:$A$600,$A372,$G$6:$G$600)))</f>
        <v/>
      </c>
      <c r="I372" s="30" t="str">
        <f aca="false">IF($A372="","",IFERROR(INDEX('Cotação de Materiais'!$H$4:$H$200,MATCH($A372,'Cotação de Materiais'!$A$4:$A$200,0)),IFERROR(INDEX('Mão de Obra e Serviços'!$G$4:$G$200,MATCH($A372,'Mão de Obra e Serviços'!$A$4:$A$200,0)),0)))</f>
        <v/>
      </c>
      <c r="K372" s="30" t="str">
        <f aca="false">IF($A372="","",I372*H372)</f>
        <v/>
      </c>
      <c r="L372" s="58"/>
      <c r="M372" s="54" t="str">
        <f aca="false">IF($A372="","",IF(B372="CÓDIGO?","CÓDIGO NÃO ACHADO",IF($D372="","FALTA ITEM DO ANEXO",IF($D372="INDIRETO","",IF(COUNTIFS('Anexo III'!$B$8:$B$400,$D372,'Anexo III'!$E$8:$E$400,"&gt;0")=0,"ITEM NÃO ACHADO NO ANEXO","")))))</f>
        <v/>
      </c>
    </row>
    <row r="373" customFormat="false" ht="15" hidden="false" customHeight="false" outlineLevel="0" collapsed="false">
      <c r="A373" s="43"/>
      <c r="B373" s="53" t="str">
        <f aca="false">IF($A373="","",IF(ISNUMBER(MATCH($A373,'Cotação de Materiais'!$A$4:$A$200,0)),"MAT",IF(ISNUMBER(MATCH($A373,'Mão de Obra e Serviços'!$A$4:$A$200,0)),"MO","CÓDIGO?")))</f>
        <v/>
      </c>
      <c r="C373" s="54" t="str">
        <f aca="false">IF($A373="","",IFERROR(INDEX('Cotação de Materiais'!$C$4:$C$200,MATCH($A373,'Cotação de Materiais'!$A$4:$A$200,0)),IFERROR(INDEX('Mão de Obra e Serviços'!$B$4:$B$200,MATCH($A373,'Mão de Obra e Serviços'!$A$4:$A$200,0)),"")))</f>
        <v/>
      </c>
      <c r="D373" s="43"/>
      <c r="E373" s="43"/>
      <c r="F373" s="43"/>
      <c r="G373" s="57" t="str">
        <f aca="false">IF($A373="","",E373*IF(F373="",1,F373))</f>
        <v/>
      </c>
      <c r="H373" s="31" t="str">
        <f aca="false">IF($A373="","",IF(SUMIF($A$6:$A$600,$A373,$G$6:$G$600)=0,0,G373/SUMIF($A$6:$A$600,$A373,$G$6:$G$600)))</f>
        <v/>
      </c>
      <c r="I373" s="30" t="str">
        <f aca="false">IF($A373="","",IFERROR(INDEX('Cotação de Materiais'!$H$4:$H$200,MATCH($A373,'Cotação de Materiais'!$A$4:$A$200,0)),IFERROR(INDEX('Mão de Obra e Serviços'!$G$4:$G$200,MATCH($A373,'Mão de Obra e Serviços'!$A$4:$A$200,0)),0)))</f>
        <v/>
      </c>
      <c r="K373" s="30" t="str">
        <f aca="false">IF($A373="","",I373*H373)</f>
        <v/>
      </c>
      <c r="L373" s="58"/>
      <c r="M373" s="54" t="str">
        <f aca="false">IF($A373="","",IF(B373="CÓDIGO?","CÓDIGO NÃO ACHADO",IF($D373="","FALTA ITEM DO ANEXO",IF($D373="INDIRETO","",IF(COUNTIFS('Anexo III'!$B$8:$B$400,$D373,'Anexo III'!$E$8:$E$400,"&gt;0")=0,"ITEM NÃO ACHADO NO ANEXO","")))))</f>
        <v/>
      </c>
    </row>
    <row r="374" customFormat="false" ht="15" hidden="false" customHeight="false" outlineLevel="0" collapsed="false">
      <c r="A374" s="43"/>
      <c r="B374" s="53" t="str">
        <f aca="false">IF($A374="","",IF(ISNUMBER(MATCH($A374,'Cotação de Materiais'!$A$4:$A$200,0)),"MAT",IF(ISNUMBER(MATCH($A374,'Mão de Obra e Serviços'!$A$4:$A$200,0)),"MO","CÓDIGO?")))</f>
        <v/>
      </c>
      <c r="C374" s="54" t="str">
        <f aca="false">IF($A374="","",IFERROR(INDEX('Cotação de Materiais'!$C$4:$C$200,MATCH($A374,'Cotação de Materiais'!$A$4:$A$200,0)),IFERROR(INDEX('Mão de Obra e Serviços'!$B$4:$B$200,MATCH($A374,'Mão de Obra e Serviços'!$A$4:$A$200,0)),"")))</f>
        <v/>
      </c>
      <c r="D374" s="43"/>
      <c r="E374" s="43"/>
      <c r="F374" s="43"/>
      <c r="G374" s="57" t="str">
        <f aca="false">IF($A374="","",E374*IF(F374="",1,F374))</f>
        <v/>
      </c>
      <c r="H374" s="31" t="str">
        <f aca="false">IF($A374="","",IF(SUMIF($A$6:$A$600,$A374,$G$6:$G$600)=0,0,G374/SUMIF($A$6:$A$600,$A374,$G$6:$G$600)))</f>
        <v/>
      </c>
      <c r="I374" s="30" t="str">
        <f aca="false">IF($A374="","",IFERROR(INDEX('Cotação de Materiais'!$H$4:$H$200,MATCH($A374,'Cotação de Materiais'!$A$4:$A$200,0)),IFERROR(INDEX('Mão de Obra e Serviços'!$G$4:$G$200,MATCH($A374,'Mão de Obra e Serviços'!$A$4:$A$200,0)),0)))</f>
        <v/>
      </c>
      <c r="K374" s="30" t="str">
        <f aca="false">IF($A374="","",I374*H374)</f>
        <v/>
      </c>
      <c r="L374" s="58"/>
      <c r="M374" s="54" t="str">
        <f aca="false">IF($A374="","",IF(B374="CÓDIGO?","CÓDIGO NÃO ACHADO",IF($D374="","FALTA ITEM DO ANEXO",IF($D374="INDIRETO","",IF(COUNTIFS('Anexo III'!$B$8:$B$400,$D374,'Anexo III'!$E$8:$E$400,"&gt;0")=0,"ITEM NÃO ACHADO NO ANEXO","")))))</f>
        <v/>
      </c>
    </row>
    <row r="375" customFormat="false" ht="15" hidden="false" customHeight="false" outlineLevel="0" collapsed="false">
      <c r="A375" s="43"/>
      <c r="B375" s="53" t="str">
        <f aca="false">IF($A375="","",IF(ISNUMBER(MATCH($A375,'Cotação de Materiais'!$A$4:$A$200,0)),"MAT",IF(ISNUMBER(MATCH($A375,'Mão de Obra e Serviços'!$A$4:$A$200,0)),"MO","CÓDIGO?")))</f>
        <v/>
      </c>
      <c r="C375" s="54" t="str">
        <f aca="false">IF($A375="","",IFERROR(INDEX('Cotação de Materiais'!$C$4:$C$200,MATCH($A375,'Cotação de Materiais'!$A$4:$A$200,0)),IFERROR(INDEX('Mão de Obra e Serviços'!$B$4:$B$200,MATCH($A375,'Mão de Obra e Serviços'!$A$4:$A$200,0)),"")))</f>
        <v/>
      </c>
      <c r="D375" s="43"/>
      <c r="E375" s="43"/>
      <c r="F375" s="43"/>
      <c r="G375" s="57" t="str">
        <f aca="false">IF($A375="","",E375*IF(F375="",1,F375))</f>
        <v/>
      </c>
      <c r="H375" s="31" t="str">
        <f aca="false">IF($A375="","",IF(SUMIF($A$6:$A$600,$A375,$G$6:$G$600)=0,0,G375/SUMIF($A$6:$A$600,$A375,$G$6:$G$600)))</f>
        <v/>
      </c>
      <c r="I375" s="30" t="str">
        <f aca="false">IF($A375="","",IFERROR(INDEX('Cotação de Materiais'!$H$4:$H$200,MATCH($A375,'Cotação de Materiais'!$A$4:$A$200,0)),IFERROR(INDEX('Mão de Obra e Serviços'!$G$4:$G$200,MATCH($A375,'Mão de Obra e Serviços'!$A$4:$A$200,0)),0)))</f>
        <v/>
      </c>
      <c r="K375" s="30" t="str">
        <f aca="false">IF($A375="","",I375*H375)</f>
        <v/>
      </c>
      <c r="L375" s="58"/>
      <c r="M375" s="54" t="str">
        <f aca="false">IF($A375="","",IF(B375="CÓDIGO?","CÓDIGO NÃO ACHADO",IF($D375="","FALTA ITEM DO ANEXO",IF($D375="INDIRETO","",IF(COUNTIFS('Anexo III'!$B$8:$B$400,$D375,'Anexo III'!$E$8:$E$400,"&gt;0")=0,"ITEM NÃO ACHADO NO ANEXO","")))))</f>
        <v/>
      </c>
    </row>
    <row r="376" customFormat="false" ht="15" hidden="false" customHeight="false" outlineLevel="0" collapsed="false">
      <c r="A376" s="43"/>
      <c r="B376" s="53" t="str">
        <f aca="false">IF($A376="","",IF(ISNUMBER(MATCH($A376,'Cotação de Materiais'!$A$4:$A$200,0)),"MAT",IF(ISNUMBER(MATCH($A376,'Mão de Obra e Serviços'!$A$4:$A$200,0)),"MO","CÓDIGO?")))</f>
        <v/>
      </c>
      <c r="C376" s="54" t="str">
        <f aca="false">IF($A376="","",IFERROR(INDEX('Cotação de Materiais'!$C$4:$C$200,MATCH($A376,'Cotação de Materiais'!$A$4:$A$200,0)),IFERROR(INDEX('Mão de Obra e Serviços'!$B$4:$B$200,MATCH($A376,'Mão de Obra e Serviços'!$A$4:$A$200,0)),"")))</f>
        <v/>
      </c>
      <c r="D376" s="43"/>
      <c r="E376" s="43"/>
      <c r="F376" s="43"/>
      <c r="G376" s="57" t="str">
        <f aca="false">IF($A376="","",E376*IF(F376="",1,F376))</f>
        <v/>
      </c>
      <c r="H376" s="31" t="str">
        <f aca="false">IF($A376="","",IF(SUMIF($A$6:$A$600,$A376,$G$6:$G$600)=0,0,G376/SUMIF($A$6:$A$600,$A376,$G$6:$G$600)))</f>
        <v/>
      </c>
      <c r="I376" s="30" t="str">
        <f aca="false">IF($A376="","",IFERROR(INDEX('Cotação de Materiais'!$H$4:$H$200,MATCH($A376,'Cotação de Materiais'!$A$4:$A$200,0)),IFERROR(INDEX('Mão de Obra e Serviços'!$G$4:$G$200,MATCH($A376,'Mão de Obra e Serviços'!$A$4:$A$200,0)),0)))</f>
        <v/>
      </c>
      <c r="K376" s="30" t="str">
        <f aca="false">IF($A376="","",I376*H376)</f>
        <v/>
      </c>
      <c r="L376" s="58"/>
      <c r="M376" s="54" t="str">
        <f aca="false">IF($A376="","",IF(B376="CÓDIGO?","CÓDIGO NÃO ACHADO",IF($D376="","FALTA ITEM DO ANEXO",IF($D376="INDIRETO","",IF(COUNTIFS('Anexo III'!$B$8:$B$400,$D376,'Anexo III'!$E$8:$E$400,"&gt;0")=0,"ITEM NÃO ACHADO NO ANEXO","")))))</f>
        <v/>
      </c>
    </row>
    <row r="377" customFormat="false" ht="15" hidden="false" customHeight="false" outlineLevel="0" collapsed="false">
      <c r="A377" s="43"/>
      <c r="B377" s="53" t="str">
        <f aca="false">IF($A377="","",IF(ISNUMBER(MATCH($A377,'Cotação de Materiais'!$A$4:$A$200,0)),"MAT",IF(ISNUMBER(MATCH($A377,'Mão de Obra e Serviços'!$A$4:$A$200,0)),"MO","CÓDIGO?")))</f>
        <v/>
      </c>
      <c r="C377" s="54" t="str">
        <f aca="false">IF($A377="","",IFERROR(INDEX('Cotação de Materiais'!$C$4:$C$200,MATCH($A377,'Cotação de Materiais'!$A$4:$A$200,0)),IFERROR(INDEX('Mão de Obra e Serviços'!$B$4:$B$200,MATCH($A377,'Mão de Obra e Serviços'!$A$4:$A$200,0)),"")))</f>
        <v/>
      </c>
      <c r="D377" s="43"/>
      <c r="E377" s="43"/>
      <c r="F377" s="43"/>
      <c r="G377" s="57" t="str">
        <f aca="false">IF($A377="","",E377*IF(F377="",1,F377))</f>
        <v/>
      </c>
      <c r="H377" s="31" t="str">
        <f aca="false">IF($A377="","",IF(SUMIF($A$6:$A$600,$A377,$G$6:$G$600)=0,0,G377/SUMIF($A$6:$A$600,$A377,$G$6:$G$600)))</f>
        <v/>
      </c>
      <c r="I377" s="30" t="str">
        <f aca="false">IF($A377="","",IFERROR(INDEX('Cotação de Materiais'!$H$4:$H$200,MATCH($A377,'Cotação de Materiais'!$A$4:$A$200,0)),IFERROR(INDEX('Mão de Obra e Serviços'!$G$4:$G$200,MATCH($A377,'Mão de Obra e Serviços'!$A$4:$A$200,0)),0)))</f>
        <v/>
      </c>
      <c r="K377" s="30" t="str">
        <f aca="false">IF($A377="","",I377*H377)</f>
        <v/>
      </c>
      <c r="L377" s="58"/>
      <c r="M377" s="54" t="str">
        <f aca="false">IF($A377="","",IF(B377="CÓDIGO?","CÓDIGO NÃO ACHADO",IF($D377="","FALTA ITEM DO ANEXO",IF($D377="INDIRETO","",IF(COUNTIFS('Anexo III'!$B$8:$B$400,$D377,'Anexo III'!$E$8:$E$400,"&gt;0")=0,"ITEM NÃO ACHADO NO ANEXO","")))))</f>
        <v/>
      </c>
    </row>
    <row r="378" customFormat="false" ht="15" hidden="false" customHeight="false" outlineLevel="0" collapsed="false">
      <c r="A378" s="43"/>
      <c r="B378" s="53" t="str">
        <f aca="false">IF($A378="","",IF(ISNUMBER(MATCH($A378,'Cotação de Materiais'!$A$4:$A$200,0)),"MAT",IF(ISNUMBER(MATCH($A378,'Mão de Obra e Serviços'!$A$4:$A$200,0)),"MO","CÓDIGO?")))</f>
        <v/>
      </c>
      <c r="C378" s="54" t="str">
        <f aca="false">IF($A378="","",IFERROR(INDEX('Cotação de Materiais'!$C$4:$C$200,MATCH($A378,'Cotação de Materiais'!$A$4:$A$200,0)),IFERROR(INDEX('Mão de Obra e Serviços'!$B$4:$B$200,MATCH($A378,'Mão de Obra e Serviços'!$A$4:$A$200,0)),"")))</f>
        <v/>
      </c>
      <c r="D378" s="43"/>
      <c r="E378" s="43"/>
      <c r="F378" s="43"/>
      <c r="G378" s="57" t="str">
        <f aca="false">IF($A378="","",E378*IF(F378="",1,F378))</f>
        <v/>
      </c>
      <c r="H378" s="31" t="str">
        <f aca="false">IF($A378="","",IF(SUMIF($A$6:$A$600,$A378,$G$6:$G$600)=0,0,G378/SUMIF($A$6:$A$600,$A378,$G$6:$G$600)))</f>
        <v/>
      </c>
      <c r="I378" s="30" t="str">
        <f aca="false">IF($A378="","",IFERROR(INDEX('Cotação de Materiais'!$H$4:$H$200,MATCH($A378,'Cotação de Materiais'!$A$4:$A$200,0)),IFERROR(INDEX('Mão de Obra e Serviços'!$G$4:$G$200,MATCH($A378,'Mão de Obra e Serviços'!$A$4:$A$200,0)),0)))</f>
        <v/>
      </c>
      <c r="K378" s="30" t="str">
        <f aca="false">IF($A378="","",I378*H378)</f>
        <v/>
      </c>
      <c r="L378" s="58"/>
      <c r="M378" s="54" t="str">
        <f aca="false">IF($A378="","",IF(B378="CÓDIGO?","CÓDIGO NÃO ACHADO",IF($D378="","FALTA ITEM DO ANEXO",IF($D378="INDIRETO","",IF(COUNTIFS('Anexo III'!$B$8:$B$400,$D378,'Anexo III'!$E$8:$E$400,"&gt;0")=0,"ITEM NÃO ACHADO NO ANEXO","")))))</f>
        <v/>
      </c>
    </row>
    <row r="379" customFormat="false" ht="15" hidden="false" customHeight="false" outlineLevel="0" collapsed="false">
      <c r="A379" s="43"/>
      <c r="B379" s="53" t="str">
        <f aca="false">IF($A379="","",IF(ISNUMBER(MATCH($A379,'Cotação de Materiais'!$A$4:$A$200,0)),"MAT",IF(ISNUMBER(MATCH($A379,'Mão de Obra e Serviços'!$A$4:$A$200,0)),"MO","CÓDIGO?")))</f>
        <v/>
      </c>
      <c r="C379" s="54" t="str">
        <f aca="false">IF($A379="","",IFERROR(INDEX('Cotação de Materiais'!$C$4:$C$200,MATCH($A379,'Cotação de Materiais'!$A$4:$A$200,0)),IFERROR(INDEX('Mão de Obra e Serviços'!$B$4:$B$200,MATCH($A379,'Mão de Obra e Serviços'!$A$4:$A$200,0)),"")))</f>
        <v/>
      </c>
      <c r="D379" s="43"/>
      <c r="E379" s="43"/>
      <c r="F379" s="43"/>
      <c r="G379" s="57" t="str">
        <f aca="false">IF($A379="","",E379*IF(F379="",1,F379))</f>
        <v/>
      </c>
      <c r="H379" s="31" t="str">
        <f aca="false">IF($A379="","",IF(SUMIF($A$6:$A$600,$A379,$G$6:$G$600)=0,0,G379/SUMIF($A$6:$A$600,$A379,$G$6:$G$600)))</f>
        <v/>
      </c>
      <c r="I379" s="30" t="str">
        <f aca="false">IF($A379="","",IFERROR(INDEX('Cotação de Materiais'!$H$4:$H$200,MATCH($A379,'Cotação de Materiais'!$A$4:$A$200,0)),IFERROR(INDEX('Mão de Obra e Serviços'!$G$4:$G$200,MATCH($A379,'Mão de Obra e Serviços'!$A$4:$A$200,0)),0)))</f>
        <v/>
      </c>
      <c r="K379" s="30" t="str">
        <f aca="false">IF($A379="","",I379*H379)</f>
        <v/>
      </c>
      <c r="L379" s="58"/>
      <c r="M379" s="54" t="str">
        <f aca="false">IF($A379="","",IF(B379="CÓDIGO?","CÓDIGO NÃO ACHADO",IF($D379="","FALTA ITEM DO ANEXO",IF($D379="INDIRETO","",IF(COUNTIFS('Anexo III'!$B$8:$B$400,$D379,'Anexo III'!$E$8:$E$400,"&gt;0")=0,"ITEM NÃO ACHADO NO ANEXO","")))))</f>
        <v/>
      </c>
    </row>
    <row r="380" customFormat="false" ht="15" hidden="false" customHeight="false" outlineLevel="0" collapsed="false">
      <c r="A380" s="43"/>
      <c r="B380" s="53" t="str">
        <f aca="false">IF($A380="","",IF(ISNUMBER(MATCH($A380,'Cotação de Materiais'!$A$4:$A$200,0)),"MAT",IF(ISNUMBER(MATCH($A380,'Mão de Obra e Serviços'!$A$4:$A$200,0)),"MO","CÓDIGO?")))</f>
        <v/>
      </c>
      <c r="C380" s="54" t="str">
        <f aca="false">IF($A380="","",IFERROR(INDEX('Cotação de Materiais'!$C$4:$C$200,MATCH($A380,'Cotação de Materiais'!$A$4:$A$200,0)),IFERROR(INDEX('Mão de Obra e Serviços'!$B$4:$B$200,MATCH($A380,'Mão de Obra e Serviços'!$A$4:$A$200,0)),"")))</f>
        <v/>
      </c>
      <c r="D380" s="43"/>
      <c r="E380" s="43"/>
      <c r="F380" s="43"/>
      <c r="G380" s="57" t="str">
        <f aca="false">IF($A380="","",E380*IF(F380="",1,F380))</f>
        <v/>
      </c>
      <c r="H380" s="31" t="str">
        <f aca="false">IF($A380="","",IF(SUMIF($A$6:$A$600,$A380,$G$6:$G$600)=0,0,G380/SUMIF($A$6:$A$600,$A380,$G$6:$G$600)))</f>
        <v/>
      </c>
      <c r="I380" s="30" t="str">
        <f aca="false">IF($A380="","",IFERROR(INDEX('Cotação de Materiais'!$H$4:$H$200,MATCH($A380,'Cotação de Materiais'!$A$4:$A$200,0)),IFERROR(INDEX('Mão de Obra e Serviços'!$G$4:$G$200,MATCH($A380,'Mão de Obra e Serviços'!$A$4:$A$200,0)),0)))</f>
        <v/>
      </c>
      <c r="K380" s="30" t="str">
        <f aca="false">IF($A380="","",I380*H380)</f>
        <v/>
      </c>
      <c r="L380" s="58"/>
      <c r="M380" s="54" t="str">
        <f aca="false">IF($A380="","",IF(B380="CÓDIGO?","CÓDIGO NÃO ACHADO",IF($D380="","FALTA ITEM DO ANEXO",IF($D380="INDIRETO","",IF(COUNTIFS('Anexo III'!$B$8:$B$400,$D380,'Anexo III'!$E$8:$E$400,"&gt;0")=0,"ITEM NÃO ACHADO NO ANEXO","")))))</f>
        <v/>
      </c>
    </row>
    <row r="381" customFormat="false" ht="15" hidden="false" customHeight="false" outlineLevel="0" collapsed="false">
      <c r="A381" s="43"/>
      <c r="B381" s="53" t="str">
        <f aca="false">IF($A381="","",IF(ISNUMBER(MATCH($A381,'Cotação de Materiais'!$A$4:$A$200,0)),"MAT",IF(ISNUMBER(MATCH($A381,'Mão de Obra e Serviços'!$A$4:$A$200,0)),"MO","CÓDIGO?")))</f>
        <v/>
      </c>
      <c r="C381" s="54" t="str">
        <f aca="false">IF($A381="","",IFERROR(INDEX('Cotação de Materiais'!$C$4:$C$200,MATCH($A381,'Cotação de Materiais'!$A$4:$A$200,0)),IFERROR(INDEX('Mão de Obra e Serviços'!$B$4:$B$200,MATCH($A381,'Mão de Obra e Serviços'!$A$4:$A$200,0)),"")))</f>
        <v/>
      </c>
      <c r="D381" s="43"/>
      <c r="E381" s="43"/>
      <c r="F381" s="43"/>
      <c r="G381" s="57" t="str">
        <f aca="false">IF($A381="","",E381*IF(F381="",1,F381))</f>
        <v/>
      </c>
      <c r="H381" s="31" t="str">
        <f aca="false">IF($A381="","",IF(SUMIF($A$6:$A$600,$A381,$G$6:$G$600)=0,0,G381/SUMIF($A$6:$A$600,$A381,$G$6:$G$600)))</f>
        <v/>
      </c>
      <c r="I381" s="30" t="str">
        <f aca="false">IF($A381="","",IFERROR(INDEX('Cotação de Materiais'!$H$4:$H$200,MATCH($A381,'Cotação de Materiais'!$A$4:$A$200,0)),IFERROR(INDEX('Mão de Obra e Serviços'!$G$4:$G$200,MATCH($A381,'Mão de Obra e Serviços'!$A$4:$A$200,0)),0)))</f>
        <v/>
      </c>
      <c r="K381" s="30" t="str">
        <f aca="false">IF($A381="","",I381*H381)</f>
        <v/>
      </c>
      <c r="L381" s="58"/>
      <c r="M381" s="54" t="str">
        <f aca="false">IF($A381="","",IF(B381="CÓDIGO?","CÓDIGO NÃO ACHADO",IF($D381="","FALTA ITEM DO ANEXO",IF($D381="INDIRETO","",IF(COUNTIFS('Anexo III'!$B$8:$B$400,$D381,'Anexo III'!$E$8:$E$400,"&gt;0")=0,"ITEM NÃO ACHADO NO ANEXO","")))))</f>
        <v/>
      </c>
    </row>
    <row r="382" customFormat="false" ht="15" hidden="false" customHeight="false" outlineLevel="0" collapsed="false">
      <c r="A382" s="43"/>
      <c r="B382" s="53" t="str">
        <f aca="false">IF($A382="","",IF(ISNUMBER(MATCH($A382,'Cotação de Materiais'!$A$4:$A$200,0)),"MAT",IF(ISNUMBER(MATCH($A382,'Mão de Obra e Serviços'!$A$4:$A$200,0)),"MO","CÓDIGO?")))</f>
        <v/>
      </c>
      <c r="C382" s="54" t="str">
        <f aca="false">IF($A382="","",IFERROR(INDEX('Cotação de Materiais'!$C$4:$C$200,MATCH($A382,'Cotação de Materiais'!$A$4:$A$200,0)),IFERROR(INDEX('Mão de Obra e Serviços'!$B$4:$B$200,MATCH($A382,'Mão de Obra e Serviços'!$A$4:$A$200,0)),"")))</f>
        <v/>
      </c>
      <c r="D382" s="43"/>
      <c r="E382" s="43"/>
      <c r="F382" s="43"/>
      <c r="G382" s="57" t="str">
        <f aca="false">IF($A382="","",E382*IF(F382="",1,F382))</f>
        <v/>
      </c>
      <c r="H382" s="31" t="str">
        <f aca="false">IF($A382="","",IF(SUMIF($A$6:$A$600,$A382,$G$6:$G$600)=0,0,G382/SUMIF($A$6:$A$600,$A382,$G$6:$G$600)))</f>
        <v/>
      </c>
      <c r="I382" s="30" t="str">
        <f aca="false">IF($A382="","",IFERROR(INDEX('Cotação de Materiais'!$H$4:$H$200,MATCH($A382,'Cotação de Materiais'!$A$4:$A$200,0)),IFERROR(INDEX('Mão de Obra e Serviços'!$G$4:$G$200,MATCH($A382,'Mão de Obra e Serviços'!$A$4:$A$200,0)),0)))</f>
        <v/>
      </c>
      <c r="K382" s="30" t="str">
        <f aca="false">IF($A382="","",I382*H382)</f>
        <v/>
      </c>
      <c r="L382" s="58"/>
      <c r="M382" s="54" t="str">
        <f aca="false">IF($A382="","",IF(B382="CÓDIGO?","CÓDIGO NÃO ACHADO",IF($D382="","FALTA ITEM DO ANEXO",IF($D382="INDIRETO","",IF(COUNTIFS('Anexo III'!$B$8:$B$400,$D382,'Anexo III'!$E$8:$E$400,"&gt;0")=0,"ITEM NÃO ACHADO NO ANEXO","")))))</f>
        <v/>
      </c>
    </row>
    <row r="383" customFormat="false" ht="15" hidden="false" customHeight="false" outlineLevel="0" collapsed="false">
      <c r="A383" s="43"/>
      <c r="B383" s="53" t="str">
        <f aca="false">IF($A383="","",IF(ISNUMBER(MATCH($A383,'Cotação de Materiais'!$A$4:$A$200,0)),"MAT",IF(ISNUMBER(MATCH($A383,'Mão de Obra e Serviços'!$A$4:$A$200,0)),"MO","CÓDIGO?")))</f>
        <v/>
      </c>
      <c r="C383" s="54" t="str">
        <f aca="false">IF($A383="","",IFERROR(INDEX('Cotação de Materiais'!$C$4:$C$200,MATCH($A383,'Cotação de Materiais'!$A$4:$A$200,0)),IFERROR(INDEX('Mão de Obra e Serviços'!$B$4:$B$200,MATCH($A383,'Mão de Obra e Serviços'!$A$4:$A$200,0)),"")))</f>
        <v/>
      </c>
      <c r="D383" s="43"/>
      <c r="E383" s="43"/>
      <c r="F383" s="43"/>
      <c r="G383" s="57" t="str">
        <f aca="false">IF($A383="","",E383*IF(F383="",1,F383))</f>
        <v/>
      </c>
      <c r="H383" s="31" t="str">
        <f aca="false">IF($A383="","",IF(SUMIF($A$6:$A$600,$A383,$G$6:$G$600)=0,0,G383/SUMIF($A$6:$A$600,$A383,$G$6:$G$600)))</f>
        <v/>
      </c>
      <c r="I383" s="30" t="str">
        <f aca="false">IF($A383="","",IFERROR(INDEX('Cotação de Materiais'!$H$4:$H$200,MATCH($A383,'Cotação de Materiais'!$A$4:$A$200,0)),IFERROR(INDEX('Mão de Obra e Serviços'!$G$4:$G$200,MATCH($A383,'Mão de Obra e Serviços'!$A$4:$A$200,0)),0)))</f>
        <v/>
      </c>
      <c r="K383" s="30" t="str">
        <f aca="false">IF($A383="","",I383*H383)</f>
        <v/>
      </c>
      <c r="L383" s="58"/>
      <c r="M383" s="54" t="str">
        <f aca="false">IF($A383="","",IF(B383="CÓDIGO?","CÓDIGO NÃO ACHADO",IF($D383="","FALTA ITEM DO ANEXO",IF($D383="INDIRETO","",IF(COUNTIFS('Anexo III'!$B$8:$B$400,$D383,'Anexo III'!$E$8:$E$400,"&gt;0")=0,"ITEM NÃO ACHADO NO ANEXO","")))))</f>
        <v/>
      </c>
    </row>
    <row r="384" customFormat="false" ht="15" hidden="false" customHeight="false" outlineLevel="0" collapsed="false">
      <c r="A384" s="43"/>
      <c r="B384" s="53" t="str">
        <f aca="false">IF($A384="","",IF(ISNUMBER(MATCH($A384,'Cotação de Materiais'!$A$4:$A$200,0)),"MAT",IF(ISNUMBER(MATCH($A384,'Mão de Obra e Serviços'!$A$4:$A$200,0)),"MO","CÓDIGO?")))</f>
        <v/>
      </c>
      <c r="C384" s="54" t="str">
        <f aca="false">IF($A384="","",IFERROR(INDEX('Cotação de Materiais'!$C$4:$C$200,MATCH($A384,'Cotação de Materiais'!$A$4:$A$200,0)),IFERROR(INDEX('Mão de Obra e Serviços'!$B$4:$B$200,MATCH($A384,'Mão de Obra e Serviços'!$A$4:$A$200,0)),"")))</f>
        <v/>
      </c>
      <c r="D384" s="43"/>
      <c r="E384" s="43"/>
      <c r="F384" s="43"/>
      <c r="G384" s="57" t="str">
        <f aca="false">IF($A384="","",E384*IF(F384="",1,F384))</f>
        <v/>
      </c>
      <c r="H384" s="31" t="str">
        <f aca="false">IF($A384="","",IF(SUMIF($A$6:$A$600,$A384,$G$6:$G$600)=0,0,G384/SUMIF($A$6:$A$600,$A384,$G$6:$G$600)))</f>
        <v/>
      </c>
      <c r="I384" s="30" t="str">
        <f aca="false">IF($A384="","",IFERROR(INDEX('Cotação de Materiais'!$H$4:$H$200,MATCH($A384,'Cotação de Materiais'!$A$4:$A$200,0)),IFERROR(INDEX('Mão de Obra e Serviços'!$G$4:$G$200,MATCH($A384,'Mão de Obra e Serviços'!$A$4:$A$200,0)),0)))</f>
        <v/>
      </c>
      <c r="K384" s="30" t="str">
        <f aca="false">IF($A384="","",I384*H384)</f>
        <v/>
      </c>
      <c r="L384" s="58"/>
      <c r="M384" s="54" t="str">
        <f aca="false">IF($A384="","",IF(B384="CÓDIGO?","CÓDIGO NÃO ACHADO",IF($D384="","FALTA ITEM DO ANEXO",IF($D384="INDIRETO","",IF(COUNTIFS('Anexo III'!$B$8:$B$400,$D384,'Anexo III'!$E$8:$E$400,"&gt;0")=0,"ITEM NÃO ACHADO NO ANEXO","")))))</f>
        <v/>
      </c>
    </row>
    <row r="385" customFormat="false" ht="15" hidden="false" customHeight="false" outlineLevel="0" collapsed="false">
      <c r="A385" s="43"/>
      <c r="B385" s="53" t="str">
        <f aca="false">IF($A385="","",IF(ISNUMBER(MATCH($A385,'Cotação de Materiais'!$A$4:$A$200,0)),"MAT",IF(ISNUMBER(MATCH($A385,'Mão de Obra e Serviços'!$A$4:$A$200,0)),"MO","CÓDIGO?")))</f>
        <v/>
      </c>
      <c r="C385" s="54" t="str">
        <f aca="false">IF($A385="","",IFERROR(INDEX('Cotação de Materiais'!$C$4:$C$200,MATCH($A385,'Cotação de Materiais'!$A$4:$A$200,0)),IFERROR(INDEX('Mão de Obra e Serviços'!$B$4:$B$200,MATCH($A385,'Mão de Obra e Serviços'!$A$4:$A$200,0)),"")))</f>
        <v/>
      </c>
      <c r="D385" s="43"/>
      <c r="E385" s="43"/>
      <c r="F385" s="43"/>
      <c r="G385" s="57" t="str">
        <f aca="false">IF($A385="","",E385*IF(F385="",1,F385))</f>
        <v/>
      </c>
      <c r="H385" s="31" t="str">
        <f aca="false">IF($A385="","",IF(SUMIF($A$6:$A$600,$A385,$G$6:$G$600)=0,0,G385/SUMIF($A$6:$A$600,$A385,$G$6:$G$600)))</f>
        <v/>
      </c>
      <c r="I385" s="30" t="str">
        <f aca="false">IF($A385="","",IFERROR(INDEX('Cotação de Materiais'!$H$4:$H$200,MATCH($A385,'Cotação de Materiais'!$A$4:$A$200,0)),IFERROR(INDEX('Mão de Obra e Serviços'!$G$4:$G$200,MATCH($A385,'Mão de Obra e Serviços'!$A$4:$A$200,0)),0)))</f>
        <v/>
      </c>
      <c r="K385" s="30" t="str">
        <f aca="false">IF($A385="","",I385*H385)</f>
        <v/>
      </c>
      <c r="L385" s="58"/>
      <c r="M385" s="54" t="str">
        <f aca="false">IF($A385="","",IF(B385="CÓDIGO?","CÓDIGO NÃO ACHADO",IF($D385="","FALTA ITEM DO ANEXO",IF($D385="INDIRETO","",IF(COUNTIFS('Anexo III'!$B$8:$B$400,$D385,'Anexo III'!$E$8:$E$400,"&gt;0")=0,"ITEM NÃO ACHADO NO ANEXO","")))))</f>
        <v/>
      </c>
    </row>
    <row r="386" customFormat="false" ht="15" hidden="false" customHeight="false" outlineLevel="0" collapsed="false">
      <c r="A386" s="43"/>
      <c r="B386" s="53" t="str">
        <f aca="false">IF($A386="","",IF(ISNUMBER(MATCH($A386,'Cotação de Materiais'!$A$4:$A$200,0)),"MAT",IF(ISNUMBER(MATCH($A386,'Mão de Obra e Serviços'!$A$4:$A$200,0)),"MO","CÓDIGO?")))</f>
        <v/>
      </c>
      <c r="C386" s="54" t="str">
        <f aca="false">IF($A386="","",IFERROR(INDEX('Cotação de Materiais'!$C$4:$C$200,MATCH($A386,'Cotação de Materiais'!$A$4:$A$200,0)),IFERROR(INDEX('Mão de Obra e Serviços'!$B$4:$B$200,MATCH($A386,'Mão de Obra e Serviços'!$A$4:$A$200,0)),"")))</f>
        <v/>
      </c>
      <c r="D386" s="43"/>
      <c r="E386" s="43"/>
      <c r="F386" s="43"/>
      <c r="G386" s="57" t="str">
        <f aca="false">IF($A386="","",E386*IF(F386="",1,F386))</f>
        <v/>
      </c>
      <c r="H386" s="31" t="str">
        <f aca="false">IF($A386="","",IF(SUMIF($A$6:$A$600,$A386,$G$6:$G$600)=0,0,G386/SUMIF($A$6:$A$600,$A386,$G$6:$G$600)))</f>
        <v/>
      </c>
      <c r="I386" s="30" t="str">
        <f aca="false">IF($A386="","",IFERROR(INDEX('Cotação de Materiais'!$H$4:$H$200,MATCH($A386,'Cotação de Materiais'!$A$4:$A$200,0)),IFERROR(INDEX('Mão de Obra e Serviços'!$G$4:$G$200,MATCH($A386,'Mão de Obra e Serviços'!$A$4:$A$200,0)),0)))</f>
        <v/>
      </c>
      <c r="K386" s="30" t="str">
        <f aca="false">IF($A386="","",I386*H386)</f>
        <v/>
      </c>
      <c r="L386" s="58"/>
      <c r="M386" s="54" t="str">
        <f aca="false">IF($A386="","",IF(B386="CÓDIGO?","CÓDIGO NÃO ACHADO",IF($D386="","FALTA ITEM DO ANEXO",IF($D386="INDIRETO","",IF(COUNTIFS('Anexo III'!$B$8:$B$400,$D386,'Anexo III'!$E$8:$E$400,"&gt;0")=0,"ITEM NÃO ACHADO NO ANEXO","")))))</f>
        <v/>
      </c>
    </row>
    <row r="387" customFormat="false" ht="15" hidden="false" customHeight="false" outlineLevel="0" collapsed="false">
      <c r="A387" s="43"/>
      <c r="B387" s="53" t="str">
        <f aca="false">IF($A387="","",IF(ISNUMBER(MATCH($A387,'Cotação de Materiais'!$A$4:$A$200,0)),"MAT",IF(ISNUMBER(MATCH($A387,'Mão de Obra e Serviços'!$A$4:$A$200,0)),"MO","CÓDIGO?")))</f>
        <v/>
      </c>
      <c r="C387" s="54" t="str">
        <f aca="false">IF($A387="","",IFERROR(INDEX('Cotação de Materiais'!$C$4:$C$200,MATCH($A387,'Cotação de Materiais'!$A$4:$A$200,0)),IFERROR(INDEX('Mão de Obra e Serviços'!$B$4:$B$200,MATCH($A387,'Mão de Obra e Serviços'!$A$4:$A$200,0)),"")))</f>
        <v/>
      </c>
      <c r="D387" s="43"/>
      <c r="E387" s="43"/>
      <c r="F387" s="43"/>
      <c r="G387" s="57" t="str">
        <f aca="false">IF($A387="","",E387*IF(F387="",1,F387))</f>
        <v/>
      </c>
      <c r="H387" s="31" t="str">
        <f aca="false">IF($A387="","",IF(SUMIF($A$6:$A$600,$A387,$G$6:$G$600)=0,0,G387/SUMIF($A$6:$A$600,$A387,$G$6:$G$600)))</f>
        <v/>
      </c>
      <c r="I387" s="30" t="str">
        <f aca="false">IF($A387="","",IFERROR(INDEX('Cotação de Materiais'!$H$4:$H$200,MATCH($A387,'Cotação de Materiais'!$A$4:$A$200,0)),IFERROR(INDEX('Mão de Obra e Serviços'!$G$4:$G$200,MATCH($A387,'Mão de Obra e Serviços'!$A$4:$A$200,0)),0)))</f>
        <v/>
      </c>
      <c r="K387" s="30" t="str">
        <f aca="false">IF($A387="","",I387*H387)</f>
        <v/>
      </c>
      <c r="L387" s="58"/>
      <c r="M387" s="54" t="str">
        <f aca="false">IF($A387="","",IF(B387="CÓDIGO?","CÓDIGO NÃO ACHADO",IF($D387="","FALTA ITEM DO ANEXO",IF($D387="INDIRETO","",IF(COUNTIFS('Anexo III'!$B$8:$B$400,$D387,'Anexo III'!$E$8:$E$400,"&gt;0")=0,"ITEM NÃO ACHADO NO ANEXO","")))))</f>
        <v/>
      </c>
    </row>
    <row r="388" customFormat="false" ht="15" hidden="false" customHeight="false" outlineLevel="0" collapsed="false">
      <c r="A388" s="43"/>
      <c r="B388" s="53" t="str">
        <f aca="false">IF($A388="","",IF(ISNUMBER(MATCH($A388,'Cotação de Materiais'!$A$4:$A$200,0)),"MAT",IF(ISNUMBER(MATCH($A388,'Mão de Obra e Serviços'!$A$4:$A$200,0)),"MO","CÓDIGO?")))</f>
        <v/>
      </c>
      <c r="C388" s="54" t="str">
        <f aca="false">IF($A388="","",IFERROR(INDEX('Cotação de Materiais'!$C$4:$C$200,MATCH($A388,'Cotação de Materiais'!$A$4:$A$200,0)),IFERROR(INDEX('Mão de Obra e Serviços'!$B$4:$B$200,MATCH($A388,'Mão de Obra e Serviços'!$A$4:$A$200,0)),"")))</f>
        <v/>
      </c>
      <c r="D388" s="43"/>
      <c r="E388" s="43"/>
      <c r="F388" s="43"/>
      <c r="G388" s="57" t="str">
        <f aca="false">IF($A388="","",E388*IF(F388="",1,F388))</f>
        <v/>
      </c>
      <c r="H388" s="31" t="str">
        <f aca="false">IF($A388="","",IF(SUMIF($A$6:$A$600,$A388,$G$6:$G$600)=0,0,G388/SUMIF($A$6:$A$600,$A388,$G$6:$G$600)))</f>
        <v/>
      </c>
      <c r="I388" s="30" t="str">
        <f aca="false">IF($A388="","",IFERROR(INDEX('Cotação de Materiais'!$H$4:$H$200,MATCH($A388,'Cotação de Materiais'!$A$4:$A$200,0)),IFERROR(INDEX('Mão de Obra e Serviços'!$G$4:$G$200,MATCH($A388,'Mão de Obra e Serviços'!$A$4:$A$200,0)),0)))</f>
        <v/>
      </c>
      <c r="K388" s="30" t="str">
        <f aca="false">IF($A388="","",I388*H388)</f>
        <v/>
      </c>
      <c r="L388" s="58"/>
      <c r="M388" s="54" t="str">
        <f aca="false">IF($A388="","",IF(B388="CÓDIGO?","CÓDIGO NÃO ACHADO",IF($D388="","FALTA ITEM DO ANEXO",IF($D388="INDIRETO","",IF(COUNTIFS('Anexo III'!$B$8:$B$400,$D388,'Anexo III'!$E$8:$E$400,"&gt;0")=0,"ITEM NÃO ACHADO NO ANEXO","")))))</f>
        <v/>
      </c>
    </row>
    <row r="389" customFormat="false" ht="15" hidden="false" customHeight="false" outlineLevel="0" collapsed="false">
      <c r="A389" s="43"/>
      <c r="B389" s="53" t="str">
        <f aca="false">IF($A389="","",IF(ISNUMBER(MATCH($A389,'Cotação de Materiais'!$A$4:$A$200,0)),"MAT",IF(ISNUMBER(MATCH($A389,'Mão de Obra e Serviços'!$A$4:$A$200,0)),"MO","CÓDIGO?")))</f>
        <v/>
      </c>
      <c r="C389" s="54" t="str">
        <f aca="false">IF($A389="","",IFERROR(INDEX('Cotação de Materiais'!$C$4:$C$200,MATCH($A389,'Cotação de Materiais'!$A$4:$A$200,0)),IFERROR(INDEX('Mão de Obra e Serviços'!$B$4:$B$200,MATCH($A389,'Mão de Obra e Serviços'!$A$4:$A$200,0)),"")))</f>
        <v/>
      </c>
      <c r="D389" s="43"/>
      <c r="E389" s="43"/>
      <c r="F389" s="43"/>
      <c r="G389" s="57" t="str">
        <f aca="false">IF($A389="","",E389*IF(F389="",1,F389))</f>
        <v/>
      </c>
      <c r="H389" s="31" t="str">
        <f aca="false">IF($A389="","",IF(SUMIF($A$6:$A$600,$A389,$G$6:$G$600)=0,0,G389/SUMIF($A$6:$A$600,$A389,$G$6:$G$600)))</f>
        <v/>
      </c>
      <c r="I389" s="30" t="str">
        <f aca="false">IF($A389="","",IFERROR(INDEX('Cotação de Materiais'!$H$4:$H$200,MATCH($A389,'Cotação de Materiais'!$A$4:$A$200,0)),IFERROR(INDEX('Mão de Obra e Serviços'!$G$4:$G$200,MATCH($A389,'Mão de Obra e Serviços'!$A$4:$A$200,0)),0)))</f>
        <v/>
      </c>
      <c r="K389" s="30" t="str">
        <f aca="false">IF($A389="","",I389*H389)</f>
        <v/>
      </c>
      <c r="L389" s="58"/>
      <c r="M389" s="54" t="str">
        <f aca="false">IF($A389="","",IF(B389="CÓDIGO?","CÓDIGO NÃO ACHADO",IF($D389="","FALTA ITEM DO ANEXO",IF($D389="INDIRETO","",IF(COUNTIFS('Anexo III'!$B$8:$B$400,$D389,'Anexo III'!$E$8:$E$400,"&gt;0")=0,"ITEM NÃO ACHADO NO ANEXO","")))))</f>
        <v/>
      </c>
    </row>
    <row r="390" customFormat="false" ht="15" hidden="false" customHeight="false" outlineLevel="0" collapsed="false">
      <c r="A390" s="43"/>
      <c r="B390" s="53" t="str">
        <f aca="false">IF($A390="","",IF(ISNUMBER(MATCH($A390,'Cotação de Materiais'!$A$4:$A$200,0)),"MAT",IF(ISNUMBER(MATCH($A390,'Mão de Obra e Serviços'!$A$4:$A$200,0)),"MO","CÓDIGO?")))</f>
        <v/>
      </c>
      <c r="C390" s="54" t="str">
        <f aca="false">IF($A390="","",IFERROR(INDEX('Cotação de Materiais'!$C$4:$C$200,MATCH($A390,'Cotação de Materiais'!$A$4:$A$200,0)),IFERROR(INDEX('Mão de Obra e Serviços'!$B$4:$B$200,MATCH($A390,'Mão de Obra e Serviços'!$A$4:$A$200,0)),"")))</f>
        <v/>
      </c>
      <c r="D390" s="43"/>
      <c r="E390" s="43"/>
      <c r="F390" s="43"/>
      <c r="G390" s="57" t="str">
        <f aca="false">IF($A390="","",E390*IF(F390="",1,F390))</f>
        <v/>
      </c>
      <c r="H390" s="31" t="str">
        <f aca="false">IF($A390="","",IF(SUMIF($A$6:$A$600,$A390,$G$6:$G$600)=0,0,G390/SUMIF($A$6:$A$600,$A390,$G$6:$G$600)))</f>
        <v/>
      </c>
      <c r="I390" s="30" t="str">
        <f aca="false">IF($A390="","",IFERROR(INDEX('Cotação de Materiais'!$H$4:$H$200,MATCH($A390,'Cotação de Materiais'!$A$4:$A$200,0)),IFERROR(INDEX('Mão de Obra e Serviços'!$G$4:$G$200,MATCH($A390,'Mão de Obra e Serviços'!$A$4:$A$200,0)),0)))</f>
        <v/>
      </c>
      <c r="K390" s="30" t="str">
        <f aca="false">IF($A390="","",I390*H390)</f>
        <v/>
      </c>
      <c r="L390" s="58"/>
      <c r="M390" s="54" t="str">
        <f aca="false">IF($A390="","",IF(B390="CÓDIGO?","CÓDIGO NÃO ACHADO",IF($D390="","FALTA ITEM DO ANEXO",IF($D390="INDIRETO","",IF(COUNTIFS('Anexo III'!$B$8:$B$400,$D390,'Anexo III'!$E$8:$E$400,"&gt;0")=0,"ITEM NÃO ACHADO NO ANEXO","")))))</f>
        <v/>
      </c>
    </row>
    <row r="391" customFormat="false" ht="15" hidden="false" customHeight="false" outlineLevel="0" collapsed="false">
      <c r="A391" s="43"/>
      <c r="B391" s="53" t="str">
        <f aca="false">IF($A391="","",IF(ISNUMBER(MATCH($A391,'Cotação de Materiais'!$A$4:$A$200,0)),"MAT",IF(ISNUMBER(MATCH($A391,'Mão de Obra e Serviços'!$A$4:$A$200,0)),"MO","CÓDIGO?")))</f>
        <v/>
      </c>
      <c r="C391" s="54" t="str">
        <f aca="false">IF($A391="","",IFERROR(INDEX('Cotação de Materiais'!$C$4:$C$200,MATCH($A391,'Cotação de Materiais'!$A$4:$A$200,0)),IFERROR(INDEX('Mão de Obra e Serviços'!$B$4:$B$200,MATCH($A391,'Mão de Obra e Serviços'!$A$4:$A$200,0)),"")))</f>
        <v/>
      </c>
      <c r="D391" s="43"/>
      <c r="E391" s="43"/>
      <c r="F391" s="43"/>
      <c r="G391" s="57" t="str">
        <f aca="false">IF($A391="","",E391*IF(F391="",1,F391))</f>
        <v/>
      </c>
      <c r="H391" s="31" t="str">
        <f aca="false">IF($A391="","",IF(SUMIF($A$6:$A$600,$A391,$G$6:$G$600)=0,0,G391/SUMIF($A$6:$A$600,$A391,$G$6:$G$600)))</f>
        <v/>
      </c>
      <c r="I391" s="30" t="str">
        <f aca="false">IF($A391="","",IFERROR(INDEX('Cotação de Materiais'!$H$4:$H$200,MATCH($A391,'Cotação de Materiais'!$A$4:$A$200,0)),IFERROR(INDEX('Mão de Obra e Serviços'!$G$4:$G$200,MATCH($A391,'Mão de Obra e Serviços'!$A$4:$A$200,0)),0)))</f>
        <v/>
      </c>
      <c r="K391" s="30" t="str">
        <f aca="false">IF($A391="","",I391*H391)</f>
        <v/>
      </c>
      <c r="L391" s="58"/>
      <c r="M391" s="54" t="str">
        <f aca="false">IF($A391="","",IF(B391="CÓDIGO?","CÓDIGO NÃO ACHADO",IF($D391="","FALTA ITEM DO ANEXO",IF($D391="INDIRETO","",IF(COUNTIFS('Anexo III'!$B$8:$B$400,$D391,'Anexo III'!$E$8:$E$400,"&gt;0")=0,"ITEM NÃO ACHADO NO ANEXO","")))))</f>
        <v/>
      </c>
    </row>
    <row r="392" customFormat="false" ht="15" hidden="false" customHeight="false" outlineLevel="0" collapsed="false">
      <c r="A392" s="43"/>
      <c r="B392" s="53" t="str">
        <f aca="false">IF($A392="","",IF(ISNUMBER(MATCH($A392,'Cotação de Materiais'!$A$4:$A$200,0)),"MAT",IF(ISNUMBER(MATCH($A392,'Mão de Obra e Serviços'!$A$4:$A$200,0)),"MO","CÓDIGO?")))</f>
        <v/>
      </c>
      <c r="C392" s="54" t="str">
        <f aca="false">IF($A392="","",IFERROR(INDEX('Cotação de Materiais'!$C$4:$C$200,MATCH($A392,'Cotação de Materiais'!$A$4:$A$200,0)),IFERROR(INDEX('Mão de Obra e Serviços'!$B$4:$B$200,MATCH($A392,'Mão de Obra e Serviços'!$A$4:$A$200,0)),"")))</f>
        <v/>
      </c>
      <c r="D392" s="43"/>
      <c r="E392" s="43"/>
      <c r="F392" s="43"/>
      <c r="G392" s="57" t="str">
        <f aca="false">IF($A392="","",E392*IF(F392="",1,F392))</f>
        <v/>
      </c>
      <c r="H392" s="31" t="str">
        <f aca="false">IF($A392="","",IF(SUMIF($A$6:$A$600,$A392,$G$6:$G$600)=0,0,G392/SUMIF($A$6:$A$600,$A392,$G$6:$G$600)))</f>
        <v/>
      </c>
      <c r="I392" s="30" t="str">
        <f aca="false">IF($A392="","",IFERROR(INDEX('Cotação de Materiais'!$H$4:$H$200,MATCH($A392,'Cotação de Materiais'!$A$4:$A$200,0)),IFERROR(INDEX('Mão de Obra e Serviços'!$G$4:$G$200,MATCH($A392,'Mão de Obra e Serviços'!$A$4:$A$200,0)),0)))</f>
        <v/>
      </c>
      <c r="K392" s="30" t="str">
        <f aca="false">IF($A392="","",I392*H392)</f>
        <v/>
      </c>
      <c r="L392" s="58"/>
      <c r="M392" s="54" t="str">
        <f aca="false">IF($A392="","",IF(B392="CÓDIGO?","CÓDIGO NÃO ACHADO",IF($D392="","FALTA ITEM DO ANEXO",IF($D392="INDIRETO","",IF(COUNTIFS('Anexo III'!$B$8:$B$400,$D392,'Anexo III'!$E$8:$E$400,"&gt;0")=0,"ITEM NÃO ACHADO NO ANEXO","")))))</f>
        <v/>
      </c>
    </row>
    <row r="393" customFormat="false" ht="15" hidden="false" customHeight="false" outlineLevel="0" collapsed="false">
      <c r="A393" s="43"/>
      <c r="B393" s="53" t="str">
        <f aca="false">IF($A393="","",IF(ISNUMBER(MATCH($A393,'Cotação de Materiais'!$A$4:$A$200,0)),"MAT",IF(ISNUMBER(MATCH($A393,'Mão de Obra e Serviços'!$A$4:$A$200,0)),"MO","CÓDIGO?")))</f>
        <v/>
      </c>
      <c r="C393" s="54" t="str">
        <f aca="false">IF($A393="","",IFERROR(INDEX('Cotação de Materiais'!$C$4:$C$200,MATCH($A393,'Cotação de Materiais'!$A$4:$A$200,0)),IFERROR(INDEX('Mão de Obra e Serviços'!$B$4:$B$200,MATCH($A393,'Mão de Obra e Serviços'!$A$4:$A$200,0)),"")))</f>
        <v/>
      </c>
      <c r="D393" s="43"/>
      <c r="E393" s="43"/>
      <c r="F393" s="43"/>
      <c r="G393" s="57" t="str">
        <f aca="false">IF($A393="","",E393*IF(F393="",1,F393))</f>
        <v/>
      </c>
      <c r="H393" s="31" t="str">
        <f aca="false">IF($A393="","",IF(SUMIF($A$6:$A$600,$A393,$G$6:$G$600)=0,0,G393/SUMIF($A$6:$A$600,$A393,$G$6:$G$600)))</f>
        <v/>
      </c>
      <c r="I393" s="30" t="str">
        <f aca="false">IF($A393="","",IFERROR(INDEX('Cotação de Materiais'!$H$4:$H$200,MATCH($A393,'Cotação de Materiais'!$A$4:$A$200,0)),IFERROR(INDEX('Mão de Obra e Serviços'!$G$4:$G$200,MATCH($A393,'Mão de Obra e Serviços'!$A$4:$A$200,0)),0)))</f>
        <v/>
      </c>
      <c r="K393" s="30" t="str">
        <f aca="false">IF($A393="","",I393*H393)</f>
        <v/>
      </c>
      <c r="L393" s="58"/>
      <c r="M393" s="54" t="str">
        <f aca="false">IF($A393="","",IF(B393="CÓDIGO?","CÓDIGO NÃO ACHADO",IF($D393="","FALTA ITEM DO ANEXO",IF($D393="INDIRETO","",IF(COUNTIFS('Anexo III'!$B$8:$B$400,$D393,'Anexo III'!$E$8:$E$400,"&gt;0")=0,"ITEM NÃO ACHADO NO ANEXO","")))))</f>
        <v/>
      </c>
    </row>
    <row r="394" customFormat="false" ht="15" hidden="false" customHeight="false" outlineLevel="0" collapsed="false">
      <c r="A394" s="43"/>
      <c r="B394" s="53" t="str">
        <f aca="false">IF($A394="","",IF(ISNUMBER(MATCH($A394,'Cotação de Materiais'!$A$4:$A$200,0)),"MAT",IF(ISNUMBER(MATCH($A394,'Mão de Obra e Serviços'!$A$4:$A$200,0)),"MO","CÓDIGO?")))</f>
        <v/>
      </c>
      <c r="C394" s="54" t="str">
        <f aca="false">IF($A394="","",IFERROR(INDEX('Cotação de Materiais'!$C$4:$C$200,MATCH($A394,'Cotação de Materiais'!$A$4:$A$200,0)),IFERROR(INDEX('Mão de Obra e Serviços'!$B$4:$B$200,MATCH($A394,'Mão de Obra e Serviços'!$A$4:$A$200,0)),"")))</f>
        <v/>
      </c>
      <c r="D394" s="43"/>
      <c r="E394" s="43"/>
      <c r="F394" s="43"/>
      <c r="G394" s="57" t="str">
        <f aca="false">IF($A394="","",E394*IF(F394="",1,F394))</f>
        <v/>
      </c>
      <c r="H394" s="31" t="str">
        <f aca="false">IF($A394="","",IF(SUMIF($A$6:$A$600,$A394,$G$6:$G$600)=0,0,G394/SUMIF($A$6:$A$600,$A394,$G$6:$G$600)))</f>
        <v/>
      </c>
      <c r="I394" s="30" t="str">
        <f aca="false">IF($A394="","",IFERROR(INDEX('Cotação de Materiais'!$H$4:$H$200,MATCH($A394,'Cotação de Materiais'!$A$4:$A$200,0)),IFERROR(INDEX('Mão de Obra e Serviços'!$G$4:$G$200,MATCH($A394,'Mão de Obra e Serviços'!$A$4:$A$200,0)),0)))</f>
        <v/>
      </c>
      <c r="K394" s="30" t="str">
        <f aca="false">IF($A394="","",I394*H394)</f>
        <v/>
      </c>
      <c r="L394" s="58"/>
      <c r="M394" s="54" t="str">
        <f aca="false">IF($A394="","",IF(B394="CÓDIGO?","CÓDIGO NÃO ACHADO",IF($D394="","FALTA ITEM DO ANEXO",IF($D394="INDIRETO","",IF(COUNTIFS('Anexo III'!$B$8:$B$400,$D394,'Anexo III'!$E$8:$E$400,"&gt;0")=0,"ITEM NÃO ACHADO NO ANEXO","")))))</f>
        <v/>
      </c>
    </row>
    <row r="395" customFormat="false" ht="15" hidden="false" customHeight="false" outlineLevel="0" collapsed="false">
      <c r="A395" s="43"/>
      <c r="B395" s="53" t="str">
        <f aca="false">IF($A395="","",IF(ISNUMBER(MATCH($A395,'Cotação de Materiais'!$A$4:$A$200,0)),"MAT",IF(ISNUMBER(MATCH($A395,'Mão de Obra e Serviços'!$A$4:$A$200,0)),"MO","CÓDIGO?")))</f>
        <v/>
      </c>
      <c r="C395" s="54" t="str">
        <f aca="false">IF($A395="","",IFERROR(INDEX('Cotação de Materiais'!$C$4:$C$200,MATCH($A395,'Cotação de Materiais'!$A$4:$A$200,0)),IFERROR(INDEX('Mão de Obra e Serviços'!$B$4:$B$200,MATCH($A395,'Mão de Obra e Serviços'!$A$4:$A$200,0)),"")))</f>
        <v/>
      </c>
      <c r="D395" s="43"/>
      <c r="E395" s="43"/>
      <c r="F395" s="43"/>
      <c r="G395" s="57" t="str">
        <f aca="false">IF($A395="","",E395*IF(F395="",1,F395))</f>
        <v/>
      </c>
      <c r="H395" s="31" t="str">
        <f aca="false">IF($A395="","",IF(SUMIF($A$6:$A$600,$A395,$G$6:$G$600)=0,0,G395/SUMIF($A$6:$A$600,$A395,$G$6:$G$600)))</f>
        <v/>
      </c>
      <c r="I395" s="30" t="str">
        <f aca="false">IF($A395="","",IFERROR(INDEX('Cotação de Materiais'!$H$4:$H$200,MATCH($A395,'Cotação de Materiais'!$A$4:$A$200,0)),IFERROR(INDEX('Mão de Obra e Serviços'!$G$4:$G$200,MATCH($A395,'Mão de Obra e Serviços'!$A$4:$A$200,0)),0)))</f>
        <v/>
      </c>
      <c r="K395" s="30" t="str">
        <f aca="false">IF($A395="","",I395*H395)</f>
        <v/>
      </c>
      <c r="L395" s="58"/>
      <c r="M395" s="54" t="str">
        <f aca="false">IF($A395="","",IF(B395="CÓDIGO?","CÓDIGO NÃO ACHADO",IF($D395="","FALTA ITEM DO ANEXO",IF($D395="INDIRETO","",IF(COUNTIFS('Anexo III'!$B$8:$B$400,$D395,'Anexo III'!$E$8:$E$400,"&gt;0")=0,"ITEM NÃO ACHADO NO ANEXO","")))))</f>
        <v/>
      </c>
    </row>
    <row r="396" customFormat="false" ht="15" hidden="false" customHeight="false" outlineLevel="0" collapsed="false">
      <c r="A396" s="43"/>
      <c r="B396" s="53" t="str">
        <f aca="false">IF($A396="","",IF(ISNUMBER(MATCH($A396,'Cotação de Materiais'!$A$4:$A$200,0)),"MAT",IF(ISNUMBER(MATCH($A396,'Mão de Obra e Serviços'!$A$4:$A$200,0)),"MO","CÓDIGO?")))</f>
        <v/>
      </c>
      <c r="C396" s="54" t="str">
        <f aca="false">IF($A396="","",IFERROR(INDEX('Cotação de Materiais'!$C$4:$C$200,MATCH($A396,'Cotação de Materiais'!$A$4:$A$200,0)),IFERROR(INDEX('Mão de Obra e Serviços'!$B$4:$B$200,MATCH($A396,'Mão de Obra e Serviços'!$A$4:$A$200,0)),"")))</f>
        <v/>
      </c>
      <c r="D396" s="43"/>
      <c r="E396" s="43"/>
      <c r="F396" s="43"/>
      <c r="G396" s="57" t="str">
        <f aca="false">IF($A396="","",E396*IF(F396="",1,F396))</f>
        <v/>
      </c>
      <c r="H396" s="31" t="str">
        <f aca="false">IF($A396="","",IF(SUMIF($A$6:$A$600,$A396,$G$6:$G$600)=0,0,G396/SUMIF($A$6:$A$600,$A396,$G$6:$G$600)))</f>
        <v/>
      </c>
      <c r="I396" s="30" t="str">
        <f aca="false">IF($A396="","",IFERROR(INDEX('Cotação de Materiais'!$H$4:$H$200,MATCH($A396,'Cotação de Materiais'!$A$4:$A$200,0)),IFERROR(INDEX('Mão de Obra e Serviços'!$G$4:$G$200,MATCH($A396,'Mão de Obra e Serviços'!$A$4:$A$200,0)),0)))</f>
        <v/>
      </c>
      <c r="K396" s="30" t="str">
        <f aca="false">IF($A396="","",I396*H396)</f>
        <v/>
      </c>
      <c r="L396" s="58"/>
      <c r="M396" s="54" t="str">
        <f aca="false">IF($A396="","",IF(B396="CÓDIGO?","CÓDIGO NÃO ACHADO",IF($D396="","FALTA ITEM DO ANEXO",IF($D396="INDIRETO","",IF(COUNTIFS('Anexo III'!$B$8:$B$400,$D396,'Anexo III'!$E$8:$E$400,"&gt;0")=0,"ITEM NÃO ACHADO NO ANEXO","")))))</f>
        <v/>
      </c>
    </row>
    <row r="397" customFormat="false" ht="15" hidden="false" customHeight="false" outlineLevel="0" collapsed="false">
      <c r="A397" s="43"/>
      <c r="B397" s="53" t="str">
        <f aca="false">IF($A397="","",IF(ISNUMBER(MATCH($A397,'Cotação de Materiais'!$A$4:$A$200,0)),"MAT",IF(ISNUMBER(MATCH($A397,'Mão de Obra e Serviços'!$A$4:$A$200,0)),"MO","CÓDIGO?")))</f>
        <v/>
      </c>
      <c r="C397" s="54" t="str">
        <f aca="false">IF($A397="","",IFERROR(INDEX('Cotação de Materiais'!$C$4:$C$200,MATCH($A397,'Cotação de Materiais'!$A$4:$A$200,0)),IFERROR(INDEX('Mão de Obra e Serviços'!$B$4:$B$200,MATCH($A397,'Mão de Obra e Serviços'!$A$4:$A$200,0)),"")))</f>
        <v/>
      </c>
      <c r="D397" s="43"/>
      <c r="E397" s="43"/>
      <c r="F397" s="43"/>
      <c r="G397" s="57" t="str">
        <f aca="false">IF($A397="","",E397*IF(F397="",1,F397))</f>
        <v/>
      </c>
      <c r="H397" s="31" t="str">
        <f aca="false">IF($A397="","",IF(SUMIF($A$6:$A$600,$A397,$G$6:$G$600)=0,0,G397/SUMIF($A$6:$A$600,$A397,$G$6:$G$600)))</f>
        <v/>
      </c>
      <c r="I397" s="30" t="str">
        <f aca="false">IF($A397="","",IFERROR(INDEX('Cotação de Materiais'!$H$4:$H$200,MATCH($A397,'Cotação de Materiais'!$A$4:$A$200,0)),IFERROR(INDEX('Mão de Obra e Serviços'!$G$4:$G$200,MATCH($A397,'Mão de Obra e Serviços'!$A$4:$A$200,0)),0)))</f>
        <v/>
      </c>
      <c r="K397" s="30" t="str">
        <f aca="false">IF($A397="","",I397*H397)</f>
        <v/>
      </c>
      <c r="L397" s="58"/>
      <c r="M397" s="54" t="str">
        <f aca="false">IF($A397="","",IF(B397="CÓDIGO?","CÓDIGO NÃO ACHADO",IF($D397="","FALTA ITEM DO ANEXO",IF($D397="INDIRETO","",IF(COUNTIFS('Anexo III'!$B$8:$B$400,$D397,'Anexo III'!$E$8:$E$400,"&gt;0")=0,"ITEM NÃO ACHADO NO ANEXO","")))))</f>
        <v/>
      </c>
    </row>
    <row r="398" customFormat="false" ht="15" hidden="false" customHeight="false" outlineLevel="0" collapsed="false">
      <c r="A398" s="43"/>
      <c r="B398" s="53" t="str">
        <f aca="false">IF($A398="","",IF(ISNUMBER(MATCH($A398,'Cotação de Materiais'!$A$4:$A$200,0)),"MAT",IF(ISNUMBER(MATCH($A398,'Mão de Obra e Serviços'!$A$4:$A$200,0)),"MO","CÓDIGO?")))</f>
        <v/>
      </c>
      <c r="C398" s="54" t="str">
        <f aca="false">IF($A398="","",IFERROR(INDEX('Cotação de Materiais'!$C$4:$C$200,MATCH($A398,'Cotação de Materiais'!$A$4:$A$200,0)),IFERROR(INDEX('Mão de Obra e Serviços'!$B$4:$B$200,MATCH($A398,'Mão de Obra e Serviços'!$A$4:$A$200,0)),"")))</f>
        <v/>
      </c>
      <c r="D398" s="43"/>
      <c r="E398" s="43"/>
      <c r="F398" s="43"/>
      <c r="G398" s="57" t="str">
        <f aca="false">IF($A398="","",E398*IF(F398="",1,F398))</f>
        <v/>
      </c>
      <c r="H398" s="31" t="str">
        <f aca="false">IF($A398="","",IF(SUMIF($A$6:$A$600,$A398,$G$6:$G$600)=0,0,G398/SUMIF($A$6:$A$600,$A398,$G$6:$G$600)))</f>
        <v/>
      </c>
      <c r="I398" s="30" t="str">
        <f aca="false">IF($A398="","",IFERROR(INDEX('Cotação de Materiais'!$H$4:$H$200,MATCH($A398,'Cotação de Materiais'!$A$4:$A$200,0)),IFERROR(INDEX('Mão de Obra e Serviços'!$G$4:$G$200,MATCH($A398,'Mão de Obra e Serviços'!$A$4:$A$200,0)),0)))</f>
        <v/>
      </c>
      <c r="K398" s="30" t="str">
        <f aca="false">IF($A398="","",I398*H398)</f>
        <v/>
      </c>
      <c r="L398" s="58"/>
      <c r="M398" s="54" t="str">
        <f aca="false">IF($A398="","",IF(B398="CÓDIGO?","CÓDIGO NÃO ACHADO",IF($D398="","FALTA ITEM DO ANEXO",IF($D398="INDIRETO","",IF(COUNTIFS('Anexo III'!$B$8:$B$400,$D398,'Anexo III'!$E$8:$E$400,"&gt;0")=0,"ITEM NÃO ACHADO NO ANEXO","")))))</f>
        <v/>
      </c>
    </row>
    <row r="399" customFormat="false" ht="15" hidden="false" customHeight="false" outlineLevel="0" collapsed="false">
      <c r="A399" s="43"/>
      <c r="B399" s="53" t="str">
        <f aca="false">IF($A399="","",IF(ISNUMBER(MATCH($A399,'Cotação de Materiais'!$A$4:$A$200,0)),"MAT",IF(ISNUMBER(MATCH($A399,'Mão de Obra e Serviços'!$A$4:$A$200,0)),"MO","CÓDIGO?")))</f>
        <v/>
      </c>
      <c r="C399" s="54" t="str">
        <f aca="false">IF($A399="","",IFERROR(INDEX('Cotação de Materiais'!$C$4:$C$200,MATCH($A399,'Cotação de Materiais'!$A$4:$A$200,0)),IFERROR(INDEX('Mão de Obra e Serviços'!$B$4:$B$200,MATCH($A399,'Mão de Obra e Serviços'!$A$4:$A$200,0)),"")))</f>
        <v/>
      </c>
      <c r="D399" s="43"/>
      <c r="E399" s="43"/>
      <c r="F399" s="43"/>
      <c r="G399" s="57" t="str">
        <f aca="false">IF($A399="","",E399*IF(F399="",1,F399))</f>
        <v/>
      </c>
      <c r="H399" s="31" t="str">
        <f aca="false">IF($A399="","",IF(SUMIF($A$6:$A$600,$A399,$G$6:$G$600)=0,0,G399/SUMIF($A$6:$A$600,$A399,$G$6:$G$600)))</f>
        <v/>
      </c>
      <c r="I399" s="30" t="str">
        <f aca="false">IF($A399="","",IFERROR(INDEX('Cotação de Materiais'!$H$4:$H$200,MATCH($A399,'Cotação de Materiais'!$A$4:$A$200,0)),IFERROR(INDEX('Mão de Obra e Serviços'!$G$4:$G$200,MATCH($A399,'Mão de Obra e Serviços'!$A$4:$A$200,0)),0)))</f>
        <v/>
      </c>
      <c r="K399" s="30" t="str">
        <f aca="false">IF($A399="","",I399*H399)</f>
        <v/>
      </c>
      <c r="L399" s="58"/>
      <c r="M399" s="54" t="str">
        <f aca="false">IF($A399="","",IF(B399="CÓDIGO?","CÓDIGO NÃO ACHADO",IF($D399="","FALTA ITEM DO ANEXO",IF($D399="INDIRETO","",IF(COUNTIFS('Anexo III'!$B$8:$B$400,$D399,'Anexo III'!$E$8:$E$400,"&gt;0")=0,"ITEM NÃO ACHADO NO ANEXO","")))))</f>
        <v/>
      </c>
    </row>
    <row r="400" customFormat="false" ht="15" hidden="false" customHeight="false" outlineLevel="0" collapsed="false">
      <c r="A400" s="43"/>
      <c r="B400" s="53" t="str">
        <f aca="false">IF($A400="","",IF(ISNUMBER(MATCH($A400,'Cotação de Materiais'!$A$4:$A$200,0)),"MAT",IF(ISNUMBER(MATCH($A400,'Mão de Obra e Serviços'!$A$4:$A$200,0)),"MO","CÓDIGO?")))</f>
        <v/>
      </c>
      <c r="C400" s="54" t="str">
        <f aca="false">IF($A400="","",IFERROR(INDEX('Cotação de Materiais'!$C$4:$C$200,MATCH($A400,'Cotação de Materiais'!$A$4:$A$200,0)),IFERROR(INDEX('Mão de Obra e Serviços'!$B$4:$B$200,MATCH($A400,'Mão de Obra e Serviços'!$A$4:$A$200,0)),"")))</f>
        <v/>
      </c>
      <c r="D400" s="43"/>
      <c r="E400" s="43"/>
      <c r="F400" s="43"/>
      <c r="G400" s="57" t="str">
        <f aca="false">IF($A400="","",E400*IF(F400="",1,F400))</f>
        <v/>
      </c>
      <c r="H400" s="31" t="str">
        <f aca="false">IF($A400="","",IF(SUMIF($A$6:$A$600,$A400,$G$6:$G$600)=0,0,G400/SUMIF($A$6:$A$600,$A400,$G$6:$G$600)))</f>
        <v/>
      </c>
      <c r="I400" s="30" t="str">
        <f aca="false">IF($A400="","",IFERROR(INDEX('Cotação de Materiais'!$H$4:$H$200,MATCH($A400,'Cotação de Materiais'!$A$4:$A$200,0)),IFERROR(INDEX('Mão de Obra e Serviços'!$G$4:$G$200,MATCH($A400,'Mão de Obra e Serviços'!$A$4:$A$200,0)),0)))</f>
        <v/>
      </c>
      <c r="K400" s="30" t="str">
        <f aca="false">IF($A400="","",I400*H400)</f>
        <v/>
      </c>
      <c r="L400" s="58"/>
      <c r="M400" s="54" t="str">
        <f aca="false">IF($A400="","",IF(B400="CÓDIGO?","CÓDIGO NÃO ACHADO",IF($D400="","FALTA ITEM DO ANEXO",IF($D400="INDIRETO","",IF(COUNTIFS('Anexo III'!$B$8:$B$400,$D400,'Anexo III'!$E$8:$E$400,"&gt;0")=0,"ITEM NÃO ACHADO NO ANEXO","")))))</f>
        <v/>
      </c>
    </row>
    <row r="401" customFormat="false" ht="15" hidden="false" customHeight="false" outlineLevel="0" collapsed="false">
      <c r="A401" s="43"/>
      <c r="B401" s="53" t="str">
        <f aca="false">IF($A401="","",IF(ISNUMBER(MATCH($A401,'Cotação de Materiais'!$A$4:$A$200,0)),"MAT",IF(ISNUMBER(MATCH($A401,'Mão de Obra e Serviços'!$A$4:$A$200,0)),"MO","CÓDIGO?")))</f>
        <v/>
      </c>
      <c r="C401" s="54" t="str">
        <f aca="false">IF($A401="","",IFERROR(INDEX('Cotação de Materiais'!$C$4:$C$200,MATCH($A401,'Cotação de Materiais'!$A$4:$A$200,0)),IFERROR(INDEX('Mão de Obra e Serviços'!$B$4:$B$200,MATCH($A401,'Mão de Obra e Serviços'!$A$4:$A$200,0)),"")))</f>
        <v/>
      </c>
      <c r="D401" s="43"/>
      <c r="E401" s="43"/>
      <c r="F401" s="43"/>
      <c r="G401" s="57" t="str">
        <f aca="false">IF($A401="","",E401*IF(F401="",1,F401))</f>
        <v/>
      </c>
      <c r="H401" s="31" t="str">
        <f aca="false">IF($A401="","",IF(SUMIF($A$6:$A$600,$A401,$G$6:$G$600)=0,0,G401/SUMIF($A$6:$A$600,$A401,$G$6:$G$600)))</f>
        <v/>
      </c>
      <c r="I401" s="30" t="str">
        <f aca="false">IF($A401="","",IFERROR(INDEX('Cotação de Materiais'!$H$4:$H$200,MATCH($A401,'Cotação de Materiais'!$A$4:$A$200,0)),IFERROR(INDEX('Mão de Obra e Serviços'!$G$4:$G$200,MATCH($A401,'Mão de Obra e Serviços'!$A$4:$A$200,0)),0)))</f>
        <v/>
      </c>
      <c r="K401" s="30" t="str">
        <f aca="false">IF($A401="","",I401*H401)</f>
        <v/>
      </c>
      <c r="L401" s="58"/>
      <c r="M401" s="54" t="str">
        <f aca="false">IF($A401="","",IF(B401="CÓDIGO?","CÓDIGO NÃO ACHADO",IF($D401="","FALTA ITEM DO ANEXO",IF($D401="INDIRETO","",IF(COUNTIFS('Anexo III'!$B$8:$B$400,$D401,'Anexo III'!$E$8:$E$400,"&gt;0")=0,"ITEM NÃO ACHADO NO ANEXO","")))))</f>
        <v/>
      </c>
    </row>
    <row r="402" customFormat="false" ht="15" hidden="false" customHeight="false" outlineLevel="0" collapsed="false">
      <c r="A402" s="43"/>
      <c r="B402" s="53" t="str">
        <f aca="false">IF($A402="","",IF(ISNUMBER(MATCH($A402,'Cotação de Materiais'!$A$4:$A$200,0)),"MAT",IF(ISNUMBER(MATCH($A402,'Mão de Obra e Serviços'!$A$4:$A$200,0)),"MO","CÓDIGO?")))</f>
        <v/>
      </c>
      <c r="C402" s="54" t="str">
        <f aca="false">IF($A402="","",IFERROR(INDEX('Cotação de Materiais'!$C$4:$C$200,MATCH($A402,'Cotação de Materiais'!$A$4:$A$200,0)),IFERROR(INDEX('Mão de Obra e Serviços'!$B$4:$B$200,MATCH($A402,'Mão de Obra e Serviços'!$A$4:$A$200,0)),"")))</f>
        <v/>
      </c>
      <c r="D402" s="43"/>
      <c r="E402" s="43"/>
      <c r="F402" s="43"/>
      <c r="G402" s="57" t="str">
        <f aca="false">IF($A402="","",E402*IF(F402="",1,F402))</f>
        <v/>
      </c>
      <c r="H402" s="31" t="str">
        <f aca="false">IF($A402="","",IF(SUMIF($A$6:$A$600,$A402,$G$6:$G$600)=0,0,G402/SUMIF($A$6:$A$600,$A402,$G$6:$G$600)))</f>
        <v/>
      </c>
      <c r="I402" s="30" t="str">
        <f aca="false">IF($A402="","",IFERROR(INDEX('Cotação de Materiais'!$H$4:$H$200,MATCH($A402,'Cotação de Materiais'!$A$4:$A$200,0)),IFERROR(INDEX('Mão de Obra e Serviços'!$G$4:$G$200,MATCH($A402,'Mão de Obra e Serviços'!$A$4:$A$200,0)),0)))</f>
        <v/>
      </c>
      <c r="K402" s="30" t="str">
        <f aca="false">IF($A402="","",I402*H402)</f>
        <v/>
      </c>
      <c r="L402" s="58"/>
      <c r="M402" s="54" t="str">
        <f aca="false">IF($A402="","",IF(B402="CÓDIGO?","CÓDIGO NÃO ACHADO",IF($D402="","FALTA ITEM DO ANEXO",IF($D402="INDIRETO","",IF(COUNTIFS('Anexo III'!$B$8:$B$400,$D402,'Anexo III'!$E$8:$E$400,"&gt;0")=0,"ITEM NÃO ACHADO NO ANEXO","")))))</f>
        <v/>
      </c>
    </row>
    <row r="403" customFormat="false" ht="15" hidden="false" customHeight="false" outlineLevel="0" collapsed="false">
      <c r="A403" s="43"/>
      <c r="B403" s="53" t="str">
        <f aca="false">IF($A403="","",IF(ISNUMBER(MATCH($A403,'Cotação de Materiais'!$A$4:$A$200,0)),"MAT",IF(ISNUMBER(MATCH($A403,'Mão de Obra e Serviços'!$A$4:$A$200,0)),"MO","CÓDIGO?")))</f>
        <v/>
      </c>
      <c r="C403" s="54" t="str">
        <f aca="false">IF($A403="","",IFERROR(INDEX('Cotação de Materiais'!$C$4:$C$200,MATCH($A403,'Cotação de Materiais'!$A$4:$A$200,0)),IFERROR(INDEX('Mão de Obra e Serviços'!$B$4:$B$200,MATCH($A403,'Mão de Obra e Serviços'!$A$4:$A$200,0)),"")))</f>
        <v/>
      </c>
      <c r="D403" s="43"/>
      <c r="E403" s="43"/>
      <c r="F403" s="43"/>
      <c r="G403" s="57" t="str">
        <f aca="false">IF($A403="","",E403*IF(F403="",1,F403))</f>
        <v/>
      </c>
      <c r="H403" s="31" t="str">
        <f aca="false">IF($A403="","",IF(SUMIF($A$6:$A$600,$A403,$G$6:$G$600)=0,0,G403/SUMIF($A$6:$A$600,$A403,$G$6:$G$600)))</f>
        <v/>
      </c>
      <c r="I403" s="30" t="str">
        <f aca="false">IF($A403="","",IFERROR(INDEX('Cotação de Materiais'!$H$4:$H$200,MATCH($A403,'Cotação de Materiais'!$A$4:$A$200,0)),IFERROR(INDEX('Mão de Obra e Serviços'!$G$4:$G$200,MATCH($A403,'Mão de Obra e Serviços'!$A$4:$A$200,0)),0)))</f>
        <v/>
      </c>
      <c r="K403" s="30" t="str">
        <f aca="false">IF($A403="","",I403*H403)</f>
        <v/>
      </c>
      <c r="L403" s="58"/>
      <c r="M403" s="54" t="str">
        <f aca="false">IF($A403="","",IF(B403="CÓDIGO?","CÓDIGO NÃO ACHADO",IF($D403="","FALTA ITEM DO ANEXO",IF($D403="INDIRETO","",IF(COUNTIFS('Anexo III'!$B$8:$B$400,$D403,'Anexo III'!$E$8:$E$400,"&gt;0")=0,"ITEM NÃO ACHADO NO ANEXO","")))))</f>
        <v/>
      </c>
    </row>
    <row r="404" customFormat="false" ht="15" hidden="false" customHeight="false" outlineLevel="0" collapsed="false">
      <c r="A404" s="43"/>
      <c r="B404" s="53" t="str">
        <f aca="false">IF($A404="","",IF(ISNUMBER(MATCH($A404,'Cotação de Materiais'!$A$4:$A$200,0)),"MAT",IF(ISNUMBER(MATCH($A404,'Mão de Obra e Serviços'!$A$4:$A$200,0)),"MO","CÓDIGO?")))</f>
        <v/>
      </c>
      <c r="C404" s="54" t="str">
        <f aca="false">IF($A404="","",IFERROR(INDEX('Cotação de Materiais'!$C$4:$C$200,MATCH($A404,'Cotação de Materiais'!$A$4:$A$200,0)),IFERROR(INDEX('Mão de Obra e Serviços'!$B$4:$B$200,MATCH($A404,'Mão de Obra e Serviços'!$A$4:$A$200,0)),"")))</f>
        <v/>
      </c>
      <c r="D404" s="43"/>
      <c r="E404" s="43"/>
      <c r="F404" s="43"/>
      <c r="G404" s="57" t="str">
        <f aca="false">IF($A404="","",E404*IF(F404="",1,F404))</f>
        <v/>
      </c>
      <c r="H404" s="31" t="str">
        <f aca="false">IF($A404="","",IF(SUMIF($A$6:$A$600,$A404,$G$6:$G$600)=0,0,G404/SUMIF($A$6:$A$600,$A404,$G$6:$G$600)))</f>
        <v/>
      </c>
      <c r="I404" s="30" t="str">
        <f aca="false">IF($A404="","",IFERROR(INDEX('Cotação de Materiais'!$H$4:$H$200,MATCH($A404,'Cotação de Materiais'!$A$4:$A$200,0)),IFERROR(INDEX('Mão de Obra e Serviços'!$G$4:$G$200,MATCH($A404,'Mão de Obra e Serviços'!$A$4:$A$200,0)),0)))</f>
        <v/>
      </c>
      <c r="K404" s="30" t="str">
        <f aca="false">IF($A404="","",I404*H404)</f>
        <v/>
      </c>
      <c r="L404" s="58"/>
      <c r="M404" s="54" t="str">
        <f aca="false">IF($A404="","",IF(B404="CÓDIGO?","CÓDIGO NÃO ACHADO",IF($D404="","FALTA ITEM DO ANEXO",IF($D404="INDIRETO","",IF(COUNTIFS('Anexo III'!$B$8:$B$400,$D404,'Anexo III'!$E$8:$E$400,"&gt;0")=0,"ITEM NÃO ACHADO NO ANEXO","")))))</f>
        <v/>
      </c>
    </row>
    <row r="405" customFormat="false" ht="15" hidden="false" customHeight="false" outlineLevel="0" collapsed="false">
      <c r="A405" s="43"/>
      <c r="B405" s="53" t="str">
        <f aca="false">IF($A405="","",IF(ISNUMBER(MATCH($A405,'Cotação de Materiais'!$A$4:$A$200,0)),"MAT",IF(ISNUMBER(MATCH($A405,'Mão de Obra e Serviços'!$A$4:$A$200,0)),"MO","CÓDIGO?")))</f>
        <v/>
      </c>
      <c r="C405" s="54" t="str">
        <f aca="false">IF($A405="","",IFERROR(INDEX('Cotação de Materiais'!$C$4:$C$200,MATCH($A405,'Cotação de Materiais'!$A$4:$A$200,0)),IFERROR(INDEX('Mão de Obra e Serviços'!$B$4:$B$200,MATCH($A405,'Mão de Obra e Serviços'!$A$4:$A$200,0)),"")))</f>
        <v/>
      </c>
      <c r="D405" s="43"/>
      <c r="E405" s="43"/>
      <c r="F405" s="43"/>
      <c r="G405" s="57" t="str">
        <f aca="false">IF($A405="","",E405*IF(F405="",1,F405))</f>
        <v/>
      </c>
      <c r="H405" s="31" t="str">
        <f aca="false">IF($A405="","",IF(SUMIF($A$6:$A$600,$A405,$G$6:$G$600)=0,0,G405/SUMIF($A$6:$A$600,$A405,$G$6:$G$600)))</f>
        <v/>
      </c>
      <c r="I405" s="30" t="str">
        <f aca="false">IF($A405="","",IFERROR(INDEX('Cotação de Materiais'!$H$4:$H$200,MATCH($A405,'Cotação de Materiais'!$A$4:$A$200,0)),IFERROR(INDEX('Mão de Obra e Serviços'!$G$4:$G$200,MATCH($A405,'Mão de Obra e Serviços'!$A$4:$A$200,0)),0)))</f>
        <v/>
      </c>
      <c r="K405" s="30" t="str">
        <f aca="false">IF($A405="","",I405*H405)</f>
        <v/>
      </c>
      <c r="L405" s="58"/>
      <c r="M405" s="54" t="str">
        <f aca="false">IF($A405="","",IF(B405="CÓDIGO?","CÓDIGO NÃO ACHADO",IF($D405="","FALTA ITEM DO ANEXO",IF($D405="INDIRETO","",IF(COUNTIFS('Anexo III'!$B$8:$B$400,$D405,'Anexo III'!$E$8:$E$400,"&gt;0")=0,"ITEM NÃO ACHADO NO ANEXO","")))))</f>
        <v/>
      </c>
    </row>
    <row r="406" customFormat="false" ht="15" hidden="false" customHeight="false" outlineLevel="0" collapsed="false">
      <c r="A406" s="43"/>
      <c r="B406" s="53" t="str">
        <f aca="false">IF($A406="","",IF(ISNUMBER(MATCH($A406,'Cotação de Materiais'!$A$4:$A$200,0)),"MAT",IF(ISNUMBER(MATCH($A406,'Mão de Obra e Serviços'!$A$4:$A$200,0)),"MO","CÓDIGO?")))</f>
        <v/>
      </c>
      <c r="C406" s="54" t="str">
        <f aca="false">IF($A406="","",IFERROR(INDEX('Cotação de Materiais'!$C$4:$C$200,MATCH($A406,'Cotação de Materiais'!$A$4:$A$200,0)),IFERROR(INDEX('Mão de Obra e Serviços'!$B$4:$B$200,MATCH($A406,'Mão de Obra e Serviços'!$A$4:$A$200,0)),"")))</f>
        <v/>
      </c>
      <c r="D406" s="43"/>
      <c r="E406" s="43"/>
      <c r="F406" s="43"/>
      <c r="G406" s="57" t="str">
        <f aca="false">IF($A406="","",E406*IF(F406="",1,F406))</f>
        <v/>
      </c>
      <c r="H406" s="31" t="str">
        <f aca="false">IF($A406="","",IF(SUMIF($A$6:$A$600,$A406,$G$6:$G$600)=0,0,G406/SUMIF($A$6:$A$600,$A406,$G$6:$G$600)))</f>
        <v/>
      </c>
      <c r="I406" s="30" t="str">
        <f aca="false">IF($A406="","",IFERROR(INDEX('Cotação de Materiais'!$H$4:$H$200,MATCH($A406,'Cotação de Materiais'!$A$4:$A$200,0)),IFERROR(INDEX('Mão de Obra e Serviços'!$G$4:$G$200,MATCH($A406,'Mão de Obra e Serviços'!$A$4:$A$200,0)),0)))</f>
        <v/>
      </c>
      <c r="K406" s="30" t="str">
        <f aca="false">IF($A406="","",I406*H406)</f>
        <v/>
      </c>
      <c r="L406" s="58"/>
      <c r="M406" s="54" t="str">
        <f aca="false">IF($A406="","",IF(B406="CÓDIGO?","CÓDIGO NÃO ACHADO",IF($D406="","FALTA ITEM DO ANEXO",IF($D406="INDIRETO","",IF(COUNTIFS('Anexo III'!$B$8:$B$400,$D406,'Anexo III'!$E$8:$E$400,"&gt;0")=0,"ITEM NÃO ACHADO NO ANEXO","")))))</f>
        <v/>
      </c>
    </row>
    <row r="407" customFormat="false" ht="15" hidden="false" customHeight="false" outlineLevel="0" collapsed="false">
      <c r="A407" s="43"/>
      <c r="B407" s="53" t="str">
        <f aca="false">IF($A407="","",IF(ISNUMBER(MATCH($A407,'Cotação de Materiais'!$A$4:$A$200,0)),"MAT",IF(ISNUMBER(MATCH($A407,'Mão de Obra e Serviços'!$A$4:$A$200,0)),"MO","CÓDIGO?")))</f>
        <v/>
      </c>
      <c r="C407" s="54" t="str">
        <f aca="false">IF($A407="","",IFERROR(INDEX('Cotação de Materiais'!$C$4:$C$200,MATCH($A407,'Cotação de Materiais'!$A$4:$A$200,0)),IFERROR(INDEX('Mão de Obra e Serviços'!$B$4:$B$200,MATCH($A407,'Mão de Obra e Serviços'!$A$4:$A$200,0)),"")))</f>
        <v/>
      </c>
      <c r="D407" s="43"/>
      <c r="E407" s="43"/>
      <c r="F407" s="43"/>
      <c r="G407" s="57" t="str">
        <f aca="false">IF($A407="","",E407*IF(F407="",1,F407))</f>
        <v/>
      </c>
      <c r="H407" s="31" t="str">
        <f aca="false">IF($A407="","",IF(SUMIF($A$6:$A$600,$A407,$G$6:$G$600)=0,0,G407/SUMIF($A$6:$A$600,$A407,$G$6:$G$600)))</f>
        <v/>
      </c>
      <c r="I407" s="30" t="str">
        <f aca="false">IF($A407="","",IFERROR(INDEX('Cotação de Materiais'!$H$4:$H$200,MATCH($A407,'Cotação de Materiais'!$A$4:$A$200,0)),IFERROR(INDEX('Mão de Obra e Serviços'!$G$4:$G$200,MATCH($A407,'Mão de Obra e Serviços'!$A$4:$A$200,0)),0)))</f>
        <v/>
      </c>
      <c r="K407" s="30" t="str">
        <f aca="false">IF($A407="","",I407*H407)</f>
        <v/>
      </c>
      <c r="L407" s="58"/>
      <c r="M407" s="54" t="str">
        <f aca="false">IF($A407="","",IF(B407="CÓDIGO?","CÓDIGO NÃO ACHADO",IF($D407="","FALTA ITEM DO ANEXO",IF($D407="INDIRETO","",IF(COUNTIFS('Anexo III'!$B$8:$B$400,$D407,'Anexo III'!$E$8:$E$400,"&gt;0")=0,"ITEM NÃO ACHADO NO ANEXO","")))))</f>
        <v/>
      </c>
    </row>
    <row r="408" customFormat="false" ht="15" hidden="false" customHeight="false" outlineLevel="0" collapsed="false">
      <c r="A408" s="43"/>
      <c r="B408" s="53" t="str">
        <f aca="false">IF($A408="","",IF(ISNUMBER(MATCH($A408,'Cotação de Materiais'!$A$4:$A$200,0)),"MAT",IF(ISNUMBER(MATCH($A408,'Mão de Obra e Serviços'!$A$4:$A$200,0)),"MO","CÓDIGO?")))</f>
        <v/>
      </c>
      <c r="C408" s="54" t="str">
        <f aca="false">IF($A408="","",IFERROR(INDEX('Cotação de Materiais'!$C$4:$C$200,MATCH($A408,'Cotação de Materiais'!$A$4:$A$200,0)),IFERROR(INDEX('Mão de Obra e Serviços'!$B$4:$B$200,MATCH($A408,'Mão de Obra e Serviços'!$A$4:$A$200,0)),"")))</f>
        <v/>
      </c>
      <c r="D408" s="43"/>
      <c r="E408" s="43"/>
      <c r="F408" s="43"/>
      <c r="G408" s="57" t="str">
        <f aca="false">IF($A408="","",E408*IF(F408="",1,F408))</f>
        <v/>
      </c>
      <c r="H408" s="31" t="str">
        <f aca="false">IF($A408="","",IF(SUMIF($A$6:$A$600,$A408,$G$6:$G$600)=0,0,G408/SUMIF($A$6:$A$600,$A408,$G$6:$G$600)))</f>
        <v/>
      </c>
      <c r="I408" s="30" t="str">
        <f aca="false">IF($A408="","",IFERROR(INDEX('Cotação de Materiais'!$H$4:$H$200,MATCH($A408,'Cotação de Materiais'!$A$4:$A$200,0)),IFERROR(INDEX('Mão de Obra e Serviços'!$G$4:$G$200,MATCH($A408,'Mão de Obra e Serviços'!$A$4:$A$200,0)),0)))</f>
        <v/>
      </c>
      <c r="K408" s="30" t="str">
        <f aca="false">IF($A408="","",I408*H408)</f>
        <v/>
      </c>
      <c r="L408" s="58"/>
      <c r="M408" s="54" t="str">
        <f aca="false">IF($A408="","",IF(B408="CÓDIGO?","CÓDIGO NÃO ACHADO",IF($D408="","FALTA ITEM DO ANEXO",IF($D408="INDIRETO","",IF(COUNTIFS('Anexo III'!$B$8:$B$400,$D408,'Anexo III'!$E$8:$E$400,"&gt;0")=0,"ITEM NÃO ACHADO NO ANEXO","")))))</f>
        <v/>
      </c>
    </row>
    <row r="409" customFormat="false" ht="15" hidden="false" customHeight="false" outlineLevel="0" collapsed="false">
      <c r="A409" s="43"/>
      <c r="B409" s="53" t="str">
        <f aca="false">IF($A409="","",IF(ISNUMBER(MATCH($A409,'Cotação de Materiais'!$A$4:$A$200,0)),"MAT",IF(ISNUMBER(MATCH($A409,'Mão de Obra e Serviços'!$A$4:$A$200,0)),"MO","CÓDIGO?")))</f>
        <v/>
      </c>
      <c r="C409" s="54" t="str">
        <f aca="false">IF($A409="","",IFERROR(INDEX('Cotação de Materiais'!$C$4:$C$200,MATCH($A409,'Cotação de Materiais'!$A$4:$A$200,0)),IFERROR(INDEX('Mão de Obra e Serviços'!$B$4:$B$200,MATCH($A409,'Mão de Obra e Serviços'!$A$4:$A$200,0)),"")))</f>
        <v/>
      </c>
      <c r="D409" s="43"/>
      <c r="E409" s="43"/>
      <c r="F409" s="43"/>
      <c r="G409" s="57" t="str">
        <f aca="false">IF($A409="","",E409*IF(F409="",1,F409))</f>
        <v/>
      </c>
      <c r="H409" s="31" t="str">
        <f aca="false">IF($A409="","",IF(SUMIF($A$6:$A$600,$A409,$G$6:$G$600)=0,0,G409/SUMIF($A$6:$A$600,$A409,$G$6:$G$600)))</f>
        <v/>
      </c>
      <c r="I409" s="30" t="str">
        <f aca="false">IF($A409="","",IFERROR(INDEX('Cotação de Materiais'!$H$4:$H$200,MATCH($A409,'Cotação de Materiais'!$A$4:$A$200,0)),IFERROR(INDEX('Mão de Obra e Serviços'!$G$4:$G$200,MATCH($A409,'Mão de Obra e Serviços'!$A$4:$A$200,0)),0)))</f>
        <v/>
      </c>
      <c r="K409" s="30" t="str">
        <f aca="false">IF($A409="","",I409*H409)</f>
        <v/>
      </c>
      <c r="L409" s="58"/>
      <c r="M409" s="54" t="str">
        <f aca="false">IF($A409="","",IF(B409="CÓDIGO?","CÓDIGO NÃO ACHADO",IF($D409="","FALTA ITEM DO ANEXO",IF($D409="INDIRETO","",IF(COUNTIFS('Anexo III'!$B$8:$B$400,$D409,'Anexo III'!$E$8:$E$400,"&gt;0")=0,"ITEM NÃO ACHADO NO ANEXO","")))))</f>
        <v/>
      </c>
    </row>
    <row r="410" customFormat="false" ht="15" hidden="false" customHeight="false" outlineLevel="0" collapsed="false">
      <c r="A410" s="43"/>
      <c r="B410" s="53" t="str">
        <f aca="false">IF($A410="","",IF(ISNUMBER(MATCH($A410,'Cotação de Materiais'!$A$4:$A$200,0)),"MAT",IF(ISNUMBER(MATCH($A410,'Mão de Obra e Serviços'!$A$4:$A$200,0)),"MO","CÓDIGO?")))</f>
        <v/>
      </c>
      <c r="C410" s="54" t="str">
        <f aca="false">IF($A410="","",IFERROR(INDEX('Cotação de Materiais'!$C$4:$C$200,MATCH($A410,'Cotação de Materiais'!$A$4:$A$200,0)),IFERROR(INDEX('Mão de Obra e Serviços'!$B$4:$B$200,MATCH($A410,'Mão de Obra e Serviços'!$A$4:$A$200,0)),"")))</f>
        <v/>
      </c>
      <c r="D410" s="43"/>
      <c r="E410" s="43"/>
      <c r="F410" s="43"/>
      <c r="G410" s="57" t="str">
        <f aca="false">IF($A410="","",E410*IF(F410="",1,F410))</f>
        <v/>
      </c>
      <c r="H410" s="31" t="str">
        <f aca="false">IF($A410="","",IF(SUMIF($A$6:$A$600,$A410,$G$6:$G$600)=0,0,G410/SUMIF($A$6:$A$600,$A410,$G$6:$G$600)))</f>
        <v/>
      </c>
      <c r="I410" s="30" t="str">
        <f aca="false">IF($A410="","",IFERROR(INDEX('Cotação de Materiais'!$H$4:$H$200,MATCH($A410,'Cotação de Materiais'!$A$4:$A$200,0)),IFERROR(INDEX('Mão de Obra e Serviços'!$G$4:$G$200,MATCH($A410,'Mão de Obra e Serviços'!$A$4:$A$200,0)),0)))</f>
        <v/>
      </c>
      <c r="K410" s="30" t="str">
        <f aca="false">IF($A410="","",I410*H410)</f>
        <v/>
      </c>
      <c r="L410" s="58"/>
      <c r="M410" s="54" t="str">
        <f aca="false">IF($A410="","",IF(B410="CÓDIGO?","CÓDIGO NÃO ACHADO",IF($D410="","FALTA ITEM DO ANEXO",IF($D410="INDIRETO","",IF(COUNTIFS('Anexo III'!$B$8:$B$400,$D410,'Anexo III'!$E$8:$E$400,"&gt;0")=0,"ITEM NÃO ACHADO NO ANEXO","")))))</f>
        <v/>
      </c>
    </row>
    <row r="411" customFormat="false" ht="15" hidden="false" customHeight="false" outlineLevel="0" collapsed="false">
      <c r="A411" s="43"/>
      <c r="B411" s="53" t="str">
        <f aca="false">IF($A411="","",IF(ISNUMBER(MATCH($A411,'Cotação de Materiais'!$A$4:$A$200,0)),"MAT",IF(ISNUMBER(MATCH($A411,'Mão de Obra e Serviços'!$A$4:$A$200,0)),"MO","CÓDIGO?")))</f>
        <v/>
      </c>
      <c r="C411" s="54" t="str">
        <f aca="false">IF($A411="","",IFERROR(INDEX('Cotação de Materiais'!$C$4:$C$200,MATCH($A411,'Cotação de Materiais'!$A$4:$A$200,0)),IFERROR(INDEX('Mão de Obra e Serviços'!$B$4:$B$200,MATCH($A411,'Mão de Obra e Serviços'!$A$4:$A$200,0)),"")))</f>
        <v/>
      </c>
      <c r="D411" s="43"/>
      <c r="E411" s="43"/>
      <c r="F411" s="43"/>
      <c r="G411" s="57" t="str">
        <f aca="false">IF($A411="","",E411*IF(F411="",1,F411))</f>
        <v/>
      </c>
      <c r="H411" s="31" t="str">
        <f aca="false">IF($A411="","",IF(SUMIF($A$6:$A$600,$A411,$G$6:$G$600)=0,0,G411/SUMIF($A$6:$A$600,$A411,$G$6:$G$600)))</f>
        <v/>
      </c>
      <c r="I411" s="30" t="str">
        <f aca="false">IF($A411="","",IFERROR(INDEX('Cotação de Materiais'!$H$4:$H$200,MATCH($A411,'Cotação de Materiais'!$A$4:$A$200,0)),IFERROR(INDEX('Mão de Obra e Serviços'!$G$4:$G$200,MATCH($A411,'Mão de Obra e Serviços'!$A$4:$A$200,0)),0)))</f>
        <v/>
      </c>
      <c r="K411" s="30" t="str">
        <f aca="false">IF($A411="","",I411*H411)</f>
        <v/>
      </c>
      <c r="L411" s="58"/>
      <c r="M411" s="54" t="str">
        <f aca="false">IF($A411="","",IF(B411="CÓDIGO?","CÓDIGO NÃO ACHADO",IF($D411="","FALTA ITEM DO ANEXO",IF($D411="INDIRETO","",IF(COUNTIFS('Anexo III'!$B$8:$B$400,$D411,'Anexo III'!$E$8:$E$400,"&gt;0")=0,"ITEM NÃO ACHADO NO ANEXO","")))))</f>
        <v/>
      </c>
    </row>
    <row r="412" customFormat="false" ht="15" hidden="false" customHeight="false" outlineLevel="0" collapsed="false">
      <c r="A412" s="43"/>
      <c r="B412" s="53" t="str">
        <f aca="false">IF($A412="","",IF(ISNUMBER(MATCH($A412,'Cotação de Materiais'!$A$4:$A$200,0)),"MAT",IF(ISNUMBER(MATCH($A412,'Mão de Obra e Serviços'!$A$4:$A$200,0)),"MO","CÓDIGO?")))</f>
        <v/>
      </c>
      <c r="C412" s="54" t="str">
        <f aca="false">IF($A412="","",IFERROR(INDEX('Cotação de Materiais'!$C$4:$C$200,MATCH($A412,'Cotação de Materiais'!$A$4:$A$200,0)),IFERROR(INDEX('Mão de Obra e Serviços'!$B$4:$B$200,MATCH($A412,'Mão de Obra e Serviços'!$A$4:$A$200,0)),"")))</f>
        <v/>
      </c>
      <c r="D412" s="43"/>
      <c r="E412" s="43"/>
      <c r="F412" s="43"/>
      <c r="G412" s="57" t="str">
        <f aca="false">IF($A412="","",E412*IF(F412="",1,F412))</f>
        <v/>
      </c>
      <c r="H412" s="31" t="str">
        <f aca="false">IF($A412="","",IF(SUMIF($A$6:$A$600,$A412,$G$6:$G$600)=0,0,G412/SUMIF($A$6:$A$600,$A412,$G$6:$G$600)))</f>
        <v/>
      </c>
      <c r="I412" s="30" t="str">
        <f aca="false">IF($A412="","",IFERROR(INDEX('Cotação de Materiais'!$H$4:$H$200,MATCH($A412,'Cotação de Materiais'!$A$4:$A$200,0)),IFERROR(INDEX('Mão de Obra e Serviços'!$G$4:$G$200,MATCH($A412,'Mão de Obra e Serviços'!$A$4:$A$200,0)),0)))</f>
        <v/>
      </c>
      <c r="K412" s="30" t="str">
        <f aca="false">IF($A412="","",I412*H412)</f>
        <v/>
      </c>
      <c r="L412" s="58"/>
      <c r="M412" s="54" t="str">
        <f aca="false">IF($A412="","",IF(B412="CÓDIGO?","CÓDIGO NÃO ACHADO",IF($D412="","FALTA ITEM DO ANEXO",IF($D412="INDIRETO","",IF(COUNTIFS('Anexo III'!$B$8:$B$400,$D412,'Anexo III'!$E$8:$E$400,"&gt;0")=0,"ITEM NÃO ACHADO NO ANEXO","")))))</f>
        <v/>
      </c>
    </row>
    <row r="413" customFormat="false" ht="15" hidden="false" customHeight="false" outlineLevel="0" collapsed="false">
      <c r="A413" s="43"/>
      <c r="B413" s="53" t="str">
        <f aca="false">IF($A413="","",IF(ISNUMBER(MATCH($A413,'Cotação de Materiais'!$A$4:$A$200,0)),"MAT",IF(ISNUMBER(MATCH($A413,'Mão de Obra e Serviços'!$A$4:$A$200,0)),"MO","CÓDIGO?")))</f>
        <v/>
      </c>
      <c r="C413" s="54" t="str">
        <f aca="false">IF($A413="","",IFERROR(INDEX('Cotação de Materiais'!$C$4:$C$200,MATCH($A413,'Cotação de Materiais'!$A$4:$A$200,0)),IFERROR(INDEX('Mão de Obra e Serviços'!$B$4:$B$200,MATCH($A413,'Mão de Obra e Serviços'!$A$4:$A$200,0)),"")))</f>
        <v/>
      </c>
      <c r="D413" s="43"/>
      <c r="E413" s="43"/>
      <c r="F413" s="43"/>
      <c r="G413" s="57" t="str">
        <f aca="false">IF($A413="","",E413*IF(F413="",1,F413))</f>
        <v/>
      </c>
      <c r="H413" s="31" t="str">
        <f aca="false">IF($A413="","",IF(SUMIF($A$6:$A$600,$A413,$G$6:$G$600)=0,0,G413/SUMIF($A$6:$A$600,$A413,$G$6:$G$600)))</f>
        <v/>
      </c>
      <c r="I413" s="30" t="str">
        <f aca="false">IF($A413="","",IFERROR(INDEX('Cotação de Materiais'!$H$4:$H$200,MATCH($A413,'Cotação de Materiais'!$A$4:$A$200,0)),IFERROR(INDEX('Mão de Obra e Serviços'!$G$4:$G$200,MATCH($A413,'Mão de Obra e Serviços'!$A$4:$A$200,0)),0)))</f>
        <v/>
      </c>
      <c r="K413" s="30" t="str">
        <f aca="false">IF($A413="","",I413*H413)</f>
        <v/>
      </c>
      <c r="L413" s="58"/>
      <c r="M413" s="54" t="str">
        <f aca="false">IF($A413="","",IF(B413="CÓDIGO?","CÓDIGO NÃO ACHADO",IF($D413="","FALTA ITEM DO ANEXO",IF($D413="INDIRETO","",IF(COUNTIFS('Anexo III'!$B$8:$B$400,$D413,'Anexo III'!$E$8:$E$400,"&gt;0")=0,"ITEM NÃO ACHADO NO ANEXO","")))))</f>
        <v/>
      </c>
    </row>
    <row r="414" customFormat="false" ht="15" hidden="false" customHeight="false" outlineLevel="0" collapsed="false">
      <c r="A414" s="43"/>
      <c r="B414" s="53" t="str">
        <f aca="false">IF($A414="","",IF(ISNUMBER(MATCH($A414,'Cotação de Materiais'!$A$4:$A$200,0)),"MAT",IF(ISNUMBER(MATCH($A414,'Mão de Obra e Serviços'!$A$4:$A$200,0)),"MO","CÓDIGO?")))</f>
        <v/>
      </c>
      <c r="C414" s="54" t="str">
        <f aca="false">IF($A414="","",IFERROR(INDEX('Cotação de Materiais'!$C$4:$C$200,MATCH($A414,'Cotação de Materiais'!$A$4:$A$200,0)),IFERROR(INDEX('Mão de Obra e Serviços'!$B$4:$B$200,MATCH($A414,'Mão de Obra e Serviços'!$A$4:$A$200,0)),"")))</f>
        <v/>
      </c>
      <c r="D414" s="43"/>
      <c r="E414" s="43"/>
      <c r="F414" s="43"/>
      <c r="G414" s="57" t="str">
        <f aca="false">IF($A414="","",E414*IF(F414="",1,F414))</f>
        <v/>
      </c>
      <c r="H414" s="31" t="str">
        <f aca="false">IF($A414="","",IF(SUMIF($A$6:$A$600,$A414,$G$6:$G$600)=0,0,G414/SUMIF($A$6:$A$600,$A414,$G$6:$G$600)))</f>
        <v/>
      </c>
      <c r="I414" s="30" t="str">
        <f aca="false">IF($A414="","",IFERROR(INDEX('Cotação de Materiais'!$H$4:$H$200,MATCH($A414,'Cotação de Materiais'!$A$4:$A$200,0)),IFERROR(INDEX('Mão de Obra e Serviços'!$G$4:$G$200,MATCH($A414,'Mão de Obra e Serviços'!$A$4:$A$200,0)),0)))</f>
        <v/>
      </c>
      <c r="K414" s="30" t="str">
        <f aca="false">IF($A414="","",I414*H414)</f>
        <v/>
      </c>
      <c r="L414" s="58"/>
      <c r="M414" s="54" t="str">
        <f aca="false">IF($A414="","",IF(B414="CÓDIGO?","CÓDIGO NÃO ACHADO",IF($D414="","FALTA ITEM DO ANEXO",IF($D414="INDIRETO","",IF(COUNTIFS('Anexo III'!$B$8:$B$400,$D414,'Anexo III'!$E$8:$E$400,"&gt;0")=0,"ITEM NÃO ACHADO NO ANEXO","")))))</f>
        <v/>
      </c>
    </row>
    <row r="415" customFormat="false" ht="15" hidden="false" customHeight="false" outlineLevel="0" collapsed="false">
      <c r="A415" s="43"/>
      <c r="B415" s="53" t="str">
        <f aca="false">IF($A415="","",IF(ISNUMBER(MATCH($A415,'Cotação de Materiais'!$A$4:$A$200,0)),"MAT",IF(ISNUMBER(MATCH($A415,'Mão de Obra e Serviços'!$A$4:$A$200,0)),"MO","CÓDIGO?")))</f>
        <v/>
      </c>
      <c r="C415" s="54" t="str">
        <f aca="false">IF($A415="","",IFERROR(INDEX('Cotação de Materiais'!$C$4:$C$200,MATCH($A415,'Cotação de Materiais'!$A$4:$A$200,0)),IFERROR(INDEX('Mão de Obra e Serviços'!$B$4:$B$200,MATCH($A415,'Mão de Obra e Serviços'!$A$4:$A$200,0)),"")))</f>
        <v/>
      </c>
      <c r="D415" s="43"/>
      <c r="E415" s="43"/>
      <c r="F415" s="43"/>
      <c r="G415" s="57" t="str">
        <f aca="false">IF($A415="","",E415*IF(F415="",1,F415))</f>
        <v/>
      </c>
      <c r="H415" s="31" t="str">
        <f aca="false">IF($A415="","",IF(SUMIF($A$6:$A$600,$A415,$G$6:$G$600)=0,0,G415/SUMIF($A$6:$A$600,$A415,$G$6:$G$600)))</f>
        <v/>
      </c>
      <c r="I415" s="30" t="str">
        <f aca="false">IF($A415="","",IFERROR(INDEX('Cotação de Materiais'!$H$4:$H$200,MATCH($A415,'Cotação de Materiais'!$A$4:$A$200,0)),IFERROR(INDEX('Mão de Obra e Serviços'!$G$4:$G$200,MATCH($A415,'Mão de Obra e Serviços'!$A$4:$A$200,0)),0)))</f>
        <v/>
      </c>
      <c r="K415" s="30" t="str">
        <f aca="false">IF($A415="","",I415*H415)</f>
        <v/>
      </c>
      <c r="L415" s="58"/>
      <c r="M415" s="54" t="str">
        <f aca="false">IF($A415="","",IF(B415="CÓDIGO?","CÓDIGO NÃO ACHADO",IF($D415="","FALTA ITEM DO ANEXO",IF($D415="INDIRETO","",IF(COUNTIFS('Anexo III'!$B$8:$B$400,$D415,'Anexo III'!$E$8:$E$400,"&gt;0")=0,"ITEM NÃO ACHADO NO ANEXO","")))))</f>
        <v/>
      </c>
    </row>
    <row r="416" customFormat="false" ht="15" hidden="false" customHeight="false" outlineLevel="0" collapsed="false">
      <c r="A416" s="43"/>
      <c r="B416" s="53" t="str">
        <f aca="false">IF($A416="","",IF(ISNUMBER(MATCH($A416,'Cotação de Materiais'!$A$4:$A$200,0)),"MAT",IF(ISNUMBER(MATCH($A416,'Mão de Obra e Serviços'!$A$4:$A$200,0)),"MO","CÓDIGO?")))</f>
        <v/>
      </c>
      <c r="C416" s="54" t="str">
        <f aca="false">IF($A416="","",IFERROR(INDEX('Cotação de Materiais'!$C$4:$C$200,MATCH($A416,'Cotação de Materiais'!$A$4:$A$200,0)),IFERROR(INDEX('Mão de Obra e Serviços'!$B$4:$B$200,MATCH($A416,'Mão de Obra e Serviços'!$A$4:$A$200,0)),"")))</f>
        <v/>
      </c>
      <c r="D416" s="43"/>
      <c r="E416" s="43"/>
      <c r="F416" s="43"/>
      <c r="G416" s="57" t="str">
        <f aca="false">IF($A416="","",E416*IF(F416="",1,F416))</f>
        <v/>
      </c>
      <c r="H416" s="31" t="str">
        <f aca="false">IF($A416="","",IF(SUMIF($A$6:$A$600,$A416,$G$6:$G$600)=0,0,G416/SUMIF($A$6:$A$600,$A416,$G$6:$G$600)))</f>
        <v/>
      </c>
      <c r="I416" s="30" t="str">
        <f aca="false">IF($A416="","",IFERROR(INDEX('Cotação de Materiais'!$H$4:$H$200,MATCH($A416,'Cotação de Materiais'!$A$4:$A$200,0)),IFERROR(INDEX('Mão de Obra e Serviços'!$G$4:$G$200,MATCH($A416,'Mão de Obra e Serviços'!$A$4:$A$200,0)),0)))</f>
        <v/>
      </c>
      <c r="K416" s="30" t="str">
        <f aca="false">IF($A416="","",I416*H416)</f>
        <v/>
      </c>
      <c r="L416" s="58"/>
      <c r="M416" s="54" t="str">
        <f aca="false">IF($A416="","",IF(B416="CÓDIGO?","CÓDIGO NÃO ACHADO",IF($D416="","FALTA ITEM DO ANEXO",IF($D416="INDIRETO","",IF(COUNTIFS('Anexo III'!$B$8:$B$400,$D416,'Anexo III'!$E$8:$E$400,"&gt;0")=0,"ITEM NÃO ACHADO NO ANEXO","")))))</f>
        <v/>
      </c>
    </row>
    <row r="417" customFormat="false" ht="15" hidden="false" customHeight="false" outlineLevel="0" collapsed="false">
      <c r="A417" s="43"/>
      <c r="B417" s="53" t="str">
        <f aca="false">IF($A417="","",IF(ISNUMBER(MATCH($A417,'Cotação de Materiais'!$A$4:$A$200,0)),"MAT",IF(ISNUMBER(MATCH($A417,'Mão de Obra e Serviços'!$A$4:$A$200,0)),"MO","CÓDIGO?")))</f>
        <v/>
      </c>
      <c r="C417" s="54" t="str">
        <f aca="false">IF($A417="","",IFERROR(INDEX('Cotação de Materiais'!$C$4:$C$200,MATCH($A417,'Cotação de Materiais'!$A$4:$A$200,0)),IFERROR(INDEX('Mão de Obra e Serviços'!$B$4:$B$200,MATCH($A417,'Mão de Obra e Serviços'!$A$4:$A$200,0)),"")))</f>
        <v/>
      </c>
      <c r="D417" s="43"/>
      <c r="E417" s="43"/>
      <c r="F417" s="43"/>
      <c r="G417" s="57" t="str">
        <f aca="false">IF($A417="","",E417*IF(F417="",1,F417))</f>
        <v/>
      </c>
      <c r="H417" s="31" t="str">
        <f aca="false">IF($A417="","",IF(SUMIF($A$6:$A$600,$A417,$G$6:$G$600)=0,0,G417/SUMIF($A$6:$A$600,$A417,$G$6:$G$600)))</f>
        <v/>
      </c>
      <c r="I417" s="30" t="str">
        <f aca="false">IF($A417="","",IFERROR(INDEX('Cotação de Materiais'!$H$4:$H$200,MATCH($A417,'Cotação de Materiais'!$A$4:$A$200,0)),IFERROR(INDEX('Mão de Obra e Serviços'!$G$4:$G$200,MATCH($A417,'Mão de Obra e Serviços'!$A$4:$A$200,0)),0)))</f>
        <v/>
      </c>
      <c r="K417" s="30" t="str">
        <f aca="false">IF($A417="","",I417*H417)</f>
        <v/>
      </c>
      <c r="L417" s="58"/>
      <c r="M417" s="54" t="str">
        <f aca="false">IF($A417="","",IF(B417="CÓDIGO?","CÓDIGO NÃO ACHADO",IF($D417="","FALTA ITEM DO ANEXO",IF($D417="INDIRETO","",IF(COUNTIFS('Anexo III'!$B$8:$B$400,$D417,'Anexo III'!$E$8:$E$400,"&gt;0")=0,"ITEM NÃO ACHADO NO ANEXO","")))))</f>
        <v/>
      </c>
    </row>
    <row r="418" customFormat="false" ht="15" hidden="false" customHeight="false" outlineLevel="0" collapsed="false">
      <c r="A418" s="43"/>
      <c r="B418" s="53" t="str">
        <f aca="false">IF($A418="","",IF(ISNUMBER(MATCH($A418,'Cotação de Materiais'!$A$4:$A$200,0)),"MAT",IF(ISNUMBER(MATCH($A418,'Mão de Obra e Serviços'!$A$4:$A$200,0)),"MO","CÓDIGO?")))</f>
        <v/>
      </c>
      <c r="C418" s="54" t="str">
        <f aca="false">IF($A418="","",IFERROR(INDEX('Cotação de Materiais'!$C$4:$C$200,MATCH($A418,'Cotação de Materiais'!$A$4:$A$200,0)),IFERROR(INDEX('Mão de Obra e Serviços'!$B$4:$B$200,MATCH($A418,'Mão de Obra e Serviços'!$A$4:$A$200,0)),"")))</f>
        <v/>
      </c>
      <c r="D418" s="43"/>
      <c r="E418" s="43"/>
      <c r="F418" s="43"/>
      <c r="G418" s="57" t="str">
        <f aca="false">IF($A418="","",E418*IF(F418="",1,F418))</f>
        <v/>
      </c>
      <c r="H418" s="31" t="str">
        <f aca="false">IF($A418="","",IF(SUMIF($A$6:$A$600,$A418,$G$6:$G$600)=0,0,G418/SUMIF($A$6:$A$600,$A418,$G$6:$G$600)))</f>
        <v/>
      </c>
      <c r="I418" s="30" t="str">
        <f aca="false">IF($A418="","",IFERROR(INDEX('Cotação de Materiais'!$H$4:$H$200,MATCH($A418,'Cotação de Materiais'!$A$4:$A$200,0)),IFERROR(INDEX('Mão de Obra e Serviços'!$G$4:$G$200,MATCH($A418,'Mão de Obra e Serviços'!$A$4:$A$200,0)),0)))</f>
        <v/>
      </c>
      <c r="K418" s="30" t="str">
        <f aca="false">IF($A418="","",I418*H418)</f>
        <v/>
      </c>
      <c r="L418" s="58"/>
      <c r="M418" s="54" t="str">
        <f aca="false">IF($A418="","",IF(B418="CÓDIGO?","CÓDIGO NÃO ACHADO",IF($D418="","FALTA ITEM DO ANEXO",IF($D418="INDIRETO","",IF(COUNTIFS('Anexo III'!$B$8:$B$400,$D418,'Anexo III'!$E$8:$E$400,"&gt;0")=0,"ITEM NÃO ACHADO NO ANEXO","")))))</f>
        <v/>
      </c>
    </row>
    <row r="419" customFormat="false" ht="15" hidden="false" customHeight="false" outlineLevel="0" collapsed="false">
      <c r="A419" s="43"/>
      <c r="B419" s="53" t="str">
        <f aca="false">IF($A419="","",IF(ISNUMBER(MATCH($A419,'Cotação de Materiais'!$A$4:$A$200,0)),"MAT",IF(ISNUMBER(MATCH($A419,'Mão de Obra e Serviços'!$A$4:$A$200,0)),"MO","CÓDIGO?")))</f>
        <v/>
      </c>
      <c r="C419" s="54" t="str">
        <f aca="false">IF($A419="","",IFERROR(INDEX('Cotação de Materiais'!$C$4:$C$200,MATCH($A419,'Cotação de Materiais'!$A$4:$A$200,0)),IFERROR(INDEX('Mão de Obra e Serviços'!$B$4:$B$200,MATCH($A419,'Mão de Obra e Serviços'!$A$4:$A$200,0)),"")))</f>
        <v/>
      </c>
      <c r="D419" s="43"/>
      <c r="E419" s="43"/>
      <c r="F419" s="43"/>
      <c r="G419" s="57" t="str">
        <f aca="false">IF($A419="","",E419*IF(F419="",1,F419))</f>
        <v/>
      </c>
      <c r="H419" s="31" t="str">
        <f aca="false">IF($A419="","",IF(SUMIF($A$6:$A$600,$A419,$G$6:$G$600)=0,0,G419/SUMIF($A$6:$A$600,$A419,$G$6:$G$600)))</f>
        <v/>
      </c>
      <c r="I419" s="30" t="str">
        <f aca="false">IF($A419="","",IFERROR(INDEX('Cotação de Materiais'!$H$4:$H$200,MATCH($A419,'Cotação de Materiais'!$A$4:$A$200,0)),IFERROR(INDEX('Mão de Obra e Serviços'!$G$4:$G$200,MATCH($A419,'Mão de Obra e Serviços'!$A$4:$A$200,0)),0)))</f>
        <v/>
      </c>
      <c r="K419" s="30" t="str">
        <f aca="false">IF($A419="","",I419*H419)</f>
        <v/>
      </c>
      <c r="L419" s="58"/>
      <c r="M419" s="54" t="str">
        <f aca="false">IF($A419="","",IF(B419="CÓDIGO?","CÓDIGO NÃO ACHADO",IF($D419="","FALTA ITEM DO ANEXO",IF($D419="INDIRETO","",IF(COUNTIFS('Anexo III'!$B$8:$B$400,$D419,'Anexo III'!$E$8:$E$400,"&gt;0")=0,"ITEM NÃO ACHADO NO ANEXO","")))))</f>
        <v/>
      </c>
    </row>
    <row r="420" customFormat="false" ht="15" hidden="false" customHeight="false" outlineLevel="0" collapsed="false">
      <c r="A420" s="43"/>
      <c r="B420" s="53" t="str">
        <f aca="false">IF($A420="","",IF(ISNUMBER(MATCH($A420,'Cotação de Materiais'!$A$4:$A$200,0)),"MAT",IF(ISNUMBER(MATCH($A420,'Mão de Obra e Serviços'!$A$4:$A$200,0)),"MO","CÓDIGO?")))</f>
        <v/>
      </c>
      <c r="C420" s="54" t="str">
        <f aca="false">IF($A420="","",IFERROR(INDEX('Cotação de Materiais'!$C$4:$C$200,MATCH($A420,'Cotação de Materiais'!$A$4:$A$200,0)),IFERROR(INDEX('Mão de Obra e Serviços'!$B$4:$B$200,MATCH($A420,'Mão de Obra e Serviços'!$A$4:$A$200,0)),"")))</f>
        <v/>
      </c>
      <c r="D420" s="43"/>
      <c r="E420" s="43"/>
      <c r="F420" s="43"/>
      <c r="G420" s="57" t="str">
        <f aca="false">IF($A420="","",E420*IF(F420="",1,F420))</f>
        <v/>
      </c>
      <c r="H420" s="31" t="str">
        <f aca="false">IF($A420="","",IF(SUMIF($A$6:$A$600,$A420,$G$6:$G$600)=0,0,G420/SUMIF($A$6:$A$600,$A420,$G$6:$G$600)))</f>
        <v/>
      </c>
      <c r="I420" s="30" t="str">
        <f aca="false">IF($A420="","",IFERROR(INDEX('Cotação de Materiais'!$H$4:$H$200,MATCH($A420,'Cotação de Materiais'!$A$4:$A$200,0)),IFERROR(INDEX('Mão de Obra e Serviços'!$G$4:$G$200,MATCH($A420,'Mão de Obra e Serviços'!$A$4:$A$200,0)),0)))</f>
        <v/>
      </c>
      <c r="K420" s="30" t="str">
        <f aca="false">IF($A420="","",I420*H420)</f>
        <v/>
      </c>
      <c r="L420" s="58"/>
      <c r="M420" s="54" t="str">
        <f aca="false">IF($A420="","",IF(B420="CÓDIGO?","CÓDIGO NÃO ACHADO",IF($D420="","FALTA ITEM DO ANEXO",IF($D420="INDIRETO","",IF(COUNTIFS('Anexo III'!$B$8:$B$400,$D420,'Anexo III'!$E$8:$E$400,"&gt;0")=0,"ITEM NÃO ACHADO NO ANEXO","")))))</f>
        <v/>
      </c>
    </row>
    <row r="421" customFormat="false" ht="15" hidden="false" customHeight="false" outlineLevel="0" collapsed="false">
      <c r="A421" s="43"/>
      <c r="B421" s="53" t="str">
        <f aca="false">IF($A421="","",IF(ISNUMBER(MATCH($A421,'Cotação de Materiais'!$A$4:$A$200,0)),"MAT",IF(ISNUMBER(MATCH($A421,'Mão de Obra e Serviços'!$A$4:$A$200,0)),"MO","CÓDIGO?")))</f>
        <v/>
      </c>
      <c r="C421" s="54" t="str">
        <f aca="false">IF($A421="","",IFERROR(INDEX('Cotação de Materiais'!$C$4:$C$200,MATCH($A421,'Cotação de Materiais'!$A$4:$A$200,0)),IFERROR(INDEX('Mão de Obra e Serviços'!$B$4:$B$200,MATCH($A421,'Mão de Obra e Serviços'!$A$4:$A$200,0)),"")))</f>
        <v/>
      </c>
      <c r="D421" s="43"/>
      <c r="E421" s="43"/>
      <c r="F421" s="43"/>
      <c r="G421" s="57" t="str">
        <f aca="false">IF($A421="","",E421*IF(F421="",1,F421))</f>
        <v/>
      </c>
      <c r="H421" s="31" t="str">
        <f aca="false">IF($A421="","",IF(SUMIF($A$6:$A$600,$A421,$G$6:$G$600)=0,0,G421/SUMIF($A$6:$A$600,$A421,$G$6:$G$600)))</f>
        <v/>
      </c>
      <c r="I421" s="30" t="str">
        <f aca="false">IF($A421="","",IFERROR(INDEX('Cotação de Materiais'!$H$4:$H$200,MATCH($A421,'Cotação de Materiais'!$A$4:$A$200,0)),IFERROR(INDEX('Mão de Obra e Serviços'!$G$4:$G$200,MATCH($A421,'Mão de Obra e Serviços'!$A$4:$A$200,0)),0)))</f>
        <v/>
      </c>
      <c r="K421" s="30" t="str">
        <f aca="false">IF($A421="","",I421*H421)</f>
        <v/>
      </c>
      <c r="L421" s="58"/>
      <c r="M421" s="54" t="str">
        <f aca="false">IF($A421="","",IF(B421="CÓDIGO?","CÓDIGO NÃO ACHADO",IF($D421="","FALTA ITEM DO ANEXO",IF($D421="INDIRETO","",IF(COUNTIFS('Anexo III'!$B$8:$B$400,$D421,'Anexo III'!$E$8:$E$400,"&gt;0")=0,"ITEM NÃO ACHADO NO ANEXO","")))))</f>
        <v/>
      </c>
    </row>
    <row r="422" customFormat="false" ht="15" hidden="false" customHeight="false" outlineLevel="0" collapsed="false">
      <c r="A422" s="43"/>
      <c r="B422" s="53" t="str">
        <f aca="false">IF($A422="","",IF(ISNUMBER(MATCH($A422,'Cotação de Materiais'!$A$4:$A$200,0)),"MAT",IF(ISNUMBER(MATCH($A422,'Mão de Obra e Serviços'!$A$4:$A$200,0)),"MO","CÓDIGO?")))</f>
        <v/>
      </c>
      <c r="C422" s="54" t="str">
        <f aca="false">IF($A422="","",IFERROR(INDEX('Cotação de Materiais'!$C$4:$C$200,MATCH($A422,'Cotação de Materiais'!$A$4:$A$200,0)),IFERROR(INDEX('Mão de Obra e Serviços'!$B$4:$B$200,MATCH($A422,'Mão de Obra e Serviços'!$A$4:$A$200,0)),"")))</f>
        <v/>
      </c>
      <c r="D422" s="43"/>
      <c r="E422" s="43"/>
      <c r="F422" s="43"/>
      <c r="G422" s="57" t="str">
        <f aca="false">IF($A422="","",E422*IF(F422="",1,F422))</f>
        <v/>
      </c>
      <c r="H422" s="31" t="str">
        <f aca="false">IF($A422="","",IF(SUMIF($A$6:$A$600,$A422,$G$6:$G$600)=0,0,G422/SUMIF($A$6:$A$600,$A422,$G$6:$G$600)))</f>
        <v/>
      </c>
      <c r="I422" s="30" t="str">
        <f aca="false">IF($A422="","",IFERROR(INDEX('Cotação de Materiais'!$H$4:$H$200,MATCH($A422,'Cotação de Materiais'!$A$4:$A$200,0)),IFERROR(INDEX('Mão de Obra e Serviços'!$G$4:$G$200,MATCH($A422,'Mão de Obra e Serviços'!$A$4:$A$200,0)),0)))</f>
        <v/>
      </c>
      <c r="K422" s="30" t="str">
        <f aca="false">IF($A422="","",I422*H422)</f>
        <v/>
      </c>
      <c r="L422" s="58"/>
      <c r="M422" s="54" t="str">
        <f aca="false">IF($A422="","",IF(B422="CÓDIGO?","CÓDIGO NÃO ACHADO",IF($D422="","FALTA ITEM DO ANEXO",IF($D422="INDIRETO","",IF(COUNTIFS('Anexo III'!$B$8:$B$400,$D422,'Anexo III'!$E$8:$E$400,"&gt;0")=0,"ITEM NÃO ACHADO NO ANEXO","")))))</f>
        <v/>
      </c>
    </row>
    <row r="423" customFormat="false" ht="15" hidden="false" customHeight="false" outlineLevel="0" collapsed="false">
      <c r="A423" s="43"/>
      <c r="B423" s="53" t="str">
        <f aca="false">IF($A423="","",IF(ISNUMBER(MATCH($A423,'Cotação de Materiais'!$A$4:$A$200,0)),"MAT",IF(ISNUMBER(MATCH($A423,'Mão de Obra e Serviços'!$A$4:$A$200,0)),"MO","CÓDIGO?")))</f>
        <v/>
      </c>
      <c r="C423" s="54" t="str">
        <f aca="false">IF($A423="","",IFERROR(INDEX('Cotação de Materiais'!$C$4:$C$200,MATCH($A423,'Cotação de Materiais'!$A$4:$A$200,0)),IFERROR(INDEX('Mão de Obra e Serviços'!$B$4:$B$200,MATCH($A423,'Mão de Obra e Serviços'!$A$4:$A$200,0)),"")))</f>
        <v/>
      </c>
      <c r="D423" s="43"/>
      <c r="E423" s="43"/>
      <c r="F423" s="43"/>
      <c r="G423" s="57" t="str">
        <f aca="false">IF($A423="","",E423*IF(F423="",1,F423))</f>
        <v/>
      </c>
      <c r="H423" s="31" t="str">
        <f aca="false">IF($A423="","",IF(SUMIF($A$6:$A$600,$A423,$G$6:$G$600)=0,0,G423/SUMIF($A$6:$A$600,$A423,$G$6:$G$600)))</f>
        <v/>
      </c>
      <c r="I423" s="30" t="str">
        <f aca="false">IF($A423="","",IFERROR(INDEX('Cotação de Materiais'!$H$4:$H$200,MATCH($A423,'Cotação de Materiais'!$A$4:$A$200,0)),IFERROR(INDEX('Mão de Obra e Serviços'!$G$4:$G$200,MATCH($A423,'Mão de Obra e Serviços'!$A$4:$A$200,0)),0)))</f>
        <v/>
      </c>
      <c r="K423" s="30" t="str">
        <f aca="false">IF($A423="","",I423*H423)</f>
        <v/>
      </c>
      <c r="L423" s="58"/>
      <c r="M423" s="54" t="str">
        <f aca="false">IF($A423="","",IF(B423="CÓDIGO?","CÓDIGO NÃO ACHADO",IF($D423="","FALTA ITEM DO ANEXO",IF($D423="INDIRETO","",IF(COUNTIFS('Anexo III'!$B$8:$B$400,$D423,'Anexo III'!$E$8:$E$400,"&gt;0")=0,"ITEM NÃO ACHADO NO ANEXO","")))))</f>
        <v/>
      </c>
    </row>
    <row r="424" customFormat="false" ht="15" hidden="false" customHeight="false" outlineLevel="0" collapsed="false">
      <c r="A424" s="43"/>
      <c r="B424" s="53" t="str">
        <f aca="false">IF($A424="","",IF(ISNUMBER(MATCH($A424,'Cotação de Materiais'!$A$4:$A$200,0)),"MAT",IF(ISNUMBER(MATCH($A424,'Mão de Obra e Serviços'!$A$4:$A$200,0)),"MO","CÓDIGO?")))</f>
        <v/>
      </c>
      <c r="C424" s="54" t="str">
        <f aca="false">IF($A424="","",IFERROR(INDEX('Cotação de Materiais'!$C$4:$C$200,MATCH($A424,'Cotação de Materiais'!$A$4:$A$200,0)),IFERROR(INDEX('Mão de Obra e Serviços'!$B$4:$B$200,MATCH($A424,'Mão de Obra e Serviços'!$A$4:$A$200,0)),"")))</f>
        <v/>
      </c>
      <c r="D424" s="43"/>
      <c r="E424" s="43"/>
      <c r="F424" s="43"/>
      <c r="G424" s="57" t="str">
        <f aca="false">IF($A424="","",E424*IF(F424="",1,F424))</f>
        <v/>
      </c>
      <c r="H424" s="31" t="str">
        <f aca="false">IF($A424="","",IF(SUMIF($A$6:$A$600,$A424,$G$6:$G$600)=0,0,G424/SUMIF($A$6:$A$600,$A424,$G$6:$G$600)))</f>
        <v/>
      </c>
      <c r="I424" s="30" t="str">
        <f aca="false">IF($A424="","",IFERROR(INDEX('Cotação de Materiais'!$H$4:$H$200,MATCH($A424,'Cotação de Materiais'!$A$4:$A$200,0)),IFERROR(INDEX('Mão de Obra e Serviços'!$G$4:$G$200,MATCH($A424,'Mão de Obra e Serviços'!$A$4:$A$200,0)),0)))</f>
        <v/>
      </c>
      <c r="K424" s="30" t="str">
        <f aca="false">IF($A424="","",I424*H424)</f>
        <v/>
      </c>
      <c r="L424" s="58"/>
      <c r="M424" s="54" t="str">
        <f aca="false">IF($A424="","",IF(B424="CÓDIGO?","CÓDIGO NÃO ACHADO",IF($D424="","FALTA ITEM DO ANEXO",IF($D424="INDIRETO","",IF(COUNTIFS('Anexo III'!$B$8:$B$400,$D424,'Anexo III'!$E$8:$E$400,"&gt;0")=0,"ITEM NÃO ACHADO NO ANEXO","")))))</f>
        <v/>
      </c>
    </row>
    <row r="425" customFormat="false" ht="15" hidden="false" customHeight="false" outlineLevel="0" collapsed="false">
      <c r="A425" s="43"/>
      <c r="B425" s="53" t="str">
        <f aca="false">IF($A425="","",IF(ISNUMBER(MATCH($A425,'Cotação de Materiais'!$A$4:$A$200,0)),"MAT",IF(ISNUMBER(MATCH($A425,'Mão de Obra e Serviços'!$A$4:$A$200,0)),"MO","CÓDIGO?")))</f>
        <v/>
      </c>
      <c r="C425" s="54" t="str">
        <f aca="false">IF($A425="","",IFERROR(INDEX('Cotação de Materiais'!$C$4:$C$200,MATCH($A425,'Cotação de Materiais'!$A$4:$A$200,0)),IFERROR(INDEX('Mão de Obra e Serviços'!$B$4:$B$200,MATCH($A425,'Mão de Obra e Serviços'!$A$4:$A$200,0)),"")))</f>
        <v/>
      </c>
      <c r="D425" s="43"/>
      <c r="E425" s="43"/>
      <c r="F425" s="43"/>
      <c r="G425" s="57" t="str">
        <f aca="false">IF($A425="","",E425*IF(F425="",1,F425))</f>
        <v/>
      </c>
      <c r="H425" s="31" t="str">
        <f aca="false">IF($A425="","",IF(SUMIF($A$6:$A$600,$A425,$G$6:$G$600)=0,0,G425/SUMIF($A$6:$A$600,$A425,$G$6:$G$600)))</f>
        <v/>
      </c>
      <c r="I425" s="30" t="str">
        <f aca="false">IF($A425="","",IFERROR(INDEX('Cotação de Materiais'!$H$4:$H$200,MATCH($A425,'Cotação de Materiais'!$A$4:$A$200,0)),IFERROR(INDEX('Mão de Obra e Serviços'!$G$4:$G$200,MATCH($A425,'Mão de Obra e Serviços'!$A$4:$A$200,0)),0)))</f>
        <v/>
      </c>
      <c r="K425" s="30" t="str">
        <f aca="false">IF($A425="","",I425*H425)</f>
        <v/>
      </c>
      <c r="L425" s="58"/>
      <c r="M425" s="54" t="str">
        <f aca="false">IF($A425="","",IF(B425="CÓDIGO?","CÓDIGO NÃO ACHADO",IF($D425="","FALTA ITEM DO ANEXO",IF($D425="INDIRETO","",IF(COUNTIFS('Anexo III'!$B$8:$B$400,$D425,'Anexo III'!$E$8:$E$400,"&gt;0")=0,"ITEM NÃO ACHADO NO ANEXO","")))))</f>
        <v/>
      </c>
    </row>
    <row r="426" customFormat="false" ht="15" hidden="false" customHeight="false" outlineLevel="0" collapsed="false">
      <c r="A426" s="43"/>
      <c r="B426" s="53" t="str">
        <f aca="false">IF($A426="","",IF(ISNUMBER(MATCH($A426,'Cotação de Materiais'!$A$4:$A$200,0)),"MAT",IF(ISNUMBER(MATCH($A426,'Mão de Obra e Serviços'!$A$4:$A$200,0)),"MO","CÓDIGO?")))</f>
        <v/>
      </c>
      <c r="C426" s="54" t="str">
        <f aca="false">IF($A426="","",IFERROR(INDEX('Cotação de Materiais'!$C$4:$C$200,MATCH($A426,'Cotação de Materiais'!$A$4:$A$200,0)),IFERROR(INDEX('Mão de Obra e Serviços'!$B$4:$B$200,MATCH($A426,'Mão de Obra e Serviços'!$A$4:$A$200,0)),"")))</f>
        <v/>
      </c>
      <c r="D426" s="43"/>
      <c r="E426" s="43"/>
      <c r="F426" s="43"/>
      <c r="G426" s="57" t="str">
        <f aca="false">IF($A426="","",E426*IF(F426="",1,F426))</f>
        <v/>
      </c>
      <c r="H426" s="31" t="str">
        <f aca="false">IF($A426="","",IF(SUMIF($A$6:$A$600,$A426,$G$6:$G$600)=0,0,G426/SUMIF($A$6:$A$600,$A426,$G$6:$G$600)))</f>
        <v/>
      </c>
      <c r="I426" s="30" t="str">
        <f aca="false">IF($A426="","",IFERROR(INDEX('Cotação de Materiais'!$H$4:$H$200,MATCH($A426,'Cotação de Materiais'!$A$4:$A$200,0)),IFERROR(INDEX('Mão de Obra e Serviços'!$G$4:$G$200,MATCH($A426,'Mão de Obra e Serviços'!$A$4:$A$200,0)),0)))</f>
        <v/>
      </c>
      <c r="K426" s="30" t="str">
        <f aca="false">IF($A426="","",I426*H426)</f>
        <v/>
      </c>
      <c r="L426" s="58"/>
      <c r="M426" s="54" t="str">
        <f aca="false">IF($A426="","",IF(B426="CÓDIGO?","CÓDIGO NÃO ACHADO",IF($D426="","FALTA ITEM DO ANEXO",IF($D426="INDIRETO","",IF(COUNTIFS('Anexo III'!$B$8:$B$400,$D426,'Anexo III'!$E$8:$E$400,"&gt;0")=0,"ITEM NÃO ACHADO NO ANEXO","")))))</f>
        <v/>
      </c>
    </row>
    <row r="427" customFormat="false" ht="15" hidden="false" customHeight="false" outlineLevel="0" collapsed="false">
      <c r="A427" s="43"/>
      <c r="B427" s="53" t="str">
        <f aca="false">IF($A427="","",IF(ISNUMBER(MATCH($A427,'Cotação de Materiais'!$A$4:$A$200,0)),"MAT",IF(ISNUMBER(MATCH($A427,'Mão de Obra e Serviços'!$A$4:$A$200,0)),"MO","CÓDIGO?")))</f>
        <v/>
      </c>
      <c r="C427" s="54" t="str">
        <f aca="false">IF($A427="","",IFERROR(INDEX('Cotação de Materiais'!$C$4:$C$200,MATCH($A427,'Cotação de Materiais'!$A$4:$A$200,0)),IFERROR(INDEX('Mão de Obra e Serviços'!$B$4:$B$200,MATCH($A427,'Mão de Obra e Serviços'!$A$4:$A$200,0)),"")))</f>
        <v/>
      </c>
      <c r="D427" s="43"/>
      <c r="E427" s="43"/>
      <c r="F427" s="43"/>
      <c r="G427" s="57" t="str">
        <f aca="false">IF($A427="","",E427*IF(F427="",1,F427))</f>
        <v/>
      </c>
      <c r="H427" s="31" t="str">
        <f aca="false">IF($A427="","",IF(SUMIF($A$6:$A$600,$A427,$G$6:$G$600)=0,0,G427/SUMIF($A$6:$A$600,$A427,$G$6:$G$600)))</f>
        <v/>
      </c>
      <c r="I427" s="30" t="str">
        <f aca="false">IF($A427="","",IFERROR(INDEX('Cotação de Materiais'!$H$4:$H$200,MATCH($A427,'Cotação de Materiais'!$A$4:$A$200,0)),IFERROR(INDEX('Mão de Obra e Serviços'!$G$4:$G$200,MATCH($A427,'Mão de Obra e Serviços'!$A$4:$A$200,0)),0)))</f>
        <v/>
      </c>
      <c r="K427" s="30" t="str">
        <f aca="false">IF($A427="","",I427*H427)</f>
        <v/>
      </c>
      <c r="L427" s="58"/>
      <c r="M427" s="54" t="str">
        <f aca="false">IF($A427="","",IF(B427="CÓDIGO?","CÓDIGO NÃO ACHADO",IF($D427="","FALTA ITEM DO ANEXO",IF($D427="INDIRETO","",IF(COUNTIFS('Anexo III'!$B$8:$B$400,$D427,'Anexo III'!$E$8:$E$400,"&gt;0")=0,"ITEM NÃO ACHADO NO ANEXO","")))))</f>
        <v/>
      </c>
    </row>
    <row r="428" customFormat="false" ht="15" hidden="false" customHeight="false" outlineLevel="0" collapsed="false">
      <c r="A428" s="43"/>
      <c r="B428" s="53" t="str">
        <f aca="false">IF($A428="","",IF(ISNUMBER(MATCH($A428,'Cotação de Materiais'!$A$4:$A$200,0)),"MAT",IF(ISNUMBER(MATCH($A428,'Mão de Obra e Serviços'!$A$4:$A$200,0)),"MO","CÓDIGO?")))</f>
        <v/>
      </c>
      <c r="C428" s="54" t="str">
        <f aca="false">IF($A428="","",IFERROR(INDEX('Cotação de Materiais'!$C$4:$C$200,MATCH($A428,'Cotação de Materiais'!$A$4:$A$200,0)),IFERROR(INDEX('Mão de Obra e Serviços'!$B$4:$B$200,MATCH($A428,'Mão de Obra e Serviços'!$A$4:$A$200,0)),"")))</f>
        <v/>
      </c>
      <c r="D428" s="43"/>
      <c r="E428" s="43"/>
      <c r="F428" s="43"/>
      <c r="G428" s="57" t="str">
        <f aca="false">IF($A428="","",E428*IF(F428="",1,F428))</f>
        <v/>
      </c>
      <c r="H428" s="31" t="str">
        <f aca="false">IF($A428="","",IF(SUMIF($A$6:$A$600,$A428,$G$6:$G$600)=0,0,G428/SUMIF($A$6:$A$600,$A428,$G$6:$G$600)))</f>
        <v/>
      </c>
      <c r="I428" s="30" t="str">
        <f aca="false">IF($A428="","",IFERROR(INDEX('Cotação de Materiais'!$H$4:$H$200,MATCH($A428,'Cotação de Materiais'!$A$4:$A$200,0)),IFERROR(INDEX('Mão de Obra e Serviços'!$G$4:$G$200,MATCH($A428,'Mão de Obra e Serviços'!$A$4:$A$200,0)),0)))</f>
        <v/>
      </c>
      <c r="K428" s="30" t="str">
        <f aca="false">IF($A428="","",I428*H428)</f>
        <v/>
      </c>
      <c r="L428" s="58"/>
      <c r="M428" s="54" t="str">
        <f aca="false">IF($A428="","",IF(B428="CÓDIGO?","CÓDIGO NÃO ACHADO",IF($D428="","FALTA ITEM DO ANEXO",IF($D428="INDIRETO","",IF(COUNTIFS('Anexo III'!$B$8:$B$400,$D428,'Anexo III'!$E$8:$E$400,"&gt;0")=0,"ITEM NÃO ACHADO NO ANEXO","")))))</f>
        <v/>
      </c>
    </row>
    <row r="429" customFormat="false" ht="15" hidden="false" customHeight="false" outlineLevel="0" collapsed="false">
      <c r="A429" s="43"/>
      <c r="B429" s="53" t="str">
        <f aca="false">IF($A429="","",IF(ISNUMBER(MATCH($A429,'Cotação de Materiais'!$A$4:$A$200,0)),"MAT",IF(ISNUMBER(MATCH($A429,'Mão de Obra e Serviços'!$A$4:$A$200,0)),"MO","CÓDIGO?")))</f>
        <v/>
      </c>
      <c r="C429" s="54" t="str">
        <f aca="false">IF($A429="","",IFERROR(INDEX('Cotação de Materiais'!$C$4:$C$200,MATCH($A429,'Cotação de Materiais'!$A$4:$A$200,0)),IFERROR(INDEX('Mão de Obra e Serviços'!$B$4:$B$200,MATCH($A429,'Mão de Obra e Serviços'!$A$4:$A$200,0)),"")))</f>
        <v/>
      </c>
      <c r="D429" s="43"/>
      <c r="E429" s="43"/>
      <c r="F429" s="43"/>
      <c r="G429" s="57" t="str">
        <f aca="false">IF($A429="","",E429*IF(F429="",1,F429))</f>
        <v/>
      </c>
      <c r="H429" s="31" t="str">
        <f aca="false">IF($A429="","",IF(SUMIF($A$6:$A$600,$A429,$G$6:$G$600)=0,0,G429/SUMIF($A$6:$A$600,$A429,$G$6:$G$600)))</f>
        <v/>
      </c>
      <c r="I429" s="30" t="str">
        <f aca="false">IF($A429="","",IFERROR(INDEX('Cotação de Materiais'!$H$4:$H$200,MATCH($A429,'Cotação de Materiais'!$A$4:$A$200,0)),IFERROR(INDEX('Mão de Obra e Serviços'!$G$4:$G$200,MATCH($A429,'Mão de Obra e Serviços'!$A$4:$A$200,0)),0)))</f>
        <v/>
      </c>
      <c r="K429" s="30" t="str">
        <f aca="false">IF($A429="","",I429*H429)</f>
        <v/>
      </c>
      <c r="L429" s="58"/>
      <c r="M429" s="54" t="str">
        <f aca="false">IF($A429="","",IF(B429="CÓDIGO?","CÓDIGO NÃO ACHADO",IF($D429="","FALTA ITEM DO ANEXO",IF($D429="INDIRETO","",IF(COUNTIFS('Anexo III'!$B$8:$B$400,$D429,'Anexo III'!$E$8:$E$400,"&gt;0")=0,"ITEM NÃO ACHADO NO ANEXO","")))))</f>
        <v/>
      </c>
    </row>
    <row r="430" customFormat="false" ht="15" hidden="false" customHeight="false" outlineLevel="0" collapsed="false">
      <c r="A430" s="43"/>
      <c r="B430" s="53" t="str">
        <f aca="false">IF($A430="","",IF(ISNUMBER(MATCH($A430,'Cotação de Materiais'!$A$4:$A$200,0)),"MAT",IF(ISNUMBER(MATCH($A430,'Mão de Obra e Serviços'!$A$4:$A$200,0)),"MO","CÓDIGO?")))</f>
        <v/>
      </c>
      <c r="C430" s="54" t="str">
        <f aca="false">IF($A430="","",IFERROR(INDEX('Cotação de Materiais'!$C$4:$C$200,MATCH($A430,'Cotação de Materiais'!$A$4:$A$200,0)),IFERROR(INDEX('Mão de Obra e Serviços'!$B$4:$B$200,MATCH($A430,'Mão de Obra e Serviços'!$A$4:$A$200,0)),"")))</f>
        <v/>
      </c>
      <c r="D430" s="43"/>
      <c r="E430" s="43"/>
      <c r="F430" s="43"/>
      <c r="G430" s="57" t="str">
        <f aca="false">IF($A430="","",E430*IF(F430="",1,F430))</f>
        <v/>
      </c>
      <c r="H430" s="31" t="str">
        <f aca="false">IF($A430="","",IF(SUMIF($A$6:$A$600,$A430,$G$6:$G$600)=0,0,G430/SUMIF($A$6:$A$600,$A430,$G$6:$G$600)))</f>
        <v/>
      </c>
      <c r="I430" s="30" t="str">
        <f aca="false">IF($A430="","",IFERROR(INDEX('Cotação de Materiais'!$H$4:$H$200,MATCH($A430,'Cotação de Materiais'!$A$4:$A$200,0)),IFERROR(INDEX('Mão de Obra e Serviços'!$G$4:$G$200,MATCH($A430,'Mão de Obra e Serviços'!$A$4:$A$200,0)),0)))</f>
        <v/>
      </c>
      <c r="K430" s="30" t="str">
        <f aca="false">IF($A430="","",I430*H430)</f>
        <v/>
      </c>
      <c r="L430" s="58"/>
      <c r="M430" s="54" t="str">
        <f aca="false">IF($A430="","",IF(B430="CÓDIGO?","CÓDIGO NÃO ACHADO",IF($D430="","FALTA ITEM DO ANEXO",IF($D430="INDIRETO","",IF(COUNTIFS('Anexo III'!$B$8:$B$400,$D430,'Anexo III'!$E$8:$E$400,"&gt;0")=0,"ITEM NÃO ACHADO NO ANEXO","")))))</f>
        <v/>
      </c>
    </row>
    <row r="431" customFormat="false" ht="15" hidden="false" customHeight="false" outlineLevel="0" collapsed="false">
      <c r="A431" s="43"/>
      <c r="B431" s="53" t="str">
        <f aca="false">IF($A431="","",IF(ISNUMBER(MATCH($A431,'Cotação de Materiais'!$A$4:$A$200,0)),"MAT",IF(ISNUMBER(MATCH($A431,'Mão de Obra e Serviços'!$A$4:$A$200,0)),"MO","CÓDIGO?")))</f>
        <v/>
      </c>
      <c r="C431" s="54" t="str">
        <f aca="false">IF($A431="","",IFERROR(INDEX('Cotação de Materiais'!$C$4:$C$200,MATCH($A431,'Cotação de Materiais'!$A$4:$A$200,0)),IFERROR(INDEX('Mão de Obra e Serviços'!$B$4:$B$200,MATCH($A431,'Mão de Obra e Serviços'!$A$4:$A$200,0)),"")))</f>
        <v/>
      </c>
      <c r="D431" s="43"/>
      <c r="E431" s="43"/>
      <c r="F431" s="43"/>
      <c r="G431" s="57" t="str">
        <f aca="false">IF($A431="","",E431*IF(F431="",1,F431))</f>
        <v/>
      </c>
      <c r="H431" s="31" t="str">
        <f aca="false">IF($A431="","",IF(SUMIF($A$6:$A$600,$A431,$G$6:$G$600)=0,0,G431/SUMIF($A$6:$A$600,$A431,$G$6:$G$600)))</f>
        <v/>
      </c>
      <c r="I431" s="30" t="str">
        <f aca="false">IF($A431="","",IFERROR(INDEX('Cotação de Materiais'!$H$4:$H$200,MATCH($A431,'Cotação de Materiais'!$A$4:$A$200,0)),IFERROR(INDEX('Mão de Obra e Serviços'!$G$4:$G$200,MATCH($A431,'Mão de Obra e Serviços'!$A$4:$A$200,0)),0)))</f>
        <v/>
      </c>
      <c r="K431" s="30" t="str">
        <f aca="false">IF($A431="","",I431*H431)</f>
        <v/>
      </c>
      <c r="L431" s="58"/>
      <c r="M431" s="54" t="str">
        <f aca="false">IF($A431="","",IF(B431="CÓDIGO?","CÓDIGO NÃO ACHADO",IF($D431="","FALTA ITEM DO ANEXO",IF($D431="INDIRETO","",IF(COUNTIFS('Anexo III'!$B$8:$B$400,$D431,'Anexo III'!$E$8:$E$400,"&gt;0")=0,"ITEM NÃO ACHADO NO ANEXO","")))))</f>
        <v/>
      </c>
    </row>
    <row r="432" customFormat="false" ht="15" hidden="false" customHeight="false" outlineLevel="0" collapsed="false">
      <c r="A432" s="43"/>
      <c r="B432" s="53" t="str">
        <f aca="false">IF($A432="","",IF(ISNUMBER(MATCH($A432,'Cotação de Materiais'!$A$4:$A$200,0)),"MAT",IF(ISNUMBER(MATCH($A432,'Mão de Obra e Serviços'!$A$4:$A$200,0)),"MO","CÓDIGO?")))</f>
        <v/>
      </c>
      <c r="C432" s="54" t="str">
        <f aca="false">IF($A432="","",IFERROR(INDEX('Cotação de Materiais'!$C$4:$C$200,MATCH($A432,'Cotação de Materiais'!$A$4:$A$200,0)),IFERROR(INDEX('Mão de Obra e Serviços'!$B$4:$B$200,MATCH($A432,'Mão de Obra e Serviços'!$A$4:$A$200,0)),"")))</f>
        <v/>
      </c>
      <c r="D432" s="43"/>
      <c r="E432" s="43"/>
      <c r="F432" s="43"/>
      <c r="G432" s="57" t="str">
        <f aca="false">IF($A432="","",E432*IF(F432="",1,F432))</f>
        <v/>
      </c>
      <c r="H432" s="31" t="str">
        <f aca="false">IF($A432="","",IF(SUMIF($A$6:$A$600,$A432,$G$6:$G$600)=0,0,G432/SUMIF($A$6:$A$600,$A432,$G$6:$G$600)))</f>
        <v/>
      </c>
      <c r="I432" s="30" t="str">
        <f aca="false">IF($A432="","",IFERROR(INDEX('Cotação de Materiais'!$H$4:$H$200,MATCH($A432,'Cotação de Materiais'!$A$4:$A$200,0)),IFERROR(INDEX('Mão de Obra e Serviços'!$G$4:$G$200,MATCH($A432,'Mão de Obra e Serviços'!$A$4:$A$200,0)),0)))</f>
        <v/>
      </c>
      <c r="K432" s="30" t="str">
        <f aca="false">IF($A432="","",I432*H432)</f>
        <v/>
      </c>
      <c r="L432" s="58"/>
      <c r="M432" s="54" t="str">
        <f aca="false">IF($A432="","",IF(B432="CÓDIGO?","CÓDIGO NÃO ACHADO",IF($D432="","FALTA ITEM DO ANEXO",IF($D432="INDIRETO","",IF(COUNTIFS('Anexo III'!$B$8:$B$400,$D432,'Anexo III'!$E$8:$E$400,"&gt;0")=0,"ITEM NÃO ACHADO NO ANEXO","")))))</f>
        <v/>
      </c>
    </row>
    <row r="433" customFormat="false" ht="15" hidden="false" customHeight="false" outlineLevel="0" collapsed="false">
      <c r="A433" s="43"/>
      <c r="B433" s="53" t="str">
        <f aca="false">IF($A433="","",IF(ISNUMBER(MATCH($A433,'Cotação de Materiais'!$A$4:$A$200,0)),"MAT",IF(ISNUMBER(MATCH($A433,'Mão de Obra e Serviços'!$A$4:$A$200,0)),"MO","CÓDIGO?")))</f>
        <v/>
      </c>
      <c r="C433" s="54" t="str">
        <f aca="false">IF($A433="","",IFERROR(INDEX('Cotação de Materiais'!$C$4:$C$200,MATCH($A433,'Cotação de Materiais'!$A$4:$A$200,0)),IFERROR(INDEX('Mão de Obra e Serviços'!$B$4:$B$200,MATCH($A433,'Mão de Obra e Serviços'!$A$4:$A$200,0)),"")))</f>
        <v/>
      </c>
      <c r="D433" s="43"/>
      <c r="E433" s="43"/>
      <c r="F433" s="43"/>
      <c r="G433" s="57" t="str">
        <f aca="false">IF($A433="","",E433*IF(F433="",1,F433))</f>
        <v/>
      </c>
      <c r="H433" s="31" t="str">
        <f aca="false">IF($A433="","",IF(SUMIF($A$6:$A$600,$A433,$G$6:$G$600)=0,0,G433/SUMIF($A$6:$A$600,$A433,$G$6:$G$600)))</f>
        <v/>
      </c>
      <c r="I433" s="30" t="str">
        <f aca="false">IF($A433="","",IFERROR(INDEX('Cotação de Materiais'!$H$4:$H$200,MATCH($A433,'Cotação de Materiais'!$A$4:$A$200,0)),IFERROR(INDEX('Mão de Obra e Serviços'!$G$4:$G$200,MATCH($A433,'Mão de Obra e Serviços'!$A$4:$A$200,0)),0)))</f>
        <v/>
      </c>
      <c r="K433" s="30" t="str">
        <f aca="false">IF($A433="","",I433*H433)</f>
        <v/>
      </c>
      <c r="L433" s="58"/>
      <c r="M433" s="54" t="str">
        <f aca="false">IF($A433="","",IF(B433="CÓDIGO?","CÓDIGO NÃO ACHADO",IF($D433="","FALTA ITEM DO ANEXO",IF($D433="INDIRETO","",IF(COUNTIFS('Anexo III'!$B$8:$B$400,$D433,'Anexo III'!$E$8:$E$400,"&gt;0")=0,"ITEM NÃO ACHADO NO ANEXO","")))))</f>
        <v/>
      </c>
    </row>
    <row r="434" customFormat="false" ht="15" hidden="false" customHeight="false" outlineLevel="0" collapsed="false">
      <c r="A434" s="43"/>
      <c r="B434" s="53" t="str">
        <f aca="false">IF($A434="","",IF(ISNUMBER(MATCH($A434,'Cotação de Materiais'!$A$4:$A$200,0)),"MAT",IF(ISNUMBER(MATCH($A434,'Mão de Obra e Serviços'!$A$4:$A$200,0)),"MO","CÓDIGO?")))</f>
        <v/>
      </c>
      <c r="C434" s="54" t="str">
        <f aca="false">IF($A434="","",IFERROR(INDEX('Cotação de Materiais'!$C$4:$C$200,MATCH($A434,'Cotação de Materiais'!$A$4:$A$200,0)),IFERROR(INDEX('Mão de Obra e Serviços'!$B$4:$B$200,MATCH($A434,'Mão de Obra e Serviços'!$A$4:$A$200,0)),"")))</f>
        <v/>
      </c>
      <c r="D434" s="43"/>
      <c r="E434" s="43"/>
      <c r="F434" s="43"/>
      <c r="G434" s="57" t="str">
        <f aca="false">IF($A434="","",E434*IF(F434="",1,F434))</f>
        <v/>
      </c>
      <c r="H434" s="31" t="str">
        <f aca="false">IF($A434="","",IF(SUMIF($A$6:$A$600,$A434,$G$6:$G$600)=0,0,G434/SUMIF($A$6:$A$600,$A434,$G$6:$G$600)))</f>
        <v/>
      </c>
      <c r="I434" s="30" t="str">
        <f aca="false">IF($A434="","",IFERROR(INDEX('Cotação de Materiais'!$H$4:$H$200,MATCH($A434,'Cotação de Materiais'!$A$4:$A$200,0)),IFERROR(INDEX('Mão de Obra e Serviços'!$G$4:$G$200,MATCH($A434,'Mão de Obra e Serviços'!$A$4:$A$200,0)),0)))</f>
        <v/>
      </c>
      <c r="K434" s="30" t="str">
        <f aca="false">IF($A434="","",I434*H434)</f>
        <v/>
      </c>
      <c r="L434" s="58"/>
      <c r="M434" s="54" t="str">
        <f aca="false">IF($A434="","",IF(B434="CÓDIGO?","CÓDIGO NÃO ACHADO",IF($D434="","FALTA ITEM DO ANEXO",IF($D434="INDIRETO","",IF(COUNTIFS('Anexo III'!$B$8:$B$400,$D434,'Anexo III'!$E$8:$E$400,"&gt;0")=0,"ITEM NÃO ACHADO NO ANEXO","")))))</f>
        <v/>
      </c>
    </row>
    <row r="435" customFormat="false" ht="15" hidden="false" customHeight="false" outlineLevel="0" collapsed="false">
      <c r="A435" s="43"/>
      <c r="B435" s="53" t="str">
        <f aca="false">IF($A435="","",IF(ISNUMBER(MATCH($A435,'Cotação de Materiais'!$A$4:$A$200,0)),"MAT",IF(ISNUMBER(MATCH($A435,'Mão de Obra e Serviços'!$A$4:$A$200,0)),"MO","CÓDIGO?")))</f>
        <v/>
      </c>
      <c r="C435" s="54" t="str">
        <f aca="false">IF($A435="","",IFERROR(INDEX('Cotação de Materiais'!$C$4:$C$200,MATCH($A435,'Cotação de Materiais'!$A$4:$A$200,0)),IFERROR(INDEX('Mão de Obra e Serviços'!$B$4:$B$200,MATCH($A435,'Mão de Obra e Serviços'!$A$4:$A$200,0)),"")))</f>
        <v/>
      </c>
      <c r="D435" s="43"/>
      <c r="E435" s="43"/>
      <c r="F435" s="43"/>
      <c r="G435" s="57" t="str">
        <f aca="false">IF($A435="","",E435*IF(F435="",1,F435))</f>
        <v/>
      </c>
      <c r="H435" s="31" t="str">
        <f aca="false">IF($A435="","",IF(SUMIF($A$6:$A$600,$A435,$G$6:$G$600)=0,0,G435/SUMIF($A$6:$A$600,$A435,$G$6:$G$600)))</f>
        <v/>
      </c>
      <c r="I435" s="30" t="str">
        <f aca="false">IF($A435="","",IFERROR(INDEX('Cotação de Materiais'!$H$4:$H$200,MATCH($A435,'Cotação de Materiais'!$A$4:$A$200,0)),IFERROR(INDEX('Mão de Obra e Serviços'!$G$4:$G$200,MATCH($A435,'Mão de Obra e Serviços'!$A$4:$A$200,0)),0)))</f>
        <v/>
      </c>
      <c r="K435" s="30" t="str">
        <f aca="false">IF($A435="","",I435*H435)</f>
        <v/>
      </c>
      <c r="L435" s="58"/>
      <c r="M435" s="54" t="str">
        <f aca="false">IF($A435="","",IF(B435="CÓDIGO?","CÓDIGO NÃO ACHADO",IF($D435="","FALTA ITEM DO ANEXO",IF($D435="INDIRETO","",IF(COUNTIFS('Anexo III'!$B$8:$B$400,$D435,'Anexo III'!$E$8:$E$400,"&gt;0")=0,"ITEM NÃO ACHADO NO ANEXO","")))))</f>
        <v/>
      </c>
    </row>
    <row r="436" customFormat="false" ht="15" hidden="false" customHeight="false" outlineLevel="0" collapsed="false">
      <c r="A436" s="43"/>
      <c r="B436" s="53" t="str">
        <f aca="false">IF($A436="","",IF(ISNUMBER(MATCH($A436,'Cotação de Materiais'!$A$4:$A$200,0)),"MAT",IF(ISNUMBER(MATCH($A436,'Mão de Obra e Serviços'!$A$4:$A$200,0)),"MO","CÓDIGO?")))</f>
        <v/>
      </c>
      <c r="C436" s="54" t="str">
        <f aca="false">IF($A436="","",IFERROR(INDEX('Cotação de Materiais'!$C$4:$C$200,MATCH($A436,'Cotação de Materiais'!$A$4:$A$200,0)),IFERROR(INDEX('Mão de Obra e Serviços'!$B$4:$B$200,MATCH($A436,'Mão de Obra e Serviços'!$A$4:$A$200,0)),"")))</f>
        <v/>
      </c>
      <c r="D436" s="43"/>
      <c r="E436" s="43"/>
      <c r="F436" s="43"/>
      <c r="G436" s="57" t="str">
        <f aca="false">IF($A436="","",E436*IF(F436="",1,F436))</f>
        <v/>
      </c>
      <c r="H436" s="31" t="str">
        <f aca="false">IF($A436="","",IF(SUMIF($A$6:$A$600,$A436,$G$6:$G$600)=0,0,G436/SUMIF($A$6:$A$600,$A436,$G$6:$G$600)))</f>
        <v/>
      </c>
      <c r="I436" s="30" t="str">
        <f aca="false">IF($A436="","",IFERROR(INDEX('Cotação de Materiais'!$H$4:$H$200,MATCH($A436,'Cotação de Materiais'!$A$4:$A$200,0)),IFERROR(INDEX('Mão de Obra e Serviços'!$G$4:$G$200,MATCH($A436,'Mão de Obra e Serviços'!$A$4:$A$200,0)),0)))</f>
        <v/>
      </c>
      <c r="K436" s="30" t="str">
        <f aca="false">IF($A436="","",I436*H436)</f>
        <v/>
      </c>
      <c r="L436" s="58"/>
      <c r="M436" s="54" t="str">
        <f aca="false">IF($A436="","",IF(B436="CÓDIGO?","CÓDIGO NÃO ACHADO",IF($D436="","FALTA ITEM DO ANEXO",IF($D436="INDIRETO","",IF(COUNTIFS('Anexo III'!$B$8:$B$400,$D436,'Anexo III'!$E$8:$E$400,"&gt;0")=0,"ITEM NÃO ACHADO NO ANEXO","")))))</f>
        <v/>
      </c>
    </row>
    <row r="437" customFormat="false" ht="15" hidden="false" customHeight="false" outlineLevel="0" collapsed="false">
      <c r="A437" s="43"/>
      <c r="B437" s="53" t="str">
        <f aca="false">IF($A437="","",IF(ISNUMBER(MATCH($A437,'Cotação de Materiais'!$A$4:$A$200,0)),"MAT",IF(ISNUMBER(MATCH($A437,'Mão de Obra e Serviços'!$A$4:$A$200,0)),"MO","CÓDIGO?")))</f>
        <v/>
      </c>
      <c r="C437" s="54" t="str">
        <f aca="false">IF($A437="","",IFERROR(INDEX('Cotação de Materiais'!$C$4:$C$200,MATCH($A437,'Cotação de Materiais'!$A$4:$A$200,0)),IFERROR(INDEX('Mão de Obra e Serviços'!$B$4:$B$200,MATCH($A437,'Mão de Obra e Serviços'!$A$4:$A$200,0)),"")))</f>
        <v/>
      </c>
      <c r="D437" s="43"/>
      <c r="E437" s="43"/>
      <c r="F437" s="43"/>
      <c r="G437" s="57" t="str">
        <f aca="false">IF($A437="","",E437*IF(F437="",1,F437))</f>
        <v/>
      </c>
      <c r="H437" s="31" t="str">
        <f aca="false">IF($A437="","",IF(SUMIF($A$6:$A$600,$A437,$G$6:$G$600)=0,0,G437/SUMIF($A$6:$A$600,$A437,$G$6:$G$600)))</f>
        <v/>
      </c>
      <c r="I437" s="30" t="str">
        <f aca="false">IF($A437="","",IFERROR(INDEX('Cotação de Materiais'!$H$4:$H$200,MATCH($A437,'Cotação de Materiais'!$A$4:$A$200,0)),IFERROR(INDEX('Mão de Obra e Serviços'!$G$4:$G$200,MATCH($A437,'Mão de Obra e Serviços'!$A$4:$A$200,0)),0)))</f>
        <v/>
      </c>
      <c r="K437" s="30" t="str">
        <f aca="false">IF($A437="","",I437*H437)</f>
        <v/>
      </c>
      <c r="L437" s="58"/>
      <c r="M437" s="54" t="str">
        <f aca="false">IF($A437="","",IF(B437="CÓDIGO?","CÓDIGO NÃO ACHADO",IF($D437="","FALTA ITEM DO ANEXO",IF($D437="INDIRETO","",IF(COUNTIFS('Anexo III'!$B$8:$B$400,$D437,'Anexo III'!$E$8:$E$400,"&gt;0")=0,"ITEM NÃO ACHADO NO ANEXO","")))))</f>
        <v/>
      </c>
    </row>
    <row r="438" customFormat="false" ht="15" hidden="false" customHeight="false" outlineLevel="0" collapsed="false">
      <c r="A438" s="43"/>
      <c r="B438" s="53" t="str">
        <f aca="false">IF($A438="","",IF(ISNUMBER(MATCH($A438,'Cotação de Materiais'!$A$4:$A$200,0)),"MAT",IF(ISNUMBER(MATCH($A438,'Mão de Obra e Serviços'!$A$4:$A$200,0)),"MO","CÓDIGO?")))</f>
        <v/>
      </c>
      <c r="C438" s="54" t="str">
        <f aca="false">IF($A438="","",IFERROR(INDEX('Cotação de Materiais'!$C$4:$C$200,MATCH($A438,'Cotação de Materiais'!$A$4:$A$200,0)),IFERROR(INDEX('Mão de Obra e Serviços'!$B$4:$B$200,MATCH($A438,'Mão de Obra e Serviços'!$A$4:$A$200,0)),"")))</f>
        <v/>
      </c>
      <c r="D438" s="43"/>
      <c r="E438" s="43"/>
      <c r="F438" s="43"/>
      <c r="G438" s="57" t="str">
        <f aca="false">IF($A438="","",E438*IF(F438="",1,F438))</f>
        <v/>
      </c>
      <c r="H438" s="31" t="str">
        <f aca="false">IF($A438="","",IF(SUMIF($A$6:$A$600,$A438,$G$6:$G$600)=0,0,G438/SUMIF($A$6:$A$600,$A438,$G$6:$G$600)))</f>
        <v/>
      </c>
      <c r="I438" s="30" t="str">
        <f aca="false">IF($A438="","",IFERROR(INDEX('Cotação de Materiais'!$H$4:$H$200,MATCH($A438,'Cotação de Materiais'!$A$4:$A$200,0)),IFERROR(INDEX('Mão de Obra e Serviços'!$G$4:$G$200,MATCH($A438,'Mão de Obra e Serviços'!$A$4:$A$200,0)),0)))</f>
        <v/>
      </c>
      <c r="K438" s="30" t="str">
        <f aca="false">IF($A438="","",I438*H438)</f>
        <v/>
      </c>
      <c r="L438" s="58"/>
      <c r="M438" s="54" t="str">
        <f aca="false">IF($A438="","",IF(B438="CÓDIGO?","CÓDIGO NÃO ACHADO",IF($D438="","FALTA ITEM DO ANEXO",IF($D438="INDIRETO","",IF(COUNTIFS('Anexo III'!$B$8:$B$400,$D438,'Anexo III'!$E$8:$E$400,"&gt;0")=0,"ITEM NÃO ACHADO NO ANEXO","")))))</f>
        <v/>
      </c>
    </row>
    <row r="439" customFormat="false" ht="15" hidden="false" customHeight="false" outlineLevel="0" collapsed="false">
      <c r="A439" s="43"/>
      <c r="B439" s="53" t="str">
        <f aca="false">IF($A439="","",IF(ISNUMBER(MATCH($A439,'Cotação de Materiais'!$A$4:$A$200,0)),"MAT",IF(ISNUMBER(MATCH($A439,'Mão de Obra e Serviços'!$A$4:$A$200,0)),"MO","CÓDIGO?")))</f>
        <v/>
      </c>
      <c r="C439" s="54" t="str">
        <f aca="false">IF($A439="","",IFERROR(INDEX('Cotação de Materiais'!$C$4:$C$200,MATCH($A439,'Cotação de Materiais'!$A$4:$A$200,0)),IFERROR(INDEX('Mão de Obra e Serviços'!$B$4:$B$200,MATCH($A439,'Mão de Obra e Serviços'!$A$4:$A$200,0)),"")))</f>
        <v/>
      </c>
      <c r="D439" s="43"/>
      <c r="E439" s="43"/>
      <c r="F439" s="43"/>
      <c r="G439" s="57" t="str">
        <f aca="false">IF($A439="","",E439*IF(F439="",1,F439))</f>
        <v/>
      </c>
      <c r="H439" s="31" t="str">
        <f aca="false">IF($A439="","",IF(SUMIF($A$6:$A$600,$A439,$G$6:$G$600)=0,0,G439/SUMIF($A$6:$A$600,$A439,$G$6:$G$600)))</f>
        <v/>
      </c>
      <c r="I439" s="30" t="str">
        <f aca="false">IF($A439="","",IFERROR(INDEX('Cotação de Materiais'!$H$4:$H$200,MATCH($A439,'Cotação de Materiais'!$A$4:$A$200,0)),IFERROR(INDEX('Mão de Obra e Serviços'!$G$4:$G$200,MATCH($A439,'Mão de Obra e Serviços'!$A$4:$A$200,0)),0)))</f>
        <v/>
      </c>
      <c r="K439" s="30" t="str">
        <f aca="false">IF($A439="","",I439*H439)</f>
        <v/>
      </c>
      <c r="L439" s="58"/>
      <c r="M439" s="54" t="str">
        <f aca="false">IF($A439="","",IF(B439="CÓDIGO?","CÓDIGO NÃO ACHADO",IF($D439="","FALTA ITEM DO ANEXO",IF($D439="INDIRETO","",IF(COUNTIFS('Anexo III'!$B$8:$B$400,$D439,'Anexo III'!$E$8:$E$400,"&gt;0")=0,"ITEM NÃO ACHADO NO ANEXO","")))))</f>
        <v/>
      </c>
    </row>
    <row r="440" customFormat="false" ht="15" hidden="false" customHeight="false" outlineLevel="0" collapsed="false">
      <c r="A440" s="43"/>
      <c r="B440" s="53" t="str">
        <f aca="false">IF($A440="","",IF(ISNUMBER(MATCH($A440,'Cotação de Materiais'!$A$4:$A$200,0)),"MAT",IF(ISNUMBER(MATCH($A440,'Mão de Obra e Serviços'!$A$4:$A$200,0)),"MO","CÓDIGO?")))</f>
        <v/>
      </c>
      <c r="C440" s="54" t="str">
        <f aca="false">IF($A440="","",IFERROR(INDEX('Cotação de Materiais'!$C$4:$C$200,MATCH($A440,'Cotação de Materiais'!$A$4:$A$200,0)),IFERROR(INDEX('Mão de Obra e Serviços'!$B$4:$B$200,MATCH($A440,'Mão de Obra e Serviços'!$A$4:$A$200,0)),"")))</f>
        <v/>
      </c>
      <c r="D440" s="43"/>
      <c r="E440" s="43"/>
      <c r="F440" s="43"/>
      <c r="G440" s="57" t="str">
        <f aca="false">IF($A440="","",E440*IF(F440="",1,F440))</f>
        <v/>
      </c>
      <c r="H440" s="31" t="str">
        <f aca="false">IF($A440="","",IF(SUMIF($A$6:$A$600,$A440,$G$6:$G$600)=0,0,G440/SUMIF($A$6:$A$600,$A440,$G$6:$G$600)))</f>
        <v/>
      </c>
      <c r="I440" s="30" t="str">
        <f aca="false">IF($A440="","",IFERROR(INDEX('Cotação de Materiais'!$H$4:$H$200,MATCH($A440,'Cotação de Materiais'!$A$4:$A$200,0)),IFERROR(INDEX('Mão de Obra e Serviços'!$G$4:$G$200,MATCH($A440,'Mão de Obra e Serviços'!$A$4:$A$200,0)),0)))</f>
        <v/>
      </c>
      <c r="K440" s="30" t="str">
        <f aca="false">IF($A440="","",I440*H440)</f>
        <v/>
      </c>
      <c r="L440" s="58"/>
      <c r="M440" s="54" t="str">
        <f aca="false">IF($A440="","",IF(B440="CÓDIGO?","CÓDIGO NÃO ACHADO",IF($D440="","FALTA ITEM DO ANEXO",IF($D440="INDIRETO","",IF(COUNTIFS('Anexo III'!$B$8:$B$400,$D440,'Anexo III'!$E$8:$E$400,"&gt;0")=0,"ITEM NÃO ACHADO NO ANEXO","")))))</f>
        <v/>
      </c>
    </row>
    <row r="441" customFormat="false" ht="15" hidden="false" customHeight="false" outlineLevel="0" collapsed="false">
      <c r="A441" s="43"/>
      <c r="B441" s="53" t="str">
        <f aca="false">IF($A441="","",IF(ISNUMBER(MATCH($A441,'Cotação de Materiais'!$A$4:$A$200,0)),"MAT",IF(ISNUMBER(MATCH($A441,'Mão de Obra e Serviços'!$A$4:$A$200,0)),"MO","CÓDIGO?")))</f>
        <v/>
      </c>
      <c r="C441" s="54" t="str">
        <f aca="false">IF($A441="","",IFERROR(INDEX('Cotação de Materiais'!$C$4:$C$200,MATCH($A441,'Cotação de Materiais'!$A$4:$A$200,0)),IFERROR(INDEX('Mão de Obra e Serviços'!$B$4:$B$200,MATCH($A441,'Mão de Obra e Serviços'!$A$4:$A$200,0)),"")))</f>
        <v/>
      </c>
      <c r="D441" s="43"/>
      <c r="E441" s="43"/>
      <c r="F441" s="43"/>
      <c r="G441" s="57" t="str">
        <f aca="false">IF($A441="","",E441*IF(F441="",1,F441))</f>
        <v/>
      </c>
      <c r="H441" s="31" t="str">
        <f aca="false">IF($A441="","",IF(SUMIF($A$6:$A$600,$A441,$G$6:$G$600)=0,0,G441/SUMIF($A$6:$A$600,$A441,$G$6:$G$600)))</f>
        <v/>
      </c>
      <c r="I441" s="30" t="str">
        <f aca="false">IF($A441="","",IFERROR(INDEX('Cotação de Materiais'!$H$4:$H$200,MATCH($A441,'Cotação de Materiais'!$A$4:$A$200,0)),IFERROR(INDEX('Mão de Obra e Serviços'!$G$4:$G$200,MATCH($A441,'Mão de Obra e Serviços'!$A$4:$A$200,0)),0)))</f>
        <v/>
      </c>
      <c r="K441" s="30" t="str">
        <f aca="false">IF($A441="","",I441*H441)</f>
        <v/>
      </c>
      <c r="L441" s="58"/>
      <c r="M441" s="54" t="str">
        <f aca="false">IF($A441="","",IF(B441="CÓDIGO?","CÓDIGO NÃO ACHADO",IF($D441="","FALTA ITEM DO ANEXO",IF($D441="INDIRETO","",IF(COUNTIFS('Anexo III'!$B$8:$B$400,$D441,'Anexo III'!$E$8:$E$400,"&gt;0")=0,"ITEM NÃO ACHADO NO ANEXO","")))))</f>
        <v/>
      </c>
    </row>
    <row r="442" customFormat="false" ht="15" hidden="false" customHeight="false" outlineLevel="0" collapsed="false">
      <c r="A442" s="43"/>
      <c r="B442" s="53" t="str">
        <f aca="false">IF($A442="","",IF(ISNUMBER(MATCH($A442,'Cotação de Materiais'!$A$4:$A$200,0)),"MAT",IF(ISNUMBER(MATCH($A442,'Mão de Obra e Serviços'!$A$4:$A$200,0)),"MO","CÓDIGO?")))</f>
        <v/>
      </c>
      <c r="C442" s="54" t="str">
        <f aca="false">IF($A442="","",IFERROR(INDEX('Cotação de Materiais'!$C$4:$C$200,MATCH($A442,'Cotação de Materiais'!$A$4:$A$200,0)),IFERROR(INDEX('Mão de Obra e Serviços'!$B$4:$B$200,MATCH($A442,'Mão de Obra e Serviços'!$A$4:$A$200,0)),"")))</f>
        <v/>
      </c>
      <c r="D442" s="43"/>
      <c r="E442" s="43"/>
      <c r="F442" s="43"/>
      <c r="G442" s="57" t="str">
        <f aca="false">IF($A442="","",E442*IF(F442="",1,F442))</f>
        <v/>
      </c>
      <c r="H442" s="31" t="str">
        <f aca="false">IF($A442="","",IF(SUMIF($A$6:$A$600,$A442,$G$6:$G$600)=0,0,G442/SUMIF($A$6:$A$600,$A442,$G$6:$G$600)))</f>
        <v/>
      </c>
      <c r="I442" s="30" t="str">
        <f aca="false">IF($A442="","",IFERROR(INDEX('Cotação de Materiais'!$H$4:$H$200,MATCH($A442,'Cotação de Materiais'!$A$4:$A$200,0)),IFERROR(INDEX('Mão de Obra e Serviços'!$G$4:$G$200,MATCH($A442,'Mão de Obra e Serviços'!$A$4:$A$200,0)),0)))</f>
        <v/>
      </c>
      <c r="K442" s="30" t="str">
        <f aca="false">IF($A442="","",I442*H442)</f>
        <v/>
      </c>
      <c r="L442" s="58"/>
      <c r="M442" s="54" t="str">
        <f aca="false">IF($A442="","",IF(B442="CÓDIGO?","CÓDIGO NÃO ACHADO",IF($D442="","FALTA ITEM DO ANEXO",IF($D442="INDIRETO","",IF(COUNTIFS('Anexo III'!$B$8:$B$400,$D442,'Anexo III'!$E$8:$E$400,"&gt;0")=0,"ITEM NÃO ACHADO NO ANEXO","")))))</f>
        <v/>
      </c>
    </row>
    <row r="443" customFormat="false" ht="15" hidden="false" customHeight="false" outlineLevel="0" collapsed="false">
      <c r="A443" s="43"/>
      <c r="B443" s="53" t="str">
        <f aca="false">IF($A443="","",IF(ISNUMBER(MATCH($A443,'Cotação de Materiais'!$A$4:$A$200,0)),"MAT",IF(ISNUMBER(MATCH($A443,'Mão de Obra e Serviços'!$A$4:$A$200,0)),"MO","CÓDIGO?")))</f>
        <v/>
      </c>
      <c r="C443" s="54" t="str">
        <f aca="false">IF($A443="","",IFERROR(INDEX('Cotação de Materiais'!$C$4:$C$200,MATCH($A443,'Cotação de Materiais'!$A$4:$A$200,0)),IFERROR(INDEX('Mão de Obra e Serviços'!$B$4:$B$200,MATCH($A443,'Mão de Obra e Serviços'!$A$4:$A$200,0)),"")))</f>
        <v/>
      </c>
      <c r="D443" s="43"/>
      <c r="E443" s="43"/>
      <c r="F443" s="43"/>
      <c r="G443" s="57" t="str">
        <f aca="false">IF($A443="","",E443*IF(F443="",1,F443))</f>
        <v/>
      </c>
      <c r="H443" s="31" t="str">
        <f aca="false">IF($A443="","",IF(SUMIF($A$6:$A$600,$A443,$G$6:$G$600)=0,0,G443/SUMIF($A$6:$A$600,$A443,$G$6:$G$600)))</f>
        <v/>
      </c>
      <c r="I443" s="30" t="str">
        <f aca="false">IF($A443="","",IFERROR(INDEX('Cotação de Materiais'!$H$4:$H$200,MATCH($A443,'Cotação de Materiais'!$A$4:$A$200,0)),IFERROR(INDEX('Mão de Obra e Serviços'!$G$4:$G$200,MATCH($A443,'Mão de Obra e Serviços'!$A$4:$A$200,0)),0)))</f>
        <v/>
      </c>
      <c r="K443" s="30" t="str">
        <f aca="false">IF($A443="","",I443*H443)</f>
        <v/>
      </c>
      <c r="L443" s="58"/>
      <c r="M443" s="54" t="str">
        <f aca="false">IF($A443="","",IF(B443="CÓDIGO?","CÓDIGO NÃO ACHADO",IF($D443="","FALTA ITEM DO ANEXO",IF($D443="INDIRETO","",IF(COUNTIFS('Anexo III'!$B$8:$B$400,$D443,'Anexo III'!$E$8:$E$400,"&gt;0")=0,"ITEM NÃO ACHADO NO ANEXO","")))))</f>
        <v/>
      </c>
    </row>
    <row r="444" customFormat="false" ht="15" hidden="false" customHeight="false" outlineLevel="0" collapsed="false">
      <c r="A444" s="43"/>
      <c r="B444" s="53" t="str">
        <f aca="false">IF($A444="","",IF(ISNUMBER(MATCH($A444,'Cotação de Materiais'!$A$4:$A$200,0)),"MAT",IF(ISNUMBER(MATCH($A444,'Mão de Obra e Serviços'!$A$4:$A$200,0)),"MO","CÓDIGO?")))</f>
        <v/>
      </c>
      <c r="C444" s="54" t="str">
        <f aca="false">IF($A444="","",IFERROR(INDEX('Cotação de Materiais'!$C$4:$C$200,MATCH($A444,'Cotação de Materiais'!$A$4:$A$200,0)),IFERROR(INDEX('Mão de Obra e Serviços'!$B$4:$B$200,MATCH($A444,'Mão de Obra e Serviços'!$A$4:$A$200,0)),"")))</f>
        <v/>
      </c>
      <c r="D444" s="43"/>
      <c r="E444" s="43"/>
      <c r="F444" s="43"/>
      <c r="G444" s="57" t="str">
        <f aca="false">IF($A444="","",E444*IF(F444="",1,F444))</f>
        <v/>
      </c>
      <c r="H444" s="31" t="str">
        <f aca="false">IF($A444="","",IF(SUMIF($A$6:$A$600,$A444,$G$6:$G$600)=0,0,G444/SUMIF($A$6:$A$600,$A444,$G$6:$G$600)))</f>
        <v/>
      </c>
      <c r="I444" s="30" t="str">
        <f aca="false">IF($A444="","",IFERROR(INDEX('Cotação de Materiais'!$H$4:$H$200,MATCH($A444,'Cotação de Materiais'!$A$4:$A$200,0)),IFERROR(INDEX('Mão de Obra e Serviços'!$G$4:$G$200,MATCH($A444,'Mão de Obra e Serviços'!$A$4:$A$200,0)),0)))</f>
        <v/>
      </c>
      <c r="K444" s="30" t="str">
        <f aca="false">IF($A444="","",I444*H444)</f>
        <v/>
      </c>
      <c r="L444" s="58"/>
      <c r="M444" s="54" t="str">
        <f aca="false">IF($A444="","",IF(B444="CÓDIGO?","CÓDIGO NÃO ACHADO",IF($D444="","FALTA ITEM DO ANEXO",IF($D444="INDIRETO","",IF(COUNTIFS('Anexo III'!$B$8:$B$400,$D444,'Anexo III'!$E$8:$E$400,"&gt;0")=0,"ITEM NÃO ACHADO NO ANEXO","")))))</f>
        <v/>
      </c>
    </row>
    <row r="445" customFormat="false" ht="15" hidden="false" customHeight="false" outlineLevel="0" collapsed="false">
      <c r="A445" s="43"/>
      <c r="B445" s="53" t="str">
        <f aca="false">IF($A445="","",IF(ISNUMBER(MATCH($A445,'Cotação de Materiais'!$A$4:$A$200,0)),"MAT",IF(ISNUMBER(MATCH($A445,'Mão de Obra e Serviços'!$A$4:$A$200,0)),"MO","CÓDIGO?")))</f>
        <v/>
      </c>
      <c r="C445" s="54" t="str">
        <f aca="false">IF($A445="","",IFERROR(INDEX('Cotação de Materiais'!$C$4:$C$200,MATCH($A445,'Cotação de Materiais'!$A$4:$A$200,0)),IFERROR(INDEX('Mão de Obra e Serviços'!$B$4:$B$200,MATCH($A445,'Mão de Obra e Serviços'!$A$4:$A$200,0)),"")))</f>
        <v/>
      </c>
      <c r="D445" s="43"/>
      <c r="E445" s="43"/>
      <c r="F445" s="43"/>
      <c r="G445" s="57" t="str">
        <f aca="false">IF($A445="","",E445*IF(F445="",1,F445))</f>
        <v/>
      </c>
      <c r="H445" s="31" t="str">
        <f aca="false">IF($A445="","",IF(SUMIF($A$6:$A$600,$A445,$G$6:$G$600)=0,0,G445/SUMIF($A$6:$A$600,$A445,$G$6:$G$600)))</f>
        <v/>
      </c>
      <c r="I445" s="30" t="str">
        <f aca="false">IF($A445="","",IFERROR(INDEX('Cotação de Materiais'!$H$4:$H$200,MATCH($A445,'Cotação de Materiais'!$A$4:$A$200,0)),IFERROR(INDEX('Mão de Obra e Serviços'!$G$4:$G$200,MATCH($A445,'Mão de Obra e Serviços'!$A$4:$A$200,0)),0)))</f>
        <v/>
      </c>
      <c r="K445" s="30" t="str">
        <f aca="false">IF($A445="","",I445*H445)</f>
        <v/>
      </c>
      <c r="L445" s="58"/>
      <c r="M445" s="54" t="str">
        <f aca="false">IF($A445="","",IF(B445="CÓDIGO?","CÓDIGO NÃO ACHADO",IF($D445="","FALTA ITEM DO ANEXO",IF($D445="INDIRETO","",IF(COUNTIFS('Anexo III'!$B$8:$B$400,$D445,'Anexo III'!$E$8:$E$400,"&gt;0")=0,"ITEM NÃO ACHADO NO ANEXO","")))))</f>
        <v/>
      </c>
    </row>
    <row r="446" customFormat="false" ht="15" hidden="false" customHeight="false" outlineLevel="0" collapsed="false">
      <c r="A446" s="43"/>
      <c r="B446" s="53" t="str">
        <f aca="false">IF($A446="","",IF(ISNUMBER(MATCH($A446,'Cotação de Materiais'!$A$4:$A$200,0)),"MAT",IF(ISNUMBER(MATCH($A446,'Mão de Obra e Serviços'!$A$4:$A$200,0)),"MO","CÓDIGO?")))</f>
        <v/>
      </c>
      <c r="C446" s="54" t="str">
        <f aca="false">IF($A446="","",IFERROR(INDEX('Cotação de Materiais'!$C$4:$C$200,MATCH($A446,'Cotação de Materiais'!$A$4:$A$200,0)),IFERROR(INDEX('Mão de Obra e Serviços'!$B$4:$B$200,MATCH($A446,'Mão de Obra e Serviços'!$A$4:$A$200,0)),"")))</f>
        <v/>
      </c>
      <c r="D446" s="43"/>
      <c r="E446" s="43"/>
      <c r="F446" s="43"/>
      <c r="G446" s="57" t="str">
        <f aca="false">IF($A446="","",E446*IF(F446="",1,F446))</f>
        <v/>
      </c>
      <c r="H446" s="31" t="str">
        <f aca="false">IF($A446="","",IF(SUMIF($A$6:$A$600,$A446,$G$6:$G$600)=0,0,G446/SUMIF($A$6:$A$600,$A446,$G$6:$G$600)))</f>
        <v/>
      </c>
      <c r="I446" s="30" t="str">
        <f aca="false">IF($A446="","",IFERROR(INDEX('Cotação de Materiais'!$H$4:$H$200,MATCH($A446,'Cotação de Materiais'!$A$4:$A$200,0)),IFERROR(INDEX('Mão de Obra e Serviços'!$G$4:$G$200,MATCH($A446,'Mão de Obra e Serviços'!$A$4:$A$200,0)),0)))</f>
        <v/>
      </c>
      <c r="K446" s="30" t="str">
        <f aca="false">IF($A446="","",I446*H446)</f>
        <v/>
      </c>
      <c r="L446" s="58"/>
      <c r="M446" s="54" t="str">
        <f aca="false">IF($A446="","",IF(B446="CÓDIGO?","CÓDIGO NÃO ACHADO",IF($D446="","FALTA ITEM DO ANEXO",IF($D446="INDIRETO","",IF(COUNTIFS('Anexo III'!$B$8:$B$400,$D446,'Anexo III'!$E$8:$E$400,"&gt;0")=0,"ITEM NÃO ACHADO NO ANEXO","")))))</f>
        <v/>
      </c>
    </row>
    <row r="447" customFormat="false" ht="15" hidden="false" customHeight="false" outlineLevel="0" collapsed="false">
      <c r="A447" s="43"/>
      <c r="B447" s="53" t="str">
        <f aca="false">IF($A447="","",IF(ISNUMBER(MATCH($A447,'Cotação de Materiais'!$A$4:$A$200,0)),"MAT",IF(ISNUMBER(MATCH($A447,'Mão de Obra e Serviços'!$A$4:$A$200,0)),"MO","CÓDIGO?")))</f>
        <v/>
      </c>
      <c r="C447" s="54" t="str">
        <f aca="false">IF($A447="","",IFERROR(INDEX('Cotação de Materiais'!$C$4:$C$200,MATCH($A447,'Cotação de Materiais'!$A$4:$A$200,0)),IFERROR(INDEX('Mão de Obra e Serviços'!$B$4:$B$200,MATCH($A447,'Mão de Obra e Serviços'!$A$4:$A$200,0)),"")))</f>
        <v/>
      </c>
      <c r="D447" s="43"/>
      <c r="E447" s="43"/>
      <c r="F447" s="43"/>
      <c r="G447" s="57" t="str">
        <f aca="false">IF($A447="","",E447*IF(F447="",1,F447))</f>
        <v/>
      </c>
      <c r="H447" s="31" t="str">
        <f aca="false">IF($A447="","",IF(SUMIF($A$6:$A$600,$A447,$G$6:$G$600)=0,0,G447/SUMIF($A$6:$A$600,$A447,$G$6:$G$600)))</f>
        <v/>
      </c>
      <c r="I447" s="30" t="str">
        <f aca="false">IF($A447="","",IFERROR(INDEX('Cotação de Materiais'!$H$4:$H$200,MATCH($A447,'Cotação de Materiais'!$A$4:$A$200,0)),IFERROR(INDEX('Mão de Obra e Serviços'!$G$4:$G$200,MATCH($A447,'Mão de Obra e Serviços'!$A$4:$A$200,0)),0)))</f>
        <v/>
      </c>
      <c r="K447" s="30" t="str">
        <f aca="false">IF($A447="","",I447*H447)</f>
        <v/>
      </c>
      <c r="L447" s="58"/>
      <c r="M447" s="54" t="str">
        <f aca="false">IF($A447="","",IF(B447="CÓDIGO?","CÓDIGO NÃO ACHADO",IF($D447="","FALTA ITEM DO ANEXO",IF($D447="INDIRETO","",IF(COUNTIFS('Anexo III'!$B$8:$B$400,$D447,'Anexo III'!$E$8:$E$400,"&gt;0")=0,"ITEM NÃO ACHADO NO ANEXO","")))))</f>
        <v/>
      </c>
    </row>
    <row r="448" customFormat="false" ht="15" hidden="false" customHeight="false" outlineLevel="0" collapsed="false">
      <c r="A448" s="43"/>
      <c r="B448" s="53" t="str">
        <f aca="false">IF($A448="","",IF(ISNUMBER(MATCH($A448,'Cotação de Materiais'!$A$4:$A$200,0)),"MAT",IF(ISNUMBER(MATCH($A448,'Mão de Obra e Serviços'!$A$4:$A$200,0)),"MO","CÓDIGO?")))</f>
        <v/>
      </c>
      <c r="C448" s="54" t="str">
        <f aca="false">IF($A448="","",IFERROR(INDEX('Cotação de Materiais'!$C$4:$C$200,MATCH($A448,'Cotação de Materiais'!$A$4:$A$200,0)),IFERROR(INDEX('Mão de Obra e Serviços'!$B$4:$B$200,MATCH($A448,'Mão de Obra e Serviços'!$A$4:$A$200,0)),"")))</f>
        <v/>
      </c>
      <c r="D448" s="43"/>
      <c r="E448" s="43"/>
      <c r="F448" s="43"/>
      <c r="G448" s="57" t="str">
        <f aca="false">IF($A448="","",E448*IF(F448="",1,F448))</f>
        <v/>
      </c>
      <c r="H448" s="31" t="str">
        <f aca="false">IF($A448="","",IF(SUMIF($A$6:$A$600,$A448,$G$6:$G$600)=0,0,G448/SUMIF($A$6:$A$600,$A448,$G$6:$G$600)))</f>
        <v/>
      </c>
      <c r="I448" s="30" t="str">
        <f aca="false">IF($A448="","",IFERROR(INDEX('Cotação de Materiais'!$H$4:$H$200,MATCH($A448,'Cotação de Materiais'!$A$4:$A$200,0)),IFERROR(INDEX('Mão de Obra e Serviços'!$G$4:$G$200,MATCH($A448,'Mão de Obra e Serviços'!$A$4:$A$200,0)),0)))</f>
        <v/>
      </c>
      <c r="K448" s="30" t="str">
        <f aca="false">IF($A448="","",I448*H448)</f>
        <v/>
      </c>
      <c r="L448" s="58"/>
      <c r="M448" s="54" t="str">
        <f aca="false">IF($A448="","",IF(B448="CÓDIGO?","CÓDIGO NÃO ACHADO",IF($D448="","FALTA ITEM DO ANEXO",IF($D448="INDIRETO","",IF(COUNTIFS('Anexo III'!$B$8:$B$400,$D448,'Anexo III'!$E$8:$E$400,"&gt;0")=0,"ITEM NÃO ACHADO NO ANEXO","")))))</f>
        <v/>
      </c>
    </row>
    <row r="449" customFormat="false" ht="15" hidden="false" customHeight="false" outlineLevel="0" collapsed="false">
      <c r="A449" s="43"/>
      <c r="B449" s="53" t="str">
        <f aca="false">IF($A449="","",IF(ISNUMBER(MATCH($A449,'Cotação de Materiais'!$A$4:$A$200,0)),"MAT",IF(ISNUMBER(MATCH($A449,'Mão de Obra e Serviços'!$A$4:$A$200,0)),"MO","CÓDIGO?")))</f>
        <v/>
      </c>
      <c r="C449" s="54" t="str">
        <f aca="false">IF($A449="","",IFERROR(INDEX('Cotação de Materiais'!$C$4:$C$200,MATCH($A449,'Cotação de Materiais'!$A$4:$A$200,0)),IFERROR(INDEX('Mão de Obra e Serviços'!$B$4:$B$200,MATCH($A449,'Mão de Obra e Serviços'!$A$4:$A$200,0)),"")))</f>
        <v/>
      </c>
      <c r="D449" s="43"/>
      <c r="E449" s="43"/>
      <c r="F449" s="43"/>
      <c r="G449" s="57" t="str">
        <f aca="false">IF($A449="","",E449*IF(F449="",1,F449))</f>
        <v/>
      </c>
      <c r="H449" s="31" t="str">
        <f aca="false">IF($A449="","",IF(SUMIF($A$6:$A$600,$A449,$G$6:$G$600)=0,0,G449/SUMIF($A$6:$A$600,$A449,$G$6:$G$600)))</f>
        <v/>
      </c>
      <c r="I449" s="30" t="str">
        <f aca="false">IF($A449="","",IFERROR(INDEX('Cotação de Materiais'!$H$4:$H$200,MATCH($A449,'Cotação de Materiais'!$A$4:$A$200,0)),IFERROR(INDEX('Mão de Obra e Serviços'!$G$4:$G$200,MATCH($A449,'Mão de Obra e Serviços'!$A$4:$A$200,0)),0)))</f>
        <v/>
      </c>
      <c r="K449" s="30" t="str">
        <f aca="false">IF($A449="","",I449*H449)</f>
        <v/>
      </c>
      <c r="L449" s="58"/>
      <c r="M449" s="54" t="str">
        <f aca="false">IF($A449="","",IF(B449="CÓDIGO?","CÓDIGO NÃO ACHADO",IF($D449="","FALTA ITEM DO ANEXO",IF($D449="INDIRETO","",IF(COUNTIFS('Anexo III'!$B$8:$B$400,$D449,'Anexo III'!$E$8:$E$400,"&gt;0")=0,"ITEM NÃO ACHADO NO ANEXO","")))))</f>
        <v/>
      </c>
    </row>
    <row r="450" customFormat="false" ht="15" hidden="false" customHeight="false" outlineLevel="0" collapsed="false">
      <c r="A450" s="43"/>
      <c r="B450" s="53" t="str">
        <f aca="false">IF($A450="","",IF(ISNUMBER(MATCH($A450,'Cotação de Materiais'!$A$4:$A$200,0)),"MAT",IF(ISNUMBER(MATCH($A450,'Mão de Obra e Serviços'!$A$4:$A$200,0)),"MO","CÓDIGO?")))</f>
        <v/>
      </c>
      <c r="C450" s="54" t="str">
        <f aca="false">IF($A450="","",IFERROR(INDEX('Cotação de Materiais'!$C$4:$C$200,MATCH($A450,'Cotação de Materiais'!$A$4:$A$200,0)),IFERROR(INDEX('Mão de Obra e Serviços'!$B$4:$B$200,MATCH($A450,'Mão de Obra e Serviços'!$A$4:$A$200,0)),"")))</f>
        <v/>
      </c>
      <c r="D450" s="43"/>
      <c r="E450" s="43"/>
      <c r="F450" s="43"/>
      <c r="G450" s="57" t="str">
        <f aca="false">IF($A450="","",E450*IF(F450="",1,F450))</f>
        <v/>
      </c>
      <c r="H450" s="31" t="str">
        <f aca="false">IF($A450="","",IF(SUMIF($A$6:$A$600,$A450,$G$6:$G$600)=0,0,G450/SUMIF($A$6:$A$600,$A450,$G$6:$G$600)))</f>
        <v/>
      </c>
      <c r="I450" s="30" t="str">
        <f aca="false">IF($A450="","",IFERROR(INDEX('Cotação de Materiais'!$H$4:$H$200,MATCH($A450,'Cotação de Materiais'!$A$4:$A$200,0)),IFERROR(INDEX('Mão de Obra e Serviços'!$G$4:$G$200,MATCH($A450,'Mão de Obra e Serviços'!$A$4:$A$200,0)),0)))</f>
        <v/>
      </c>
      <c r="K450" s="30" t="str">
        <f aca="false">IF($A450="","",I450*H450)</f>
        <v/>
      </c>
      <c r="L450" s="58"/>
      <c r="M450" s="54" t="str">
        <f aca="false">IF($A450="","",IF(B450="CÓDIGO?","CÓDIGO NÃO ACHADO",IF($D450="","FALTA ITEM DO ANEXO",IF($D450="INDIRETO","",IF(COUNTIFS('Anexo III'!$B$8:$B$400,$D450,'Anexo III'!$E$8:$E$400,"&gt;0")=0,"ITEM NÃO ACHADO NO ANEXO","")))))</f>
        <v/>
      </c>
    </row>
    <row r="451" customFormat="false" ht="15" hidden="false" customHeight="false" outlineLevel="0" collapsed="false">
      <c r="A451" s="43"/>
      <c r="B451" s="53" t="str">
        <f aca="false">IF($A451="","",IF(ISNUMBER(MATCH($A451,'Cotação de Materiais'!$A$4:$A$200,0)),"MAT",IF(ISNUMBER(MATCH($A451,'Mão de Obra e Serviços'!$A$4:$A$200,0)),"MO","CÓDIGO?")))</f>
        <v/>
      </c>
      <c r="C451" s="54" t="str">
        <f aca="false">IF($A451="","",IFERROR(INDEX('Cotação de Materiais'!$C$4:$C$200,MATCH($A451,'Cotação de Materiais'!$A$4:$A$200,0)),IFERROR(INDEX('Mão de Obra e Serviços'!$B$4:$B$200,MATCH($A451,'Mão de Obra e Serviços'!$A$4:$A$200,0)),"")))</f>
        <v/>
      </c>
      <c r="D451" s="43"/>
      <c r="E451" s="43"/>
      <c r="F451" s="43"/>
      <c r="G451" s="57" t="str">
        <f aca="false">IF($A451="","",E451*IF(F451="",1,F451))</f>
        <v/>
      </c>
      <c r="H451" s="31" t="str">
        <f aca="false">IF($A451="","",IF(SUMIF($A$6:$A$600,$A451,$G$6:$G$600)=0,0,G451/SUMIF($A$6:$A$600,$A451,$G$6:$G$600)))</f>
        <v/>
      </c>
      <c r="I451" s="30" t="str">
        <f aca="false">IF($A451="","",IFERROR(INDEX('Cotação de Materiais'!$H$4:$H$200,MATCH($A451,'Cotação de Materiais'!$A$4:$A$200,0)),IFERROR(INDEX('Mão de Obra e Serviços'!$G$4:$G$200,MATCH($A451,'Mão de Obra e Serviços'!$A$4:$A$200,0)),0)))</f>
        <v/>
      </c>
      <c r="K451" s="30" t="str">
        <f aca="false">IF($A451="","",I451*H451)</f>
        <v/>
      </c>
      <c r="L451" s="58"/>
      <c r="M451" s="54" t="str">
        <f aca="false">IF($A451="","",IF(B451="CÓDIGO?","CÓDIGO NÃO ACHADO",IF($D451="","FALTA ITEM DO ANEXO",IF($D451="INDIRETO","",IF(COUNTIFS('Anexo III'!$B$8:$B$400,$D451,'Anexo III'!$E$8:$E$400,"&gt;0")=0,"ITEM NÃO ACHADO NO ANEXO","")))))</f>
        <v/>
      </c>
    </row>
    <row r="452" customFormat="false" ht="15" hidden="false" customHeight="false" outlineLevel="0" collapsed="false">
      <c r="A452" s="43"/>
      <c r="B452" s="53" t="str">
        <f aca="false">IF($A452="","",IF(ISNUMBER(MATCH($A452,'Cotação de Materiais'!$A$4:$A$200,0)),"MAT",IF(ISNUMBER(MATCH($A452,'Mão de Obra e Serviços'!$A$4:$A$200,0)),"MO","CÓDIGO?")))</f>
        <v/>
      </c>
      <c r="C452" s="54" t="str">
        <f aca="false">IF($A452="","",IFERROR(INDEX('Cotação de Materiais'!$C$4:$C$200,MATCH($A452,'Cotação de Materiais'!$A$4:$A$200,0)),IFERROR(INDEX('Mão de Obra e Serviços'!$B$4:$B$200,MATCH($A452,'Mão de Obra e Serviços'!$A$4:$A$200,0)),"")))</f>
        <v/>
      </c>
      <c r="D452" s="43"/>
      <c r="E452" s="43"/>
      <c r="F452" s="43"/>
      <c r="G452" s="57" t="str">
        <f aca="false">IF($A452="","",E452*IF(F452="",1,F452))</f>
        <v/>
      </c>
      <c r="H452" s="31" t="str">
        <f aca="false">IF($A452="","",IF(SUMIF($A$6:$A$600,$A452,$G$6:$G$600)=0,0,G452/SUMIF($A$6:$A$600,$A452,$G$6:$G$600)))</f>
        <v/>
      </c>
      <c r="I452" s="30" t="str">
        <f aca="false">IF($A452="","",IFERROR(INDEX('Cotação de Materiais'!$H$4:$H$200,MATCH($A452,'Cotação de Materiais'!$A$4:$A$200,0)),IFERROR(INDEX('Mão de Obra e Serviços'!$G$4:$G$200,MATCH($A452,'Mão de Obra e Serviços'!$A$4:$A$200,0)),0)))</f>
        <v/>
      </c>
      <c r="K452" s="30" t="str">
        <f aca="false">IF($A452="","",I452*H452)</f>
        <v/>
      </c>
      <c r="L452" s="58"/>
      <c r="M452" s="54" t="str">
        <f aca="false">IF($A452="","",IF(B452="CÓDIGO?","CÓDIGO NÃO ACHADO",IF($D452="","FALTA ITEM DO ANEXO",IF($D452="INDIRETO","",IF(COUNTIFS('Anexo III'!$B$8:$B$400,$D452,'Anexo III'!$E$8:$E$400,"&gt;0")=0,"ITEM NÃO ACHADO NO ANEXO","")))))</f>
        <v/>
      </c>
    </row>
    <row r="453" customFormat="false" ht="15" hidden="false" customHeight="false" outlineLevel="0" collapsed="false">
      <c r="A453" s="43"/>
      <c r="B453" s="53" t="str">
        <f aca="false">IF($A453="","",IF(ISNUMBER(MATCH($A453,'Cotação de Materiais'!$A$4:$A$200,0)),"MAT",IF(ISNUMBER(MATCH($A453,'Mão de Obra e Serviços'!$A$4:$A$200,0)),"MO","CÓDIGO?")))</f>
        <v/>
      </c>
      <c r="C453" s="54" t="str">
        <f aca="false">IF($A453="","",IFERROR(INDEX('Cotação de Materiais'!$C$4:$C$200,MATCH($A453,'Cotação de Materiais'!$A$4:$A$200,0)),IFERROR(INDEX('Mão de Obra e Serviços'!$B$4:$B$200,MATCH($A453,'Mão de Obra e Serviços'!$A$4:$A$200,0)),"")))</f>
        <v/>
      </c>
      <c r="D453" s="43"/>
      <c r="E453" s="43"/>
      <c r="F453" s="43"/>
      <c r="G453" s="57" t="str">
        <f aca="false">IF($A453="","",E453*IF(F453="",1,F453))</f>
        <v/>
      </c>
      <c r="H453" s="31" t="str">
        <f aca="false">IF($A453="","",IF(SUMIF($A$6:$A$600,$A453,$G$6:$G$600)=0,0,G453/SUMIF($A$6:$A$600,$A453,$G$6:$G$600)))</f>
        <v/>
      </c>
      <c r="I453" s="30" t="str">
        <f aca="false">IF($A453="","",IFERROR(INDEX('Cotação de Materiais'!$H$4:$H$200,MATCH($A453,'Cotação de Materiais'!$A$4:$A$200,0)),IFERROR(INDEX('Mão de Obra e Serviços'!$G$4:$G$200,MATCH($A453,'Mão de Obra e Serviços'!$A$4:$A$200,0)),0)))</f>
        <v/>
      </c>
      <c r="K453" s="30" t="str">
        <f aca="false">IF($A453="","",I453*H453)</f>
        <v/>
      </c>
      <c r="L453" s="58"/>
      <c r="M453" s="54" t="str">
        <f aca="false">IF($A453="","",IF(B453="CÓDIGO?","CÓDIGO NÃO ACHADO",IF($D453="","FALTA ITEM DO ANEXO",IF($D453="INDIRETO","",IF(COUNTIFS('Anexo III'!$B$8:$B$400,$D453,'Anexo III'!$E$8:$E$400,"&gt;0")=0,"ITEM NÃO ACHADO NO ANEXO","")))))</f>
        <v/>
      </c>
    </row>
    <row r="454" customFormat="false" ht="15" hidden="false" customHeight="false" outlineLevel="0" collapsed="false">
      <c r="A454" s="43"/>
      <c r="B454" s="53" t="str">
        <f aca="false">IF($A454="","",IF(ISNUMBER(MATCH($A454,'Cotação de Materiais'!$A$4:$A$200,0)),"MAT",IF(ISNUMBER(MATCH($A454,'Mão de Obra e Serviços'!$A$4:$A$200,0)),"MO","CÓDIGO?")))</f>
        <v/>
      </c>
      <c r="C454" s="54" t="str">
        <f aca="false">IF($A454="","",IFERROR(INDEX('Cotação de Materiais'!$C$4:$C$200,MATCH($A454,'Cotação de Materiais'!$A$4:$A$200,0)),IFERROR(INDEX('Mão de Obra e Serviços'!$B$4:$B$200,MATCH($A454,'Mão de Obra e Serviços'!$A$4:$A$200,0)),"")))</f>
        <v/>
      </c>
      <c r="D454" s="43"/>
      <c r="E454" s="43"/>
      <c r="F454" s="43"/>
      <c r="G454" s="57" t="str">
        <f aca="false">IF($A454="","",E454*IF(F454="",1,F454))</f>
        <v/>
      </c>
      <c r="H454" s="31" t="str">
        <f aca="false">IF($A454="","",IF(SUMIF($A$6:$A$600,$A454,$G$6:$G$600)=0,0,G454/SUMIF($A$6:$A$600,$A454,$G$6:$G$600)))</f>
        <v/>
      </c>
      <c r="I454" s="30" t="str">
        <f aca="false">IF($A454="","",IFERROR(INDEX('Cotação de Materiais'!$H$4:$H$200,MATCH($A454,'Cotação de Materiais'!$A$4:$A$200,0)),IFERROR(INDEX('Mão de Obra e Serviços'!$G$4:$G$200,MATCH($A454,'Mão de Obra e Serviços'!$A$4:$A$200,0)),0)))</f>
        <v/>
      </c>
      <c r="K454" s="30" t="str">
        <f aca="false">IF($A454="","",I454*H454)</f>
        <v/>
      </c>
      <c r="L454" s="58"/>
      <c r="M454" s="54" t="str">
        <f aca="false">IF($A454="","",IF(B454="CÓDIGO?","CÓDIGO NÃO ACHADO",IF($D454="","FALTA ITEM DO ANEXO",IF($D454="INDIRETO","",IF(COUNTIFS('Anexo III'!$B$8:$B$400,$D454,'Anexo III'!$E$8:$E$400,"&gt;0")=0,"ITEM NÃO ACHADO NO ANEXO","")))))</f>
        <v/>
      </c>
    </row>
    <row r="455" customFormat="false" ht="15" hidden="false" customHeight="false" outlineLevel="0" collapsed="false">
      <c r="A455" s="43"/>
      <c r="B455" s="53" t="str">
        <f aca="false">IF($A455="","",IF(ISNUMBER(MATCH($A455,'Cotação de Materiais'!$A$4:$A$200,0)),"MAT",IF(ISNUMBER(MATCH($A455,'Mão de Obra e Serviços'!$A$4:$A$200,0)),"MO","CÓDIGO?")))</f>
        <v/>
      </c>
      <c r="C455" s="54" t="str">
        <f aca="false">IF($A455="","",IFERROR(INDEX('Cotação de Materiais'!$C$4:$C$200,MATCH($A455,'Cotação de Materiais'!$A$4:$A$200,0)),IFERROR(INDEX('Mão de Obra e Serviços'!$B$4:$B$200,MATCH($A455,'Mão de Obra e Serviços'!$A$4:$A$200,0)),"")))</f>
        <v/>
      </c>
      <c r="D455" s="43"/>
      <c r="E455" s="43"/>
      <c r="F455" s="43"/>
      <c r="G455" s="57" t="str">
        <f aca="false">IF($A455="","",E455*IF(F455="",1,F455))</f>
        <v/>
      </c>
      <c r="H455" s="31" t="str">
        <f aca="false">IF($A455="","",IF(SUMIF($A$6:$A$600,$A455,$G$6:$G$600)=0,0,G455/SUMIF($A$6:$A$600,$A455,$G$6:$G$600)))</f>
        <v/>
      </c>
      <c r="I455" s="30" t="str">
        <f aca="false">IF($A455="","",IFERROR(INDEX('Cotação de Materiais'!$H$4:$H$200,MATCH($A455,'Cotação de Materiais'!$A$4:$A$200,0)),IFERROR(INDEX('Mão de Obra e Serviços'!$G$4:$G$200,MATCH($A455,'Mão de Obra e Serviços'!$A$4:$A$200,0)),0)))</f>
        <v/>
      </c>
      <c r="K455" s="30" t="str">
        <f aca="false">IF($A455="","",I455*H455)</f>
        <v/>
      </c>
      <c r="L455" s="58"/>
      <c r="M455" s="54" t="str">
        <f aca="false">IF($A455="","",IF(B455="CÓDIGO?","CÓDIGO NÃO ACHADO",IF($D455="","FALTA ITEM DO ANEXO",IF($D455="INDIRETO","",IF(COUNTIFS('Anexo III'!$B$8:$B$400,$D455,'Anexo III'!$E$8:$E$400,"&gt;0")=0,"ITEM NÃO ACHADO NO ANEXO","")))))</f>
        <v/>
      </c>
    </row>
    <row r="456" customFormat="false" ht="15" hidden="false" customHeight="false" outlineLevel="0" collapsed="false">
      <c r="A456" s="43"/>
      <c r="B456" s="53" t="str">
        <f aca="false">IF($A456="","",IF(ISNUMBER(MATCH($A456,'Cotação de Materiais'!$A$4:$A$200,0)),"MAT",IF(ISNUMBER(MATCH($A456,'Mão de Obra e Serviços'!$A$4:$A$200,0)),"MO","CÓDIGO?")))</f>
        <v/>
      </c>
      <c r="C456" s="54" t="str">
        <f aca="false">IF($A456="","",IFERROR(INDEX('Cotação de Materiais'!$C$4:$C$200,MATCH($A456,'Cotação de Materiais'!$A$4:$A$200,0)),IFERROR(INDEX('Mão de Obra e Serviços'!$B$4:$B$200,MATCH($A456,'Mão de Obra e Serviços'!$A$4:$A$200,0)),"")))</f>
        <v/>
      </c>
      <c r="D456" s="43"/>
      <c r="E456" s="43"/>
      <c r="F456" s="43"/>
      <c r="G456" s="57" t="str">
        <f aca="false">IF($A456="","",E456*IF(F456="",1,F456))</f>
        <v/>
      </c>
      <c r="H456" s="31" t="str">
        <f aca="false">IF($A456="","",IF(SUMIF($A$6:$A$600,$A456,$G$6:$G$600)=0,0,G456/SUMIF($A$6:$A$600,$A456,$G$6:$G$600)))</f>
        <v/>
      </c>
      <c r="I456" s="30" t="str">
        <f aca="false">IF($A456="","",IFERROR(INDEX('Cotação de Materiais'!$H$4:$H$200,MATCH($A456,'Cotação de Materiais'!$A$4:$A$200,0)),IFERROR(INDEX('Mão de Obra e Serviços'!$G$4:$G$200,MATCH($A456,'Mão de Obra e Serviços'!$A$4:$A$200,0)),0)))</f>
        <v/>
      </c>
      <c r="K456" s="30" t="str">
        <f aca="false">IF($A456="","",I456*H456)</f>
        <v/>
      </c>
      <c r="L456" s="58"/>
      <c r="M456" s="54" t="str">
        <f aca="false">IF($A456="","",IF(B456="CÓDIGO?","CÓDIGO NÃO ACHADO",IF($D456="","FALTA ITEM DO ANEXO",IF($D456="INDIRETO","",IF(COUNTIFS('Anexo III'!$B$8:$B$400,$D456,'Anexo III'!$E$8:$E$400,"&gt;0")=0,"ITEM NÃO ACHADO NO ANEXO","")))))</f>
        <v/>
      </c>
    </row>
    <row r="457" customFormat="false" ht="15" hidden="false" customHeight="false" outlineLevel="0" collapsed="false">
      <c r="A457" s="43"/>
      <c r="B457" s="53" t="str">
        <f aca="false">IF($A457="","",IF(ISNUMBER(MATCH($A457,'Cotação de Materiais'!$A$4:$A$200,0)),"MAT",IF(ISNUMBER(MATCH($A457,'Mão de Obra e Serviços'!$A$4:$A$200,0)),"MO","CÓDIGO?")))</f>
        <v/>
      </c>
      <c r="C457" s="54" t="str">
        <f aca="false">IF($A457="","",IFERROR(INDEX('Cotação de Materiais'!$C$4:$C$200,MATCH($A457,'Cotação de Materiais'!$A$4:$A$200,0)),IFERROR(INDEX('Mão de Obra e Serviços'!$B$4:$B$200,MATCH($A457,'Mão de Obra e Serviços'!$A$4:$A$200,0)),"")))</f>
        <v/>
      </c>
      <c r="D457" s="43"/>
      <c r="E457" s="43"/>
      <c r="F457" s="43"/>
      <c r="G457" s="57" t="str">
        <f aca="false">IF($A457="","",E457*IF(F457="",1,F457))</f>
        <v/>
      </c>
      <c r="H457" s="31" t="str">
        <f aca="false">IF($A457="","",IF(SUMIF($A$6:$A$600,$A457,$G$6:$G$600)=0,0,G457/SUMIF($A$6:$A$600,$A457,$G$6:$G$600)))</f>
        <v/>
      </c>
      <c r="I457" s="30" t="str">
        <f aca="false">IF($A457="","",IFERROR(INDEX('Cotação de Materiais'!$H$4:$H$200,MATCH($A457,'Cotação de Materiais'!$A$4:$A$200,0)),IFERROR(INDEX('Mão de Obra e Serviços'!$G$4:$G$200,MATCH($A457,'Mão de Obra e Serviços'!$A$4:$A$200,0)),0)))</f>
        <v/>
      </c>
      <c r="K457" s="30" t="str">
        <f aca="false">IF($A457="","",I457*H457)</f>
        <v/>
      </c>
      <c r="L457" s="58"/>
      <c r="M457" s="54" t="str">
        <f aca="false">IF($A457="","",IF(B457="CÓDIGO?","CÓDIGO NÃO ACHADO",IF($D457="","FALTA ITEM DO ANEXO",IF($D457="INDIRETO","",IF(COUNTIFS('Anexo III'!$B$8:$B$400,$D457,'Anexo III'!$E$8:$E$400,"&gt;0")=0,"ITEM NÃO ACHADO NO ANEXO","")))))</f>
        <v/>
      </c>
    </row>
    <row r="458" customFormat="false" ht="15" hidden="false" customHeight="false" outlineLevel="0" collapsed="false">
      <c r="A458" s="43"/>
      <c r="B458" s="53" t="str">
        <f aca="false">IF($A458="","",IF(ISNUMBER(MATCH($A458,'Cotação de Materiais'!$A$4:$A$200,0)),"MAT",IF(ISNUMBER(MATCH($A458,'Mão de Obra e Serviços'!$A$4:$A$200,0)),"MO","CÓDIGO?")))</f>
        <v/>
      </c>
      <c r="C458" s="54" t="str">
        <f aca="false">IF($A458="","",IFERROR(INDEX('Cotação de Materiais'!$C$4:$C$200,MATCH($A458,'Cotação de Materiais'!$A$4:$A$200,0)),IFERROR(INDEX('Mão de Obra e Serviços'!$B$4:$B$200,MATCH($A458,'Mão de Obra e Serviços'!$A$4:$A$200,0)),"")))</f>
        <v/>
      </c>
      <c r="D458" s="43"/>
      <c r="E458" s="43"/>
      <c r="F458" s="43"/>
      <c r="G458" s="57" t="str">
        <f aca="false">IF($A458="","",E458*IF(F458="",1,F458))</f>
        <v/>
      </c>
      <c r="H458" s="31" t="str">
        <f aca="false">IF($A458="","",IF(SUMIF($A$6:$A$600,$A458,$G$6:$G$600)=0,0,G458/SUMIF($A$6:$A$600,$A458,$G$6:$G$600)))</f>
        <v/>
      </c>
      <c r="I458" s="30" t="str">
        <f aca="false">IF($A458="","",IFERROR(INDEX('Cotação de Materiais'!$H$4:$H$200,MATCH($A458,'Cotação de Materiais'!$A$4:$A$200,0)),IFERROR(INDEX('Mão de Obra e Serviços'!$G$4:$G$200,MATCH($A458,'Mão de Obra e Serviços'!$A$4:$A$200,0)),0)))</f>
        <v/>
      </c>
      <c r="K458" s="30" t="str">
        <f aca="false">IF($A458="","",I458*H458)</f>
        <v/>
      </c>
      <c r="L458" s="58"/>
      <c r="M458" s="54" t="str">
        <f aca="false">IF($A458="","",IF(B458="CÓDIGO?","CÓDIGO NÃO ACHADO",IF($D458="","FALTA ITEM DO ANEXO",IF($D458="INDIRETO","",IF(COUNTIFS('Anexo III'!$B$8:$B$400,$D458,'Anexo III'!$E$8:$E$400,"&gt;0")=0,"ITEM NÃO ACHADO NO ANEXO","")))))</f>
        <v/>
      </c>
    </row>
    <row r="459" customFormat="false" ht="15" hidden="false" customHeight="false" outlineLevel="0" collapsed="false">
      <c r="A459" s="43"/>
      <c r="B459" s="53" t="str">
        <f aca="false">IF($A459="","",IF(ISNUMBER(MATCH($A459,'Cotação de Materiais'!$A$4:$A$200,0)),"MAT",IF(ISNUMBER(MATCH($A459,'Mão de Obra e Serviços'!$A$4:$A$200,0)),"MO","CÓDIGO?")))</f>
        <v/>
      </c>
      <c r="C459" s="54" t="str">
        <f aca="false">IF($A459="","",IFERROR(INDEX('Cotação de Materiais'!$C$4:$C$200,MATCH($A459,'Cotação de Materiais'!$A$4:$A$200,0)),IFERROR(INDEX('Mão de Obra e Serviços'!$B$4:$B$200,MATCH($A459,'Mão de Obra e Serviços'!$A$4:$A$200,0)),"")))</f>
        <v/>
      </c>
      <c r="D459" s="43"/>
      <c r="E459" s="43"/>
      <c r="F459" s="43"/>
      <c r="G459" s="57" t="str">
        <f aca="false">IF($A459="","",E459*IF(F459="",1,F459))</f>
        <v/>
      </c>
      <c r="H459" s="31" t="str">
        <f aca="false">IF($A459="","",IF(SUMIF($A$6:$A$600,$A459,$G$6:$G$600)=0,0,G459/SUMIF($A$6:$A$600,$A459,$G$6:$G$600)))</f>
        <v/>
      </c>
      <c r="I459" s="30" t="str">
        <f aca="false">IF($A459="","",IFERROR(INDEX('Cotação de Materiais'!$H$4:$H$200,MATCH($A459,'Cotação de Materiais'!$A$4:$A$200,0)),IFERROR(INDEX('Mão de Obra e Serviços'!$G$4:$G$200,MATCH($A459,'Mão de Obra e Serviços'!$A$4:$A$200,0)),0)))</f>
        <v/>
      </c>
      <c r="K459" s="30" t="str">
        <f aca="false">IF($A459="","",I459*H459)</f>
        <v/>
      </c>
      <c r="L459" s="58"/>
      <c r="M459" s="54" t="str">
        <f aca="false">IF($A459="","",IF(B459="CÓDIGO?","CÓDIGO NÃO ACHADO",IF($D459="","FALTA ITEM DO ANEXO",IF($D459="INDIRETO","",IF(COUNTIFS('Anexo III'!$B$8:$B$400,$D459,'Anexo III'!$E$8:$E$400,"&gt;0")=0,"ITEM NÃO ACHADO NO ANEXO","")))))</f>
        <v/>
      </c>
    </row>
    <row r="460" customFormat="false" ht="15" hidden="false" customHeight="false" outlineLevel="0" collapsed="false">
      <c r="A460" s="43"/>
      <c r="B460" s="53" t="str">
        <f aca="false">IF($A460="","",IF(ISNUMBER(MATCH($A460,'Cotação de Materiais'!$A$4:$A$200,0)),"MAT",IF(ISNUMBER(MATCH($A460,'Mão de Obra e Serviços'!$A$4:$A$200,0)),"MO","CÓDIGO?")))</f>
        <v/>
      </c>
      <c r="C460" s="54" t="str">
        <f aca="false">IF($A460="","",IFERROR(INDEX('Cotação de Materiais'!$C$4:$C$200,MATCH($A460,'Cotação de Materiais'!$A$4:$A$200,0)),IFERROR(INDEX('Mão de Obra e Serviços'!$B$4:$B$200,MATCH($A460,'Mão de Obra e Serviços'!$A$4:$A$200,0)),"")))</f>
        <v/>
      </c>
      <c r="D460" s="43"/>
      <c r="E460" s="43"/>
      <c r="F460" s="43"/>
      <c r="G460" s="57" t="str">
        <f aca="false">IF($A460="","",E460*IF(F460="",1,F460))</f>
        <v/>
      </c>
      <c r="H460" s="31" t="str">
        <f aca="false">IF($A460="","",IF(SUMIF($A$6:$A$600,$A460,$G$6:$G$600)=0,0,G460/SUMIF($A$6:$A$600,$A460,$G$6:$G$600)))</f>
        <v/>
      </c>
      <c r="I460" s="30" t="str">
        <f aca="false">IF($A460="","",IFERROR(INDEX('Cotação de Materiais'!$H$4:$H$200,MATCH($A460,'Cotação de Materiais'!$A$4:$A$200,0)),IFERROR(INDEX('Mão de Obra e Serviços'!$G$4:$G$200,MATCH($A460,'Mão de Obra e Serviços'!$A$4:$A$200,0)),0)))</f>
        <v/>
      </c>
      <c r="K460" s="30" t="str">
        <f aca="false">IF($A460="","",I460*H460)</f>
        <v/>
      </c>
      <c r="L460" s="58"/>
      <c r="M460" s="54" t="str">
        <f aca="false">IF($A460="","",IF(B460="CÓDIGO?","CÓDIGO NÃO ACHADO",IF($D460="","FALTA ITEM DO ANEXO",IF($D460="INDIRETO","",IF(COUNTIFS('Anexo III'!$B$8:$B$400,$D460,'Anexo III'!$E$8:$E$400,"&gt;0")=0,"ITEM NÃO ACHADO NO ANEXO","")))))</f>
        <v/>
      </c>
    </row>
    <row r="461" customFormat="false" ht="15" hidden="false" customHeight="false" outlineLevel="0" collapsed="false">
      <c r="A461" s="43"/>
      <c r="B461" s="53" t="str">
        <f aca="false">IF($A461="","",IF(ISNUMBER(MATCH($A461,'Cotação de Materiais'!$A$4:$A$200,0)),"MAT",IF(ISNUMBER(MATCH($A461,'Mão de Obra e Serviços'!$A$4:$A$200,0)),"MO","CÓDIGO?")))</f>
        <v/>
      </c>
      <c r="C461" s="54" t="str">
        <f aca="false">IF($A461="","",IFERROR(INDEX('Cotação de Materiais'!$C$4:$C$200,MATCH($A461,'Cotação de Materiais'!$A$4:$A$200,0)),IFERROR(INDEX('Mão de Obra e Serviços'!$B$4:$B$200,MATCH($A461,'Mão de Obra e Serviços'!$A$4:$A$200,0)),"")))</f>
        <v/>
      </c>
      <c r="D461" s="43"/>
      <c r="E461" s="43"/>
      <c r="F461" s="43"/>
      <c r="G461" s="57" t="str">
        <f aca="false">IF($A461="","",E461*IF(F461="",1,F461))</f>
        <v/>
      </c>
      <c r="H461" s="31" t="str">
        <f aca="false">IF($A461="","",IF(SUMIF($A$6:$A$600,$A461,$G$6:$G$600)=0,0,G461/SUMIF($A$6:$A$600,$A461,$G$6:$G$600)))</f>
        <v/>
      </c>
      <c r="I461" s="30" t="str">
        <f aca="false">IF($A461="","",IFERROR(INDEX('Cotação de Materiais'!$H$4:$H$200,MATCH($A461,'Cotação de Materiais'!$A$4:$A$200,0)),IFERROR(INDEX('Mão de Obra e Serviços'!$G$4:$G$200,MATCH($A461,'Mão de Obra e Serviços'!$A$4:$A$200,0)),0)))</f>
        <v/>
      </c>
      <c r="K461" s="30" t="str">
        <f aca="false">IF($A461="","",I461*H461)</f>
        <v/>
      </c>
      <c r="L461" s="58"/>
      <c r="M461" s="54" t="str">
        <f aca="false">IF($A461="","",IF(B461="CÓDIGO?","CÓDIGO NÃO ACHADO",IF($D461="","FALTA ITEM DO ANEXO",IF($D461="INDIRETO","",IF(COUNTIFS('Anexo III'!$B$8:$B$400,$D461,'Anexo III'!$E$8:$E$400,"&gt;0")=0,"ITEM NÃO ACHADO NO ANEXO","")))))</f>
        <v/>
      </c>
    </row>
    <row r="462" customFormat="false" ht="15" hidden="false" customHeight="false" outlineLevel="0" collapsed="false">
      <c r="A462" s="43"/>
      <c r="B462" s="53" t="str">
        <f aca="false">IF($A462="","",IF(ISNUMBER(MATCH($A462,'Cotação de Materiais'!$A$4:$A$200,0)),"MAT",IF(ISNUMBER(MATCH($A462,'Mão de Obra e Serviços'!$A$4:$A$200,0)),"MO","CÓDIGO?")))</f>
        <v/>
      </c>
      <c r="C462" s="54" t="str">
        <f aca="false">IF($A462="","",IFERROR(INDEX('Cotação de Materiais'!$C$4:$C$200,MATCH($A462,'Cotação de Materiais'!$A$4:$A$200,0)),IFERROR(INDEX('Mão de Obra e Serviços'!$B$4:$B$200,MATCH($A462,'Mão de Obra e Serviços'!$A$4:$A$200,0)),"")))</f>
        <v/>
      </c>
      <c r="D462" s="43"/>
      <c r="E462" s="43"/>
      <c r="F462" s="43"/>
      <c r="G462" s="57" t="str">
        <f aca="false">IF($A462="","",E462*IF(F462="",1,F462))</f>
        <v/>
      </c>
      <c r="H462" s="31" t="str">
        <f aca="false">IF($A462="","",IF(SUMIF($A$6:$A$600,$A462,$G$6:$G$600)=0,0,G462/SUMIF($A$6:$A$600,$A462,$G$6:$G$600)))</f>
        <v/>
      </c>
      <c r="I462" s="30" t="str">
        <f aca="false">IF($A462="","",IFERROR(INDEX('Cotação de Materiais'!$H$4:$H$200,MATCH($A462,'Cotação de Materiais'!$A$4:$A$200,0)),IFERROR(INDEX('Mão de Obra e Serviços'!$G$4:$G$200,MATCH($A462,'Mão de Obra e Serviços'!$A$4:$A$200,0)),0)))</f>
        <v/>
      </c>
      <c r="K462" s="30" t="str">
        <f aca="false">IF($A462="","",I462*H462)</f>
        <v/>
      </c>
      <c r="L462" s="58"/>
      <c r="M462" s="54" t="str">
        <f aca="false">IF($A462="","",IF(B462="CÓDIGO?","CÓDIGO NÃO ACHADO",IF($D462="","FALTA ITEM DO ANEXO",IF($D462="INDIRETO","",IF(COUNTIFS('Anexo III'!$B$8:$B$400,$D462,'Anexo III'!$E$8:$E$400,"&gt;0")=0,"ITEM NÃO ACHADO NO ANEXO","")))))</f>
        <v/>
      </c>
    </row>
    <row r="463" customFormat="false" ht="15" hidden="false" customHeight="false" outlineLevel="0" collapsed="false">
      <c r="A463" s="43"/>
      <c r="B463" s="53" t="str">
        <f aca="false">IF($A463="","",IF(ISNUMBER(MATCH($A463,'Cotação de Materiais'!$A$4:$A$200,0)),"MAT",IF(ISNUMBER(MATCH($A463,'Mão de Obra e Serviços'!$A$4:$A$200,0)),"MO","CÓDIGO?")))</f>
        <v/>
      </c>
      <c r="C463" s="54" t="str">
        <f aca="false">IF($A463="","",IFERROR(INDEX('Cotação de Materiais'!$C$4:$C$200,MATCH($A463,'Cotação de Materiais'!$A$4:$A$200,0)),IFERROR(INDEX('Mão de Obra e Serviços'!$B$4:$B$200,MATCH($A463,'Mão de Obra e Serviços'!$A$4:$A$200,0)),"")))</f>
        <v/>
      </c>
      <c r="D463" s="43"/>
      <c r="E463" s="43"/>
      <c r="F463" s="43"/>
      <c r="G463" s="57" t="str">
        <f aca="false">IF($A463="","",E463*IF(F463="",1,F463))</f>
        <v/>
      </c>
      <c r="H463" s="31" t="str">
        <f aca="false">IF($A463="","",IF(SUMIF($A$6:$A$600,$A463,$G$6:$G$600)=0,0,G463/SUMIF($A$6:$A$600,$A463,$G$6:$G$600)))</f>
        <v/>
      </c>
      <c r="I463" s="30" t="str">
        <f aca="false">IF($A463="","",IFERROR(INDEX('Cotação de Materiais'!$H$4:$H$200,MATCH($A463,'Cotação de Materiais'!$A$4:$A$200,0)),IFERROR(INDEX('Mão de Obra e Serviços'!$G$4:$G$200,MATCH($A463,'Mão de Obra e Serviços'!$A$4:$A$200,0)),0)))</f>
        <v/>
      </c>
      <c r="K463" s="30" t="str">
        <f aca="false">IF($A463="","",I463*H463)</f>
        <v/>
      </c>
      <c r="L463" s="58"/>
      <c r="M463" s="54" t="str">
        <f aca="false">IF($A463="","",IF(B463="CÓDIGO?","CÓDIGO NÃO ACHADO",IF($D463="","FALTA ITEM DO ANEXO",IF($D463="INDIRETO","",IF(COUNTIFS('Anexo III'!$B$8:$B$400,$D463,'Anexo III'!$E$8:$E$400,"&gt;0")=0,"ITEM NÃO ACHADO NO ANEXO","")))))</f>
        <v/>
      </c>
    </row>
    <row r="464" customFormat="false" ht="15" hidden="false" customHeight="false" outlineLevel="0" collapsed="false">
      <c r="A464" s="43"/>
      <c r="B464" s="53" t="str">
        <f aca="false">IF($A464="","",IF(ISNUMBER(MATCH($A464,'Cotação de Materiais'!$A$4:$A$200,0)),"MAT",IF(ISNUMBER(MATCH($A464,'Mão de Obra e Serviços'!$A$4:$A$200,0)),"MO","CÓDIGO?")))</f>
        <v/>
      </c>
      <c r="C464" s="54" t="str">
        <f aca="false">IF($A464="","",IFERROR(INDEX('Cotação de Materiais'!$C$4:$C$200,MATCH($A464,'Cotação de Materiais'!$A$4:$A$200,0)),IFERROR(INDEX('Mão de Obra e Serviços'!$B$4:$B$200,MATCH($A464,'Mão de Obra e Serviços'!$A$4:$A$200,0)),"")))</f>
        <v/>
      </c>
      <c r="D464" s="43"/>
      <c r="E464" s="43"/>
      <c r="F464" s="43"/>
      <c r="G464" s="57" t="str">
        <f aca="false">IF($A464="","",E464*IF(F464="",1,F464))</f>
        <v/>
      </c>
      <c r="H464" s="31" t="str">
        <f aca="false">IF($A464="","",IF(SUMIF($A$6:$A$600,$A464,$G$6:$G$600)=0,0,G464/SUMIF($A$6:$A$600,$A464,$G$6:$G$600)))</f>
        <v/>
      </c>
      <c r="I464" s="30" t="str">
        <f aca="false">IF($A464="","",IFERROR(INDEX('Cotação de Materiais'!$H$4:$H$200,MATCH($A464,'Cotação de Materiais'!$A$4:$A$200,0)),IFERROR(INDEX('Mão de Obra e Serviços'!$G$4:$G$200,MATCH($A464,'Mão de Obra e Serviços'!$A$4:$A$200,0)),0)))</f>
        <v/>
      </c>
      <c r="K464" s="30" t="str">
        <f aca="false">IF($A464="","",I464*H464)</f>
        <v/>
      </c>
      <c r="L464" s="58"/>
      <c r="M464" s="54" t="str">
        <f aca="false">IF($A464="","",IF(B464="CÓDIGO?","CÓDIGO NÃO ACHADO",IF($D464="","FALTA ITEM DO ANEXO",IF($D464="INDIRETO","",IF(COUNTIFS('Anexo III'!$B$8:$B$400,$D464,'Anexo III'!$E$8:$E$400,"&gt;0")=0,"ITEM NÃO ACHADO NO ANEXO","")))))</f>
        <v/>
      </c>
    </row>
    <row r="465" customFormat="false" ht="15" hidden="false" customHeight="false" outlineLevel="0" collapsed="false">
      <c r="A465" s="43"/>
      <c r="B465" s="53" t="str">
        <f aca="false">IF($A465="","",IF(ISNUMBER(MATCH($A465,'Cotação de Materiais'!$A$4:$A$200,0)),"MAT",IF(ISNUMBER(MATCH($A465,'Mão de Obra e Serviços'!$A$4:$A$200,0)),"MO","CÓDIGO?")))</f>
        <v/>
      </c>
      <c r="C465" s="54" t="str">
        <f aca="false">IF($A465="","",IFERROR(INDEX('Cotação de Materiais'!$C$4:$C$200,MATCH($A465,'Cotação de Materiais'!$A$4:$A$200,0)),IFERROR(INDEX('Mão de Obra e Serviços'!$B$4:$B$200,MATCH($A465,'Mão de Obra e Serviços'!$A$4:$A$200,0)),"")))</f>
        <v/>
      </c>
      <c r="D465" s="43"/>
      <c r="E465" s="43"/>
      <c r="F465" s="43"/>
      <c r="G465" s="57" t="str">
        <f aca="false">IF($A465="","",E465*IF(F465="",1,F465))</f>
        <v/>
      </c>
      <c r="H465" s="31" t="str">
        <f aca="false">IF($A465="","",IF(SUMIF($A$6:$A$600,$A465,$G$6:$G$600)=0,0,G465/SUMIF($A$6:$A$600,$A465,$G$6:$G$600)))</f>
        <v/>
      </c>
      <c r="I465" s="30" t="str">
        <f aca="false">IF($A465="","",IFERROR(INDEX('Cotação de Materiais'!$H$4:$H$200,MATCH($A465,'Cotação de Materiais'!$A$4:$A$200,0)),IFERROR(INDEX('Mão de Obra e Serviços'!$G$4:$G$200,MATCH($A465,'Mão de Obra e Serviços'!$A$4:$A$200,0)),0)))</f>
        <v/>
      </c>
      <c r="K465" s="30" t="str">
        <f aca="false">IF($A465="","",I465*H465)</f>
        <v/>
      </c>
      <c r="L465" s="58"/>
      <c r="M465" s="54" t="str">
        <f aca="false">IF($A465="","",IF(B465="CÓDIGO?","CÓDIGO NÃO ACHADO",IF($D465="","FALTA ITEM DO ANEXO",IF($D465="INDIRETO","",IF(COUNTIFS('Anexo III'!$B$8:$B$400,$D465,'Anexo III'!$E$8:$E$400,"&gt;0")=0,"ITEM NÃO ACHADO NO ANEXO","")))))</f>
        <v/>
      </c>
    </row>
    <row r="466" customFormat="false" ht="15" hidden="false" customHeight="false" outlineLevel="0" collapsed="false">
      <c r="A466" s="43"/>
      <c r="B466" s="53" t="str">
        <f aca="false">IF($A466="","",IF(ISNUMBER(MATCH($A466,'Cotação de Materiais'!$A$4:$A$200,0)),"MAT",IF(ISNUMBER(MATCH($A466,'Mão de Obra e Serviços'!$A$4:$A$200,0)),"MO","CÓDIGO?")))</f>
        <v/>
      </c>
      <c r="C466" s="54" t="str">
        <f aca="false">IF($A466="","",IFERROR(INDEX('Cotação de Materiais'!$C$4:$C$200,MATCH($A466,'Cotação de Materiais'!$A$4:$A$200,0)),IFERROR(INDEX('Mão de Obra e Serviços'!$B$4:$B$200,MATCH($A466,'Mão de Obra e Serviços'!$A$4:$A$200,0)),"")))</f>
        <v/>
      </c>
      <c r="D466" s="43"/>
      <c r="E466" s="43"/>
      <c r="F466" s="43"/>
      <c r="G466" s="57" t="str">
        <f aca="false">IF($A466="","",E466*IF(F466="",1,F466))</f>
        <v/>
      </c>
      <c r="H466" s="31" t="str">
        <f aca="false">IF($A466="","",IF(SUMIF($A$6:$A$600,$A466,$G$6:$G$600)=0,0,G466/SUMIF($A$6:$A$600,$A466,$G$6:$G$600)))</f>
        <v/>
      </c>
      <c r="I466" s="30" t="str">
        <f aca="false">IF($A466="","",IFERROR(INDEX('Cotação de Materiais'!$H$4:$H$200,MATCH($A466,'Cotação de Materiais'!$A$4:$A$200,0)),IFERROR(INDEX('Mão de Obra e Serviços'!$G$4:$G$200,MATCH($A466,'Mão de Obra e Serviços'!$A$4:$A$200,0)),0)))</f>
        <v/>
      </c>
      <c r="K466" s="30" t="str">
        <f aca="false">IF($A466="","",I466*H466)</f>
        <v/>
      </c>
      <c r="L466" s="58"/>
      <c r="M466" s="54" t="str">
        <f aca="false">IF($A466="","",IF(B466="CÓDIGO?","CÓDIGO NÃO ACHADO",IF($D466="","FALTA ITEM DO ANEXO",IF($D466="INDIRETO","",IF(COUNTIFS('Anexo III'!$B$8:$B$400,$D466,'Anexo III'!$E$8:$E$400,"&gt;0")=0,"ITEM NÃO ACHADO NO ANEXO","")))))</f>
        <v/>
      </c>
    </row>
    <row r="467" customFormat="false" ht="15" hidden="false" customHeight="false" outlineLevel="0" collapsed="false">
      <c r="A467" s="43"/>
      <c r="B467" s="53" t="str">
        <f aca="false">IF($A467="","",IF(ISNUMBER(MATCH($A467,'Cotação de Materiais'!$A$4:$A$200,0)),"MAT",IF(ISNUMBER(MATCH($A467,'Mão de Obra e Serviços'!$A$4:$A$200,0)),"MO","CÓDIGO?")))</f>
        <v/>
      </c>
      <c r="C467" s="54" t="str">
        <f aca="false">IF($A467="","",IFERROR(INDEX('Cotação de Materiais'!$C$4:$C$200,MATCH($A467,'Cotação de Materiais'!$A$4:$A$200,0)),IFERROR(INDEX('Mão de Obra e Serviços'!$B$4:$B$200,MATCH($A467,'Mão de Obra e Serviços'!$A$4:$A$200,0)),"")))</f>
        <v/>
      </c>
      <c r="D467" s="43"/>
      <c r="E467" s="43"/>
      <c r="F467" s="43"/>
      <c r="G467" s="57" t="str">
        <f aca="false">IF($A467="","",E467*IF(F467="",1,F467))</f>
        <v/>
      </c>
      <c r="H467" s="31" t="str">
        <f aca="false">IF($A467="","",IF(SUMIF($A$6:$A$600,$A467,$G$6:$G$600)=0,0,G467/SUMIF($A$6:$A$600,$A467,$G$6:$G$600)))</f>
        <v/>
      </c>
      <c r="I467" s="30" t="str">
        <f aca="false">IF($A467="","",IFERROR(INDEX('Cotação de Materiais'!$H$4:$H$200,MATCH($A467,'Cotação de Materiais'!$A$4:$A$200,0)),IFERROR(INDEX('Mão de Obra e Serviços'!$G$4:$G$200,MATCH($A467,'Mão de Obra e Serviços'!$A$4:$A$200,0)),0)))</f>
        <v/>
      </c>
      <c r="K467" s="30" t="str">
        <f aca="false">IF($A467="","",I467*H467)</f>
        <v/>
      </c>
      <c r="L467" s="58"/>
      <c r="M467" s="54" t="str">
        <f aca="false">IF($A467="","",IF(B467="CÓDIGO?","CÓDIGO NÃO ACHADO",IF($D467="","FALTA ITEM DO ANEXO",IF($D467="INDIRETO","",IF(COUNTIFS('Anexo III'!$B$8:$B$400,$D467,'Anexo III'!$E$8:$E$400,"&gt;0")=0,"ITEM NÃO ACHADO NO ANEXO","")))))</f>
        <v/>
      </c>
    </row>
    <row r="468" customFormat="false" ht="15" hidden="false" customHeight="false" outlineLevel="0" collapsed="false">
      <c r="A468" s="43"/>
      <c r="B468" s="53" t="str">
        <f aca="false">IF($A468="","",IF(ISNUMBER(MATCH($A468,'Cotação de Materiais'!$A$4:$A$200,0)),"MAT",IF(ISNUMBER(MATCH($A468,'Mão de Obra e Serviços'!$A$4:$A$200,0)),"MO","CÓDIGO?")))</f>
        <v/>
      </c>
      <c r="C468" s="54" t="str">
        <f aca="false">IF($A468="","",IFERROR(INDEX('Cotação de Materiais'!$C$4:$C$200,MATCH($A468,'Cotação de Materiais'!$A$4:$A$200,0)),IFERROR(INDEX('Mão de Obra e Serviços'!$B$4:$B$200,MATCH($A468,'Mão de Obra e Serviços'!$A$4:$A$200,0)),"")))</f>
        <v/>
      </c>
      <c r="D468" s="43"/>
      <c r="E468" s="43"/>
      <c r="F468" s="43"/>
      <c r="G468" s="57" t="str">
        <f aca="false">IF($A468="","",E468*IF(F468="",1,F468))</f>
        <v/>
      </c>
      <c r="H468" s="31" t="str">
        <f aca="false">IF($A468="","",IF(SUMIF($A$6:$A$600,$A468,$G$6:$G$600)=0,0,G468/SUMIF($A$6:$A$600,$A468,$G$6:$G$600)))</f>
        <v/>
      </c>
      <c r="I468" s="30" t="str">
        <f aca="false">IF($A468="","",IFERROR(INDEX('Cotação de Materiais'!$H$4:$H$200,MATCH($A468,'Cotação de Materiais'!$A$4:$A$200,0)),IFERROR(INDEX('Mão de Obra e Serviços'!$G$4:$G$200,MATCH($A468,'Mão de Obra e Serviços'!$A$4:$A$200,0)),0)))</f>
        <v/>
      </c>
      <c r="K468" s="30" t="str">
        <f aca="false">IF($A468="","",I468*H468)</f>
        <v/>
      </c>
      <c r="L468" s="58"/>
      <c r="M468" s="54" t="str">
        <f aca="false">IF($A468="","",IF(B468="CÓDIGO?","CÓDIGO NÃO ACHADO",IF($D468="","FALTA ITEM DO ANEXO",IF($D468="INDIRETO","",IF(COUNTIFS('Anexo III'!$B$8:$B$400,$D468,'Anexo III'!$E$8:$E$400,"&gt;0")=0,"ITEM NÃO ACHADO NO ANEXO","")))))</f>
        <v/>
      </c>
    </row>
    <row r="469" customFormat="false" ht="15" hidden="false" customHeight="false" outlineLevel="0" collapsed="false">
      <c r="A469" s="43"/>
      <c r="B469" s="53" t="str">
        <f aca="false">IF($A469="","",IF(ISNUMBER(MATCH($A469,'Cotação de Materiais'!$A$4:$A$200,0)),"MAT",IF(ISNUMBER(MATCH($A469,'Mão de Obra e Serviços'!$A$4:$A$200,0)),"MO","CÓDIGO?")))</f>
        <v/>
      </c>
      <c r="C469" s="54" t="str">
        <f aca="false">IF($A469="","",IFERROR(INDEX('Cotação de Materiais'!$C$4:$C$200,MATCH($A469,'Cotação de Materiais'!$A$4:$A$200,0)),IFERROR(INDEX('Mão de Obra e Serviços'!$B$4:$B$200,MATCH($A469,'Mão de Obra e Serviços'!$A$4:$A$200,0)),"")))</f>
        <v/>
      </c>
      <c r="D469" s="43"/>
      <c r="E469" s="43"/>
      <c r="F469" s="43"/>
      <c r="G469" s="57" t="str">
        <f aca="false">IF($A469="","",E469*IF(F469="",1,F469))</f>
        <v/>
      </c>
      <c r="H469" s="31" t="str">
        <f aca="false">IF($A469="","",IF(SUMIF($A$6:$A$600,$A469,$G$6:$G$600)=0,0,G469/SUMIF($A$6:$A$600,$A469,$G$6:$G$600)))</f>
        <v/>
      </c>
      <c r="I469" s="30" t="str">
        <f aca="false">IF($A469="","",IFERROR(INDEX('Cotação de Materiais'!$H$4:$H$200,MATCH($A469,'Cotação de Materiais'!$A$4:$A$200,0)),IFERROR(INDEX('Mão de Obra e Serviços'!$G$4:$G$200,MATCH($A469,'Mão de Obra e Serviços'!$A$4:$A$200,0)),0)))</f>
        <v/>
      </c>
      <c r="K469" s="30" t="str">
        <f aca="false">IF($A469="","",I469*H469)</f>
        <v/>
      </c>
      <c r="L469" s="58"/>
      <c r="M469" s="54" t="str">
        <f aca="false">IF($A469="","",IF(B469="CÓDIGO?","CÓDIGO NÃO ACHADO",IF($D469="","FALTA ITEM DO ANEXO",IF($D469="INDIRETO","",IF(COUNTIFS('Anexo III'!$B$8:$B$400,$D469,'Anexo III'!$E$8:$E$400,"&gt;0")=0,"ITEM NÃO ACHADO NO ANEXO","")))))</f>
        <v/>
      </c>
    </row>
    <row r="470" customFormat="false" ht="15" hidden="false" customHeight="false" outlineLevel="0" collapsed="false">
      <c r="A470" s="43"/>
      <c r="B470" s="53" t="str">
        <f aca="false">IF($A470="","",IF(ISNUMBER(MATCH($A470,'Cotação de Materiais'!$A$4:$A$200,0)),"MAT",IF(ISNUMBER(MATCH($A470,'Mão de Obra e Serviços'!$A$4:$A$200,0)),"MO","CÓDIGO?")))</f>
        <v/>
      </c>
      <c r="C470" s="54" t="str">
        <f aca="false">IF($A470="","",IFERROR(INDEX('Cotação de Materiais'!$C$4:$C$200,MATCH($A470,'Cotação de Materiais'!$A$4:$A$200,0)),IFERROR(INDEX('Mão de Obra e Serviços'!$B$4:$B$200,MATCH($A470,'Mão de Obra e Serviços'!$A$4:$A$200,0)),"")))</f>
        <v/>
      </c>
      <c r="D470" s="43"/>
      <c r="E470" s="43"/>
      <c r="F470" s="43"/>
      <c r="G470" s="57" t="str">
        <f aca="false">IF($A470="","",E470*IF(F470="",1,F470))</f>
        <v/>
      </c>
      <c r="H470" s="31" t="str">
        <f aca="false">IF($A470="","",IF(SUMIF($A$6:$A$600,$A470,$G$6:$G$600)=0,0,G470/SUMIF($A$6:$A$600,$A470,$G$6:$G$600)))</f>
        <v/>
      </c>
      <c r="I470" s="30" t="str">
        <f aca="false">IF($A470="","",IFERROR(INDEX('Cotação de Materiais'!$H$4:$H$200,MATCH($A470,'Cotação de Materiais'!$A$4:$A$200,0)),IFERROR(INDEX('Mão de Obra e Serviços'!$G$4:$G$200,MATCH($A470,'Mão de Obra e Serviços'!$A$4:$A$200,0)),0)))</f>
        <v/>
      </c>
      <c r="K470" s="30" t="str">
        <f aca="false">IF($A470="","",I470*H470)</f>
        <v/>
      </c>
      <c r="L470" s="58"/>
      <c r="M470" s="54" t="str">
        <f aca="false">IF($A470="","",IF(B470="CÓDIGO?","CÓDIGO NÃO ACHADO",IF($D470="","FALTA ITEM DO ANEXO",IF($D470="INDIRETO","",IF(COUNTIFS('Anexo III'!$B$8:$B$400,$D470,'Anexo III'!$E$8:$E$400,"&gt;0")=0,"ITEM NÃO ACHADO NO ANEXO","")))))</f>
        <v/>
      </c>
    </row>
    <row r="471" customFormat="false" ht="15" hidden="false" customHeight="false" outlineLevel="0" collapsed="false">
      <c r="A471" s="43"/>
      <c r="B471" s="53" t="str">
        <f aca="false">IF($A471="","",IF(ISNUMBER(MATCH($A471,'Cotação de Materiais'!$A$4:$A$200,0)),"MAT",IF(ISNUMBER(MATCH($A471,'Mão de Obra e Serviços'!$A$4:$A$200,0)),"MO","CÓDIGO?")))</f>
        <v/>
      </c>
      <c r="C471" s="54" t="str">
        <f aca="false">IF($A471="","",IFERROR(INDEX('Cotação de Materiais'!$C$4:$C$200,MATCH($A471,'Cotação de Materiais'!$A$4:$A$200,0)),IFERROR(INDEX('Mão de Obra e Serviços'!$B$4:$B$200,MATCH($A471,'Mão de Obra e Serviços'!$A$4:$A$200,0)),"")))</f>
        <v/>
      </c>
      <c r="D471" s="43"/>
      <c r="E471" s="43"/>
      <c r="F471" s="43"/>
      <c r="G471" s="57" t="str">
        <f aca="false">IF($A471="","",E471*IF(F471="",1,F471))</f>
        <v/>
      </c>
      <c r="H471" s="31" t="str">
        <f aca="false">IF($A471="","",IF(SUMIF($A$6:$A$600,$A471,$G$6:$G$600)=0,0,G471/SUMIF($A$6:$A$600,$A471,$G$6:$G$600)))</f>
        <v/>
      </c>
      <c r="I471" s="30" t="str">
        <f aca="false">IF($A471="","",IFERROR(INDEX('Cotação de Materiais'!$H$4:$H$200,MATCH($A471,'Cotação de Materiais'!$A$4:$A$200,0)),IFERROR(INDEX('Mão de Obra e Serviços'!$G$4:$G$200,MATCH($A471,'Mão de Obra e Serviços'!$A$4:$A$200,0)),0)))</f>
        <v/>
      </c>
      <c r="K471" s="30" t="str">
        <f aca="false">IF($A471="","",I471*H471)</f>
        <v/>
      </c>
      <c r="L471" s="58"/>
      <c r="M471" s="54" t="str">
        <f aca="false">IF($A471="","",IF(B471="CÓDIGO?","CÓDIGO NÃO ACHADO",IF($D471="","FALTA ITEM DO ANEXO",IF($D471="INDIRETO","",IF(COUNTIFS('Anexo III'!$B$8:$B$400,$D471,'Anexo III'!$E$8:$E$400,"&gt;0")=0,"ITEM NÃO ACHADO NO ANEXO","")))))</f>
        <v/>
      </c>
    </row>
    <row r="472" customFormat="false" ht="15" hidden="false" customHeight="false" outlineLevel="0" collapsed="false">
      <c r="A472" s="43"/>
      <c r="B472" s="53" t="str">
        <f aca="false">IF($A472="","",IF(ISNUMBER(MATCH($A472,'Cotação de Materiais'!$A$4:$A$200,0)),"MAT",IF(ISNUMBER(MATCH($A472,'Mão de Obra e Serviços'!$A$4:$A$200,0)),"MO","CÓDIGO?")))</f>
        <v/>
      </c>
      <c r="C472" s="54" t="str">
        <f aca="false">IF($A472="","",IFERROR(INDEX('Cotação de Materiais'!$C$4:$C$200,MATCH($A472,'Cotação de Materiais'!$A$4:$A$200,0)),IFERROR(INDEX('Mão de Obra e Serviços'!$B$4:$B$200,MATCH($A472,'Mão de Obra e Serviços'!$A$4:$A$200,0)),"")))</f>
        <v/>
      </c>
      <c r="D472" s="43"/>
      <c r="E472" s="43"/>
      <c r="F472" s="43"/>
      <c r="G472" s="57" t="str">
        <f aca="false">IF($A472="","",E472*IF(F472="",1,F472))</f>
        <v/>
      </c>
      <c r="H472" s="31" t="str">
        <f aca="false">IF($A472="","",IF(SUMIF($A$6:$A$600,$A472,$G$6:$G$600)=0,0,G472/SUMIF($A$6:$A$600,$A472,$G$6:$G$600)))</f>
        <v/>
      </c>
      <c r="I472" s="30" t="str">
        <f aca="false">IF($A472="","",IFERROR(INDEX('Cotação de Materiais'!$H$4:$H$200,MATCH($A472,'Cotação de Materiais'!$A$4:$A$200,0)),IFERROR(INDEX('Mão de Obra e Serviços'!$G$4:$G$200,MATCH($A472,'Mão de Obra e Serviços'!$A$4:$A$200,0)),0)))</f>
        <v/>
      </c>
      <c r="K472" s="30" t="str">
        <f aca="false">IF($A472="","",I472*H472)</f>
        <v/>
      </c>
      <c r="L472" s="58"/>
      <c r="M472" s="54" t="str">
        <f aca="false">IF($A472="","",IF(B472="CÓDIGO?","CÓDIGO NÃO ACHADO",IF($D472="","FALTA ITEM DO ANEXO",IF($D472="INDIRETO","",IF(COUNTIFS('Anexo III'!$B$8:$B$400,$D472,'Anexo III'!$E$8:$E$400,"&gt;0")=0,"ITEM NÃO ACHADO NO ANEXO","")))))</f>
        <v/>
      </c>
    </row>
    <row r="473" customFormat="false" ht="15" hidden="false" customHeight="false" outlineLevel="0" collapsed="false">
      <c r="A473" s="43"/>
      <c r="B473" s="53" t="str">
        <f aca="false">IF($A473="","",IF(ISNUMBER(MATCH($A473,'Cotação de Materiais'!$A$4:$A$200,0)),"MAT",IF(ISNUMBER(MATCH($A473,'Mão de Obra e Serviços'!$A$4:$A$200,0)),"MO","CÓDIGO?")))</f>
        <v/>
      </c>
      <c r="C473" s="54" t="str">
        <f aca="false">IF($A473="","",IFERROR(INDEX('Cotação de Materiais'!$C$4:$C$200,MATCH($A473,'Cotação de Materiais'!$A$4:$A$200,0)),IFERROR(INDEX('Mão de Obra e Serviços'!$B$4:$B$200,MATCH($A473,'Mão de Obra e Serviços'!$A$4:$A$200,0)),"")))</f>
        <v/>
      </c>
      <c r="D473" s="43"/>
      <c r="E473" s="43"/>
      <c r="F473" s="43"/>
      <c r="G473" s="57" t="str">
        <f aca="false">IF($A473="","",E473*IF(F473="",1,F473))</f>
        <v/>
      </c>
      <c r="H473" s="31" t="str">
        <f aca="false">IF($A473="","",IF(SUMIF($A$6:$A$600,$A473,$G$6:$G$600)=0,0,G473/SUMIF($A$6:$A$600,$A473,$G$6:$G$600)))</f>
        <v/>
      </c>
      <c r="I473" s="30" t="str">
        <f aca="false">IF($A473="","",IFERROR(INDEX('Cotação de Materiais'!$H$4:$H$200,MATCH($A473,'Cotação de Materiais'!$A$4:$A$200,0)),IFERROR(INDEX('Mão de Obra e Serviços'!$G$4:$G$200,MATCH($A473,'Mão de Obra e Serviços'!$A$4:$A$200,0)),0)))</f>
        <v/>
      </c>
      <c r="K473" s="30" t="str">
        <f aca="false">IF($A473="","",I473*H473)</f>
        <v/>
      </c>
      <c r="L473" s="58"/>
      <c r="M473" s="54" t="str">
        <f aca="false">IF($A473="","",IF(B473="CÓDIGO?","CÓDIGO NÃO ACHADO",IF($D473="","FALTA ITEM DO ANEXO",IF($D473="INDIRETO","",IF(COUNTIFS('Anexo III'!$B$8:$B$400,$D473,'Anexo III'!$E$8:$E$400,"&gt;0")=0,"ITEM NÃO ACHADO NO ANEXO","")))))</f>
        <v/>
      </c>
    </row>
    <row r="474" customFormat="false" ht="15" hidden="false" customHeight="false" outlineLevel="0" collapsed="false">
      <c r="A474" s="43"/>
      <c r="B474" s="53" t="str">
        <f aca="false">IF($A474="","",IF(ISNUMBER(MATCH($A474,'Cotação de Materiais'!$A$4:$A$200,0)),"MAT",IF(ISNUMBER(MATCH($A474,'Mão de Obra e Serviços'!$A$4:$A$200,0)),"MO","CÓDIGO?")))</f>
        <v/>
      </c>
      <c r="C474" s="54" t="str">
        <f aca="false">IF($A474="","",IFERROR(INDEX('Cotação de Materiais'!$C$4:$C$200,MATCH($A474,'Cotação de Materiais'!$A$4:$A$200,0)),IFERROR(INDEX('Mão de Obra e Serviços'!$B$4:$B$200,MATCH($A474,'Mão de Obra e Serviços'!$A$4:$A$200,0)),"")))</f>
        <v/>
      </c>
      <c r="D474" s="43"/>
      <c r="E474" s="43"/>
      <c r="F474" s="43"/>
      <c r="G474" s="57" t="str">
        <f aca="false">IF($A474="","",E474*IF(F474="",1,F474))</f>
        <v/>
      </c>
      <c r="H474" s="31" t="str">
        <f aca="false">IF($A474="","",IF(SUMIF($A$6:$A$600,$A474,$G$6:$G$600)=0,0,G474/SUMIF($A$6:$A$600,$A474,$G$6:$G$600)))</f>
        <v/>
      </c>
      <c r="I474" s="30" t="str">
        <f aca="false">IF($A474="","",IFERROR(INDEX('Cotação de Materiais'!$H$4:$H$200,MATCH($A474,'Cotação de Materiais'!$A$4:$A$200,0)),IFERROR(INDEX('Mão de Obra e Serviços'!$G$4:$G$200,MATCH($A474,'Mão de Obra e Serviços'!$A$4:$A$200,0)),0)))</f>
        <v/>
      </c>
      <c r="K474" s="30" t="str">
        <f aca="false">IF($A474="","",I474*H474)</f>
        <v/>
      </c>
      <c r="L474" s="58"/>
      <c r="M474" s="54" t="str">
        <f aca="false">IF($A474="","",IF(B474="CÓDIGO?","CÓDIGO NÃO ACHADO",IF($D474="","FALTA ITEM DO ANEXO",IF($D474="INDIRETO","",IF(COUNTIFS('Anexo III'!$B$8:$B$400,$D474,'Anexo III'!$E$8:$E$400,"&gt;0")=0,"ITEM NÃO ACHADO NO ANEXO","")))))</f>
        <v/>
      </c>
    </row>
    <row r="475" customFormat="false" ht="15" hidden="false" customHeight="false" outlineLevel="0" collapsed="false">
      <c r="A475" s="43"/>
      <c r="B475" s="53" t="str">
        <f aca="false">IF($A475="","",IF(ISNUMBER(MATCH($A475,'Cotação de Materiais'!$A$4:$A$200,0)),"MAT",IF(ISNUMBER(MATCH($A475,'Mão de Obra e Serviços'!$A$4:$A$200,0)),"MO","CÓDIGO?")))</f>
        <v/>
      </c>
      <c r="C475" s="54" t="str">
        <f aca="false">IF($A475="","",IFERROR(INDEX('Cotação de Materiais'!$C$4:$C$200,MATCH($A475,'Cotação de Materiais'!$A$4:$A$200,0)),IFERROR(INDEX('Mão de Obra e Serviços'!$B$4:$B$200,MATCH($A475,'Mão de Obra e Serviços'!$A$4:$A$200,0)),"")))</f>
        <v/>
      </c>
      <c r="D475" s="43"/>
      <c r="E475" s="43"/>
      <c r="F475" s="43"/>
      <c r="G475" s="57" t="str">
        <f aca="false">IF($A475="","",E475*IF(F475="",1,F475))</f>
        <v/>
      </c>
      <c r="H475" s="31" t="str">
        <f aca="false">IF($A475="","",IF(SUMIF($A$6:$A$600,$A475,$G$6:$G$600)=0,0,G475/SUMIF($A$6:$A$600,$A475,$G$6:$G$600)))</f>
        <v/>
      </c>
      <c r="I475" s="30" t="str">
        <f aca="false">IF($A475="","",IFERROR(INDEX('Cotação de Materiais'!$H$4:$H$200,MATCH($A475,'Cotação de Materiais'!$A$4:$A$200,0)),IFERROR(INDEX('Mão de Obra e Serviços'!$G$4:$G$200,MATCH($A475,'Mão de Obra e Serviços'!$A$4:$A$200,0)),0)))</f>
        <v/>
      </c>
      <c r="K475" s="30" t="str">
        <f aca="false">IF($A475="","",I475*H475)</f>
        <v/>
      </c>
      <c r="L475" s="58"/>
      <c r="M475" s="54" t="str">
        <f aca="false">IF($A475="","",IF(B475="CÓDIGO?","CÓDIGO NÃO ACHADO",IF($D475="","FALTA ITEM DO ANEXO",IF($D475="INDIRETO","",IF(COUNTIFS('Anexo III'!$B$8:$B$400,$D475,'Anexo III'!$E$8:$E$400,"&gt;0")=0,"ITEM NÃO ACHADO NO ANEXO","")))))</f>
        <v/>
      </c>
    </row>
    <row r="476" customFormat="false" ht="15" hidden="false" customHeight="false" outlineLevel="0" collapsed="false">
      <c r="A476" s="43"/>
      <c r="B476" s="53" t="str">
        <f aca="false">IF($A476="","",IF(ISNUMBER(MATCH($A476,'Cotação de Materiais'!$A$4:$A$200,0)),"MAT",IF(ISNUMBER(MATCH($A476,'Mão de Obra e Serviços'!$A$4:$A$200,0)),"MO","CÓDIGO?")))</f>
        <v/>
      </c>
      <c r="C476" s="54" t="str">
        <f aca="false">IF($A476="","",IFERROR(INDEX('Cotação de Materiais'!$C$4:$C$200,MATCH($A476,'Cotação de Materiais'!$A$4:$A$200,0)),IFERROR(INDEX('Mão de Obra e Serviços'!$B$4:$B$200,MATCH($A476,'Mão de Obra e Serviços'!$A$4:$A$200,0)),"")))</f>
        <v/>
      </c>
      <c r="D476" s="43"/>
      <c r="E476" s="43"/>
      <c r="F476" s="43"/>
      <c r="G476" s="57" t="str">
        <f aca="false">IF($A476="","",E476*IF(F476="",1,F476))</f>
        <v/>
      </c>
      <c r="H476" s="31" t="str">
        <f aca="false">IF($A476="","",IF(SUMIF($A$6:$A$600,$A476,$G$6:$G$600)=0,0,G476/SUMIF($A$6:$A$600,$A476,$G$6:$G$600)))</f>
        <v/>
      </c>
      <c r="I476" s="30" t="str">
        <f aca="false">IF($A476="","",IFERROR(INDEX('Cotação de Materiais'!$H$4:$H$200,MATCH($A476,'Cotação de Materiais'!$A$4:$A$200,0)),IFERROR(INDEX('Mão de Obra e Serviços'!$G$4:$G$200,MATCH($A476,'Mão de Obra e Serviços'!$A$4:$A$200,0)),0)))</f>
        <v/>
      </c>
      <c r="K476" s="30" t="str">
        <f aca="false">IF($A476="","",I476*H476)</f>
        <v/>
      </c>
      <c r="L476" s="58"/>
      <c r="M476" s="54" t="str">
        <f aca="false">IF($A476="","",IF(B476="CÓDIGO?","CÓDIGO NÃO ACHADO",IF($D476="","FALTA ITEM DO ANEXO",IF($D476="INDIRETO","",IF(COUNTIFS('Anexo III'!$B$8:$B$400,$D476,'Anexo III'!$E$8:$E$400,"&gt;0")=0,"ITEM NÃO ACHADO NO ANEXO","")))))</f>
        <v/>
      </c>
    </row>
    <row r="477" customFormat="false" ht="15" hidden="false" customHeight="false" outlineLevel="0" collapsed="false">
      <c r="A477" s="43"/>
      <c r="B477" s="53" t="str">
        <f aca="false">IF($A477="","",IF(ISNUMBER(MATCH($A477,'Cotação de Materiais'!$A$4:$A$200,0)),"MAT",IF(ISNUMBER(MATCH($A477,'Mão de Obra e Serviços'!$A$4:$A$200,0)),"MO","CÓDIGO?")))</f>
        <v/>
      </c>
      <c r="C477" s="54" t="str">
        <f aca="false">IF($A477="","",IFERROR(INDEX('Cotação de Materiais'!$C$4:$C$200,MATCH($A477,'Cotação de Materiais'!$A$4:$A$200,0)),IFERROR(INDEX('Mão de Obra e Serviços'!$B$4:$B$200,MATCH($A477,'Mão de Obra e Serviços'!$A$4:$A$200,0)),"")))</f>
        <v/>
      </c>
      <c r="D477" s="43"/>
      <c r="E477" s="43"/>
      <c r="F477" s="43"/>
      <c r="G477" s="57" t="str">
        <f aca="false">IF($A477="","",E477*IF(F477="",1,F477))</f>
        <v/>
      </c>
      <c r="H477" s="31" t="str">
        <f aca="false">IF($A477="","",IF(SUMIF($A$6:$A$600,$A477,$G$6:$G$600)=0,0,G477/SUMIF($A$6:$A$600,$A477,$G$6:$G$600)))</f>
        <v/>
      </c>
      <c r="I477" s="30" t="str">
        <f aca="false">IF($A477="","",IFERROR(INDEX('Cotação de Materiais'!$H$4:$H$200,MATCH($A477,'Cotação de Materiais'!$A$4:$A$200,0)),IFERROR(INDEX('Mão de Obra e Serviços'!$G$4:$G$200,MATCH($A477,'Mão de Obra e Serviços'!$A$4:$A$200,0)),0)))</f>
        <v/>
      </c>
      <c r="K477" s="30" t="str">
        <f aca="false">IF($A477="","",I477*H477)</f>
        <v/>
      </c>
      <c r="L477" s="58"/>
      <c r="M477" s="54" t="str">
        <f aca="false">IF($A477="","",IF(B477="CÓDIGO?","CÓDIGO NÃO ACHADO",IF($D477="","FALTA ITEM DO ANEXO",IF($D477="INDIRETO","",IF(COUNTIFS('Anexo III'!$B$8:$B$400,$D477,'Anexo III'!$E$8:$E$400,"&gt;0")=0,"ITEM NÃO ACHADO NO ANEXO","")))))</f>
        <v/>
      </c>
    </row>
    <row r="478" customFormat="false" ht="15" hidden="false" customHeight="false" outlineLevel="0" collapsed="false">
      <c r="A478" s="43"/>
      <c r="B478" s="53" t="str">
        <f aca="false">IF($A478="","",IF(ISNUMBER(MATCH($A478,'Cotação de Materiais'!$A$4:$A$200,0)),"MAT",IF(ISNUMBER(MATCH($A478,'Mão de Obra e Serviços'!$A$4:$A$200,0)),"MO","CÓDIGO?")))</f>
        <v/>
      </c>
      <c r="C478" s="54" t="str">
        <f aca="false">IF($A478="","",IFERROR(INDEX('Cotação de Materiais'!$C$4:$C$200,MATCH($A478,'Cotação de Materiais'!$A$4:$A$200,0)),IFERROR(INDEX('Mão de Obra e Serviços'!$B$4:$B$200,MATCH($A478,'Mão de Obra e Serviços'!$A$4:$A$200,0)),"")))</f>
        <v/>
      </c>
      <c r="D478" s="43"/>
      <c r="E478" s="43"/>
      <c r="F478" s="43"/>
      <c r="G478" s="57" t="str">
        <f aca="false">IF($A478="","",E478*IF(F478="",1,F478))</f>
        <v/>
      </c>
      <c r="H478" s="31" t="str">
        <f aca="false">IF($A478="","",IF(SUMIF($A$6:$A$600,$A478,$G$6:$G$600)=0,0,G478/SUMIF($A$6:$A$600,$A478,$G$6:$G$600)))</f>
        <v/>
      </c>
      <c r="I478" s="30" t="str">
        <f aca="false">IF($A478="","",IFERROR(INDEX('Cotação de Materiais'!$H$4:$H$200,MATCH($A478,'Cotação de Materiais'!$A$4:$A$200,0)),IFERROR(INDEX('Mão de Obra e Serviços'!$G$4:$G$200,MATCH($A478,'Mão de Obra e Serviços'!$A$4:$A$200,0)),0)))</f>
        <v/>
      </c>
      <c r="K478" s="30" t="str">
        <f aca="false">IF($A478="","",I478*H478)</f>
        <v/>
      </c>
      <c r="L478" s="58"/>
      <c r="M478" s="54" t="str">
        <f aca="false">IF($A478="","",IF(B478="CÓDIGO?","CÓDIGO NÃO ACHADO",IF($D478="","FALTA ITEM DO ANEXO",IF($D478="INDIRETO","",IF(COUNTIFS('Anexo III'!$B$8:$B$400,$D478,'Anexo III'!$E$8:$E$400,"&gt;0")=0,"ITEM NÃO ACHADO NO ANEXO","")))))</f>
        <v/>
      </c>
    </row>
    <row r="479" customFormat="false" ht="15" hidden="false" customHeight="false" outlineLevel="0" collapsed="false">
      <c r="A479" s="43"/>
      <c r="B479" s="53" t="str">
        <f aca="false">IF($A479="","",IF(ISNUMBER(MATCH($A479,'Cotação de Materiais'!$A$4:$A$200,0)),"MAT",IF(ISNUMBER(MATCH($A479,'Mão de Obra e Serviços'!$A$4:$A$200,0)),"MO","CÓDIGO?")))</f>
        <v/>
      </c>
      <c r="C479" s="54" t="str">
        <f aca="false">IF($A479="","",IFERROR(INDEX('Cotação de Materiais'!$C$4:$C$200,MATCH($A479,'Cotação de Materiais'!$A$4:$A$200,0)),IFERROR(INDEX('Mão de Obra e Serviços'!$B$4:$B$200,MATCH($A479,'Mão de Obra e Serviços'!$A$4:$A$200,0)),"")))</f>
        <v/>
      </c>
      <c r="D479" s="43"/>
      <c r="E479" s="43"/>
      <c r="F479" s="43"/>
      <c r="G479" s="57" t="str">
        <f aca="false">IF($A479="","",E479*IF(F479="",1,F479))</f>
        <v/>
      </c>
      <c r="H479" s="31" t="str">
        <f aca="false">IF($A479="","",IF(SUMIF($A$6:$A$600,$A479,$G$6:$G$600)=0,0,G479/SUMIF($A$6:$A$600,$A479,$G$6:$G$600)))</f>
        <v/>
      </c>
      <c r="I479" s="30" t="str">
        <f aca="false">IF($A479="","",IFERROR(INDEX('Cotação de Materiais'!$H$4:$H$200,MATCH($A479,'Cotação de Materiais'!$A$4:$A$200,0)),IFERROR(INDEX('Mão de Obra e Serviços'!$G$4:$G$200,MATCH($A479,'Mão de Obra e Serviços'!$A$4:$A$200,0)),0)))</f>
        <v/>
      </c>
      <c r="K479" s="30" t="str">
        <f aca="false">IF($A479="","",I479*H479)</f>
        <v/>
      </c>
      <c r="L479" s="58"/>
      <c r="M479" s="54" t="str">
        <f aca="false">IF($A479="","",IF(B479="CÓDIGO?","CÓDIGO NÃO ACHADO",IF($D479="","FALTA ITEM DO ANEXO",IF($D479="INDIRETO","",IF(COUNTIFS('Anexo III'!$B$8:$B$400,$D479,'Anexo III'!$E$8:$E$400,"&gt;0")=0,"ITEM NÃO ACHADO NO ANEXO","")))))</f>
        <v/>
      </c>
    </row>
    <row r="480" customFormat="false" ht="15" hidden="false" customHeight="false" outlineLevel="0" collapsed="false">
      <c r="A480" s="43"/>
      <c r="B480" s="53" t="str">
        <f aca="false">IF($A480="","",IF(ISNUMBER(MATCH($A480,'Cotação de Materiais'!$A$4:$A$200,0)),"MAT",IF(ISNUMBER(MATCH($A480,'Mão de Obra e Serviços'!$A$4:$A$200,0)),"MO","CÓDIGO?")))</f>
        <v/>
      </c>
      <c r="C480" s="54" t="str">
        <f aca="false">IF($A480="","",IFERROR(INDEX('Cotação de Materiais'!$C$4:$C$200,MATCH($A480,'Cotação de Materiais'!$A$4:$A$200,0)),IFERROR(INDEX('Mão de Obra e Serviços'!$B$4:$B$200,MATCH($A480,'Mão de Obra e Serviços'!$A$4:$A$200,0)),"")))</f>
        <v/>
      </c>
      <c r="D480" s="43"/>
      <c r="E480" s="43"/>
      <c r="F480" s="43"/>
      <c r="G480" s="57" t="str">
        <f aca="false">IF($A480="","",E480*IF(F480="",1,F480))</f>
        <v/>
      </c>
      <c r="H480" s="31" t="str">
        <f aca="false">IF($A480="","",IF(SUMIF($A$6:$A$600,$A480,$G$6:$G$600)=0,0,G480/SUMIF($A$6:$A$600,$A480,$G$6:$G$600)))</f>
        <v/>
      </c>
      <c r="I480" s="30" t="str">
        <f aca="false">IF($A480="","",IFERROR(INDEX('Cotação de Materiais'!$H$4:$H$200,MATCH($A480,'Cotação de Materiais'!$A$4:$A$200,0)),IFERROR(INDEX('Mão de Obra e Serviços'!$G$4:$G$200,MATCH($A480,'Mão de Obra e Serviços'!$A$4:$A$200,0)),0)))</f>
        <v/>
      </c>
      <c r="K480" s="30" t="str">
        <f aca="false">IF($A480="","",I480*H480)</f>
        <v/>
      </c>
      <c r="L480" s="58"/>
      <c r="M480" s="54" t="str">
        <f aca="false">IF($A480="","",IF(B480="CÓDIGO?","CÓDIGO NÃO ACHADO",IF($D480="","FALTA ITEM DO ANEXO",IF($D480="INDIRETO","",IF(COUNTIFS('Anexo III'!$B$8:$B$400,$D480,'Anexo III'!$E$8:$E$400,"&gt;0")=0,"ITEM NÃO ACHADO NO ANEXO","")))))</f>
        <v/>
      </c>
    </row>
    <row r="481" customFormat="false" ht="15" hidden="false" customHeight="false" outlineLevel="0" collapsed="false">
      <c r="A481" s="43"/>
      <c r="B481" s="53" t="str">
        <f aca="false">IF($A481="","",IF(ISNUMBER(MATCH($A481,'Cotação de Materiais'!$A$4:$A$200,0)),"MAT",IF(ISNUMBER(MATCH($A481,'Mão de Obra e Serviços'!$A$4:$A$200,0)),"MO","CÓDIGO?")))</f>
        <v/>
      </c>
      <c r="C481" s="54" t="str">
        <f aca="false">IF($A481="","",IFERROR(INDEX('Cotação de Materiais'!$C$4:$C$200,MATCH($A481,'Cotação de Materiais'!$A$4:$A$200,0)),IFERROR(INDEX('Mão de Obra e Serviços'!$B$4:$B$200,MATCH($A481,'Mão de Obra e Serviços'!$A$4:$A$200,0)),"")))</f>
        <v/>
      </c>
      <c r="D481" s="43"/>
      <c r="E481" s="43"/>
      <c r="F481" s="43"/>
      <c r="G481" s="57" t="str">
        <f aca="false">IF($A481="","",E481*IF(F481="",1,F481))</f>
        <v/>
      </c>
      <c r="H481" s="31" t="str">
        <f aca="false">IF($A481="","",IF(SUMIF($A$6:$A$600,$A481,$G$6:$G$600)=0,0,G481/SUMIF($A$6:$A$600,$A481,$G$6:$G$600)))</f>
        <v/>
      </c>
      <c r="I481" s="30" t="str">
        <f aca="false">IF($A481="","",IFERROR(INDEX('Cotação de Materiais'!$H$4:$H$200,MATCH($A481,'Cotação de Materiais'!$A$4:$A$200,0)),IFERROR(INDEX('Mão de Obra e Serviços'!$G$4:$G$200,MATCH($A481,'Mão de Obra e Serviços'!$A$4:$A$200,0)),0)))</f>
        <v/>
      </c>
      <c r="K481" s="30" t="str">
        <f aca="false">IF($A481="","",I481*H481)</f>
        <v/>
      </c>
      <c r="L481" s="58"/>
      <c r="M481" s="54" t="str">
        <f aca="false">IF($A481="","",IF(B481="CÓDIGO?","CÓDIGO NÃO ACHADO",IF($D481="","FALTA ITEM DO ANEXO",IF($D481="INDIRETO","",IF(COUNTIFS('Anexo III'!$B$8:$B$400,$D481,'Anexo III'!$E$8:$E$400,"&gt;0")=0,"ITEM NÃO ACHADO NO ANEXO","")))))</f>
        <v/>
      </c>
    </row>
    <row r="482" customFormat="false" ht="15" hidden="false" customHeight="false" outlineLevel="0" collapsed="false">
      <c r="A482" s="43"/>
      <c r="B482" s="53" t="str">
        <f aca="false">IF($A482="","",IF(ISNUMBER(MATCH($A482,'Cotação de Materiais'!$A$4:$A$200,0)),"MAT",IF(ISNUMBER(MATCH($A482,'Mão de Obra e Serviços'!$A$4:$A$200,0)),"MO","CÓDIGO?")))</f>
        <v/>
      </c>
      <c r="C482" s="54" t="str">
        <f aca="false">IF($A482="","",IFERROR(INDEX('Cotação de Materiais'!$C$4:$C$200,MATCH($A482,'Cotação de Materiais'!$A$4:$A$200,0)),IFERROR(INDEX('Mão de Obra e Serviços'!$B$4:$B$200,MATCH($A482,'Mão de Obra e Serviços'!$A$4:$A$200,0)),"")))</f>
        <v/>
      </c>
      <c r="D482" s="43"/>
      <c r="E482" s="43"/>
      <c r="F482" s="43"/>
      <c r="G482" s="57" t="str">
        <f aca="false">IF($A482="","",E482*IF(F482="",1,F482))</f>
        <v/>
      </c>
      <c r="H482" s="31" t="str">
        <f aca="false">IF($A482="","",IF(SUMIF($A$6:$A$600,$A482,$G$6:$G$600)=0,0,G482/SUMIF($A$6:$A$600,$A482,$G$6:$G$600)))</f>
        <v/>
      </c>
      <c r="I482" s="30" t="str">
        <f aca="false">IF($A482="","",IFERROR(INDEX('Cotação de Materiais'!$H$4:$H$200,MATCH($A482,'Cotação de Materiais'!$A$4:$A$200,0)),IFERROR(INDEX('Mão de Obra e Serviços'!$G$4:$G$200,MATCH($A482,'Mão de Obra e Serviços'!$A$4:$A$200,0)),0)))</f>
        <v/>
      </c>
      <c r="K482" s="30" t="str">
        <f aca="false">IF($A482="","",I482*H482)</f>
        <v/>
      </c>
      <c r="L482" s="58"/>
      <c r="M482" s="54" t="str">
        <f aca="false">IF($A482="","",IF(B482="CÓDIGO?","CÓDIGO NÃO ACHADO",IF($D482="","FALTA ITEM DO ANEXO",IF($D482="INDIRETO","",IF(COUNTIFS('Anexo III'!$B$8:$B$400,$D482,'Anexo III'!$E$8:$E$400,"&gt;0")=0,"ITEM NÃO ACHADO NO ANEXO","")))))</f>
        <v/>
      </c>
    </row>
    <row r="483" customFormat="false" ht="15" hidden="false" customHeight="false" outlineLevel="0" collapsed="false">
      <c r="A483" s="43"/>
      <c r="B483" s="53" t="str">
        <f aca="false">IF($A483="","",IF(ISNUMBER(MATCH($A483,'Cotação de Materiais'!$A$4:$A$200,0)),"MAT",IF(ISNUMBER(MATCH($A483,'Mão de Obra e Serviços'!$A$4:$A$200,0)),"MO","CÓDIGO?")))</f>
        <v/>
      </c>
      <c r="C483" s="54" t="str">
        <f aca="false">IF($A483="","",IFERROR(INDEX('Cotação de Materiais'!$C$4:$C$200,MATCH($A483,'Cotação de Materiais'!$A$4:$A$200,0)),IFERROR(INDEX('Mão de Obra e Serviços'!$B$4:$B$200,MATCH($A483,'Mão de Obra e Serviços'!$A$4:$A$200,0)),"")))</f>
        <v/>
      </c>
      <c r="D483" s="43"/>
      <c r="E483" s="43"/>
      <c r="F483" s="43"/>
      <c r="G483" s="57" t="str">
        <f aca="false">IF($A483="","",E483*IF(F483="",1,F483))</f>
        <v/>
      </c>
      <c r="H483" s="31" t="str">
        <f aca="false">IF($A483="","",IF(SUMIF($A$6:$A$600,$A483,$G$6:$G$600)=0,0,G483/SUMIF($A$6:$A$600,$A483,$G$6:$G$600)))</f>
        <v/>
      </c>
      <c r="I483" s="30" t="str">
        <f aca="false">IF($A483="","",IFERROR(INDEX('Cotação de Materiais'!$H$4:$H$200,MATCH($A483,'Cotação de Materiais'!$A$4:$A$200,0)),IFERROR(INDEX('Mão de Obra e Serviços'!$G$4:$G$200,MATCH($A483,'Mão de Obra e Serviços'!$A$4:$A$200,0)),0)))</f>
        <v/>
      </c>
      <c r="K483" s="30" t="str">
        <f aca="false">IF($A483="","",I483*H483)</f>
        <v/>
      </c>
      <c r="L483" s="58"/>
      <c r="M483" s="54" t="str">
        <f aca="false">IF($A483="","",IF(B483="CÓDIGO?","CÓDIGO NÃO ACHADO",IF($D483="","FALTA ITEM DO ANEXO",IF($D483="INDIRETO","",IF(COUNTIFS('Anexo III'!$B$8:$B$400,$D483,'Anexo III'!$E$8:$E$400,"&gt;0")=0,"ITEM NÃO ACHADO NO ANEXO","")))))</f>
        <v/>
      </c>
    </row>
    <row r="484" customFormat="false" ht="15" hidden="false" customHeight="false" outlineLevel="0" collapsed="false">
      <c r="A484" s="43"/>
      <c r="B484" s="53" t="str">
        <f aca="false">IF($A484="","",IF(ISNUMBER(MATCH($A484,'Cotação de Materiais'!$A$4:$A$200,0)),"MAT",IF(ISNUMBER(MATCH($A484,'Mão de Obra e Serviços'!$A$4:$A$200,0)),"MO","CÓDIGO?")))</f>
        <v/>
      </c>
      <c r="C484" s="54" t="str">
        <f aca="false">IF($A484="","",IFERROR(INDEX('Cotação de Materiais'!$C$4:$C$200,MATCH($A484,'Cotação de Materiais'!$A$4:$A$200,0)),IFERROR(INDEX('Mão de Obra e Serviços'!$B$4:$B$200,MATCH($A484,'Mão de Obra e Serviços'!$A$4:$A$200,0)),"")))</f>
        <v/>
      </c>
      <c r="D484" s="43"/>
      <c r="E484" s="43"/>
      <c r="F484" s="43"/>
      <c r="G484" s="57" t="str">
        <f aca="false">IF($A484="","",E484*IF(F484="",1,F484))</f>
        <v/>
      </c>
      <c r="H484" s="31" t="str">
        <f aca="false">IF($A484="","",IF(SUMIF($A$6:$A$600,$A484,$G$6:$G$600)=0,0,G484/SUMIF($A$6:$A$600,$A484,$G$6:$G$600)))</f>
        <v/>
      </c>
      <c r="I484" s="30" t="str">
        <f aca="false">IF($A484="","",IFERROR(INDEX('Cotação de Materiais'!$H$4:$H$200,MATCH($A484,'Cotação de Materiais'!$A$4:$A$200,0)),IFERROR(INDEX('Mão de Obra e Serviços'!$G$4:$G$200,MATCH($A484,'Mão de Obra e Serviços'!$A$4:$A$200,0)),0)))</f>
        <v/>
      </c>
      <c r="K484" s="30" t="str">
        <f aca="false">IF($A484="","",I484*H484)</f>
        <v/>
      </c>
      <c r="L484" s="58"/>
      <c r="M484" s="54" t="str">
        <f aca="false">IF($A484="","",IF(B484="CÓDIGO?","CÓDIGO NÃO ACHADO",IF($D484="","FALTA ITEM DO ANEXO",IF($D484="INDIRETO","",IF(COUNTIFS('Anexo III'!$B$8:$B$400,$D484,'Anexo III'!$E$8:$E$400,"&gt;0")=0,"ITEM NÃO ACHADO NO ANEXO","")))))</f>
        <v/>
      </c>
    </row>
    <row r="485" customFormat="false" ht="15" hidden="false" customHeight="false" outlineLevel="0" collapsed="false">
      <c r="A485" s="43"/>
      <c r="B485" s="53" t="str">
        <f aca="false">IF($A485="","",IF(ISNUMBER(MATCH($A485,'Cotação de Materiais'!$A$4:$A$200,0)),"MAT",IF(ISNUMBER(MATCH($A485,'Mão de Obra e Serviços'!$A$4:$A$200,0)),"MO","CÓDIGO?")))</f>
        <v/>
      </c>
      <c r="C485" s="54" t="str">
        <f aca="false">IF($A485="","",IFERROR(INDEX('Cotação de Materiais'!$C$4:$C$200,MATCH($A485,'Cotação de Materiais'!$A$4:$A$200,0)),IFERROR(INDEX('Mão de Obra e Serviços'!$B$4:$B$200,MATCH($A485,'Mão de Obra e Serviços'!$A$4:$A$200,0)),"")))</f>
        <v/>
      </c>
      <c r="D485" s="43"/>
      <c r="E485" s="43"/>
      <c r="F485" s="43"/>
      <c r="G485" s="57" t="str">
        <f aca="false">IF($A485="","",E485*IF(F485="",1,F485))</f>
        <v/>
      </c>
      <c r="H485" s="31" t="str">
        <f aca="false">IF($A485="","",IF(SUMIF($A$6:$A$600,$A485,$G$6:$G$600)=0,0,G485/SUMIF($A$6:$A$600,$A485,$G$6:$G$600)))</f>
        <v/>
      </c>
      <c r="I485" s="30" t="str">
        <f aca="false">IF($A485="","",IFERROR(INDEX('Cotação de Materiais'!$H$4:$H$200,MATCH($A485,'Cotação de Materiais'!$A$4:$A$200,0)),IFERROR(INDEX('Mão de Obra e Serviços'!$G$4:$G$200,MATCH($A485,'Mão de Obra e Serviços'!$A$4:$A$200,0)),0)))</f>
        <v/>
      </c>
      <c r="K485" s="30" t="str">
        <f aca="false">IF($A485="","",I485*H485)</f>
        <v/>
      </c>
      <c r="L485" s="58"/>
      <c r="M485" s="54" t="str">
        <f aca="false">IF($A485="","",IF(B485="CÓDIGO?","CÓDIGO NÃO ACHADO",IF($D485="","FALTA ITEM DO ANEXO",IF($D485="INDIRETO","",IF(COUNTIFS('Anexo III'!$B$8:$B$400,$D485,'Anexo III'!$E$8:$E$400,"&gt;0")=0,"ITEM NÃO ACHADO NO ANEXO","")))))</f>
        <v/>
      </c>
    </row>
    <row r="486" customFormat="false" ht="15" hidden="false" customHeight="false" outlineLevel="0" collapsed="false">
      <c r="A486" s="43"/>
      <c r="B486" s="53" t="str">
        <f aca="false">IF($A486="","",IF(ISNUMBER(MATCH($A486,'Cotação de Materiais'!$A$4:$A$200,0)),"MAT",IF(ISNUMBER(MATCH($A486,'Mão de Obra e Serviços'!$A$4:$A$200,0)),"MO","CÓDIGO?")))</f>
        <v/>
      </c>
      <c r="C486" s="54" t="str">
        <f aca="false">IF($A486="","",IFERROR(INDEX('Cotação de Materiais'!$C$4:$C$200,MATCH($A486,'Cotação de Materiais'!$A$4:$A$200,0)),IFERROR(INDEX('Mão de Obra e Serviços'!$B$4:$B$200,MATCH($A486,'Mão de Obra e Serviços'!$A$4:$A$200,0)),"")))</f>
        <v/>
      </c>
      <c r="D486" s="43"/>
      <c r="E486" s="43"/>
      <c r="F486" s="43"/>
      <c r="G486" s="57" t="str">
        <f aca="false">IF($A486="","",E486*IF(F486="",1,F486))</f>
        <v/>
      </c>
      <c r="H486" s="31" t="str">
        <f aca="false">IF($A486="","",IF(SUMIF($A$6:$A$600,$A486,$G$6:$G$600)=0,0,G486/SUMIF($A$6:$A$600,$A486,$G$6:$G$600)))</f>
        <v/>
      </c>
      <c r="I486" s="30" t="str">
        <f aca="false">IF($A486="","",IFERROR(INDEX('Cotação de Materiais'!$H$4:$H$200,MATCH($A486,'Cotação de Materiais'!$A$4:$A$200,0)),IFERROR(INDEX('Mão de Obra e Serviços'!$G$4:$G$200,MATCH($A486,'Mão de Obra e Serviços'!$A$4:$A$200,0)),0)))</f>
        <v/>
      </c>
      <c r="K486" s="30" t="str">
        <f aca="false">IF($A486="","",I486*H486)</f>
        <v/>
      </c>
      <c r="L486" s="58"/>
      <c r="M486" s="54" t="str">
        <f aca="false">IF($A486="","",IF(B486="CÓDIGO?","CÓDIGO NÃO ACHADO",IF($D486="","FALTA ITEM DO ANEXO",IF($D486="INDIRETO","",IF(COUNTIFS('Anexo III'!$B$8:$B$400,$D486,'Anexo III'!$E$8:$E$400,"&gt;0")=0,"ITEM NÃO ACHADO NO ANEXO","")))))</f>
        <v/>
      </c>
    </row>
    <row r="487" customFormat="false" ht="15" hidden="false" customHeight="false" outlineLevel="0" collapsed="false">
      <c r="A487" s="43"/>
      <c r="B487" s="53" t="str">
        <f aca="false">IF($A487="","",IF(ISNUMBER(MATCH($A487,'Cotação de Materiais'!$A$4:$A$200,0)),"MAT",IF(ISNUMBER(MATCH($A487,'Mão de Obra e Serviços'!$A$4:$A$200,0)),"MO","CÓDIGO?")))</f>
        <v/>
      </c>
      <c r="C487" s="54" t="str">
        <f aca="false">IF($A487="","",IFERROR(INDEX('Cotação de Materiais'!$C$4:$C$200,MATCH($A487,'Cotação de Materiais'!$A$4:$A$200,0)),IFERROR(INDEX('Mão de Obra e Serviços'!$B$4:$B$200,MATCH($A487,'Mão de Obra e Serviços'!$A$4:$A$200,0)),"")))</f>
        <v/>
      </c>
      <c r="D487" s="43"/>
      <c r="E487" s="43"/>
      <c r="F487" s="43"/>
      <c r="G487" s="57" t="str">
        <f aca="false">IF($A487="","",E487*IF(F487="",1,F487))</f>
        <v/>
      </c>
      <c r="H487" s="31" t="str">
        <f aca="false">IF($A487="","",IF(SUMIF($A$6:$A$600,$A487,$G$6:$G$600)=0,0,G487/SUMIF($A$6:$A$600,$A487,$G$6:$G$600)))</f>
        <v/>
      </c>
      <c r="I487" s="30" t="str">
        <f aca="false">IF($A487="","",IFERROR(INDEX('Cotação de Materiais'!$H$4:$H$200,MATCH($A487,'Cotação de Materiais'!$A$4:$A$200,0)),IFERROR(INDEX('Mão de Obra e Serviços'!$G$4:$G$200,MATCH($A487,'Mão de Obra e Serviços'!$A$4:$A$200,0)),0)))</f>
        <v/>
      </c>
      <c r="K487" s="30" t="str">
        <f aca="false">IF($A487="","",I487*H487)</f>
        <v/>
      </c>
      <c r="L487" s="58"/>
      <c r="M487" s="54" t="str">
        <f aca="false">IF($A487="","",IF(B487="CÓDIGO?","CÓDIGO NÃO ACHADO",IF($D487="","FALTA ITEM DO ANEXO",IF($D487="INDIRETO","",IF(COUNTIFS('Anexo III'!$B$8:$B$400,$D487,'Anexo III'!$E$8:$E$400,"&gt;0")=0,"ITEM NÃO ACHADO NO ANEXO","")))))</f>
        <v/>
      </c>
    </row>
    <row r="488" customFormat="false" ht="15" hidden="false" customHeight="false" outlineLevel="0" collapsed="false">
      <c r="A488" s="43"/>
      <c r="B488" s="53" t="str">
        <f aca="false">IF($A488="","",IF(ISNUMBER(MATCH($A488,'Cotação de Materiais'!$A$4:$A$200,0)),"MAT",IF(ISNUMBER(MATCH($A488,'Mão de Obra e Serviços'!$A$4:$A$200,0)),"MO","CÓDIGO?")))</f>
        <v/>
      </c>
      <c r="C488" s="54" t="str">
        <f aca="false">IF($A488="","",IFERROR(INDEX('Cotação de Materiais'!$C$4:$C$200,MATCH($A488,'Cotação de Materiais'!$A$4:$A$200,0)),IFERROR(INDEX('Mão de Obra e Serviços'!$B$4:$B$200,MATCH($A488,'Mão de Obra e Serviços'!$A$4:$A$200,0)),"")))</f>
        <v/>
      </c>
      <c r="D488" s="43"/>
      <c r="E488" s="43"/>
      <c r="F488" s="43"/>
      <c r="G488" s="57" t="str">
        <f aca="false">IF($A488="","",E488*IF(F488="",1,F488))</f>
        <v/>
      </c>
      <c r="H488" s="31" t="str">
        <f aca="false">IF($A488="","",IF(SUMIF($A$6:$A$600,$A488,$G$6:$G$600)=0,0,G488/SUMIF($A$6:$A$600,$A488,$G$6:$G$600)))</f>
        <v/>
      </c>
      <c r="I488" s="30" t="str">
        <f aca="false">IF($A488="","",IFERROR(INDEX('Cotação de Materiais'!$H$4:$H$200,MATCH($A488,'Cotação de Materiais'!$A$4:$A$200,0)),IFERROR(INDEX('Mão de Obra e Serviços'!$G$4:$G$200,MATCH($A488,'Mão de Obra e Serviços'!$A$4:$A$200,0)),0)))</f>
        <v/>
      </c>
      <c r="K488" s="30" t="str">
        <f aca="false">IF($A488="","",I488*H488)</f>
        <v/>
      </c>
      <c r="L488" s="58"/>
      <c r="M488" s="54" t="str">
        <f aca="false">IF($A488="","",IF(B488="CÓDIGO?","CÓDIGO NÃO ACHADO",IF($D488="","FALTA ITEM DO ANEXO",IF($D488="INDIRETO","",IF(COUNTIFS('Anexo III'!$B$8:$B$400,$D488,'Anexo III'!$E$8:$E$400,"&gt;0")=0,"ITEM NÃO ACHADO NO ANEXO","")))))</f>
        <v/>
      </c>
    </row>
    <row r="489" customFormat="false" ht="15" hidden="false" customHeight="false" outlineLevel="0" collapsed="false">
      <c r="A489" s="43"/>
      <c r="B489" s="53" t="str">
        <f aca="false">IF($A489="","",IF(ISNUMBER(MATCH($A489,'Cotação de Materiais'!$A$4:$A$200,0)),"MAT",IF(ISNUMBER(MATCH($A489,'Mão de Obra e Serviços'!$A$4:$A$200,0)),"MO","CÓDIGO?")))</f>
        <v/>
      </c>
      <c r="C489" s="54" t="str">
        <f aca="false">IF($A489="","",IFERROR(INDEX('Cotação de Materiais'!$C$4:$C$200,MATCH($A489,'Cotação de Materiais'!$A$4:$A$200,0)),IFERROR(INDEX('Mão de Obra e Serviços'!$B$4:$B$200,MATCH($A489,'Mão de Obra e Serviços'!$A$4:$A$200,0)),"")))</f>
        <v/>
      </c>
      <c r="D489" s="43"/>
      <c r="E489" s="43"/>
      <c r="F489" s="43"/>
      <c r="G489" s="57" t="str">
        <f aca="false">IF($A489="","",E489*IF(F489="",1,F489))</f>
        <v/>
      </c>
      <c r="H489" s="31" t="str">
        <f aca="false">IF($A489="","",IF(SUMIF($A$6:$A$600,$A489,$G$6:$G$600)=0,0,G489/SUMIF($A$6:$A$600,$A489,$G$6:$G$600)))</f>
        <v/>
      </c>
      <c r="I489" s="30" t="str">
        <f aca="false">IF($A489="","",IFERROR(INDEX('Cotação de Materiais'!$H$4:$H$200,MATCH($A489,'Cotação de Materiais'!$A$4:$A$200,0)),IFERROR(INDEX('Mão de Obra e Serviços'!$G$4:$G$200,MATCH($A489,'Mão de Obra e Serviços'!$A$4:$A$200,0)),0)))</f>
        <v/>
      </c>
      <c r="K489" s="30" t="str">
        <f aca="false">IF($A489="","",I489*H489)</f>
        <v/>
      </c>
      <c r="L489" s="58"/>
      <c r="M489" s="54" t="str">
        <f aca="false">IF($A489="","",IF(B489="CÓDIGO?","CÓDIGO NÃO ACHADO",IF($D489="","FALTA ITEM DO ANEXO",IF($D489="INDIRETO","",IF(COUNTIFS('Anexo III'!$B$8:$B$400,$D489,'Anexo III'!$E$8:$E$400,"&gt;0")=0,"ITEM NÃO ACHADO NO ANEXO","")))))</f>
        <v/>
      </c>
    </row>
    <row r="490" customFormat="false" ht="15" hidden="false" customHeight="false" outlineLevel="0" collapsed="false">
      <c r="A490" s="43"/>
      <c r="B490" s="53" t="str">
        <f aca="false">IF($A490="","",IF(ISNUMBER(MATCH($A490,'Cotação de Materiais'!$A$4:$A$200,0)),"MAT",IF(ISNUMBER(MATCH($A490,'Mão de Obra e Serviços'!$A$4:$A$200,0)),"MO","CÓDIGO?")))</f>
        <v/>
      </c>
      <c r="C490" s="54" t="str">
        <f aca="false">IF($A490="","",IFERROR(INDEX('Cotação de Materiais'!$C$4:$C$200,MATCH($A490,'Cotação de Materiais'!$A$4:$A$200,0)),IFERROR(INDEX('Mão de Obra e Serviços'!$B$4:$B$200,MATCH($A490,'Mão de Obra e Serviços'!$A$4:$A$200,0)),"")))</f>
        <v/>
      </c>
      <c r="D490" s="43"/>
      <c r="E490" s="43"/>
      <c r="F490" s="43"/>
      <c r="G490" s="57" t="str">
        <f aca="false">IF($A490="","",E490*IF(F490="",1,F490))</f>
        <v/>
      </c>
      <c r="H490" s="31" t="str">
        <f aca="false">IF($A490="","",IF(SUMIF($A$6:$A$600,$A490,$G$6:$G$600)=0,0,G490/SUMIF($A$6:$A$600,$A490,$G$6:$G$600)))</f>
        <v/>
      </c>
      <c r="I490" s="30" t="str">
        <f aca="false">IF($A490="","",IFERROR(INDEX('Cotação de Materiais'!$H$4:$H$200,MATCH($A490,'Cotação de Materiais'!$A$4:$A$200,0)),IFERROR(INDEX('Mão de Obra e Serviços'!$G$4:$G$200,MATCH($A490,'Mão de Obra e Serviços'!$A$4:$A$200,0)),0)))</f>
        <v/>
      </c>
      <c r="K490" s="30" t="str">
        <f aca="false">IF($A490="","",I490*H490)</f>
        <v/>
      </c>
      <c r="L490" s="58"/>
      <c r="M490" s="54" t="str">
        <f aca="false">IF($A490="","",IF(B490="CÓDIGO?","CÓDIGO NÃO ACHADO",IF($D490="","FALTA ITEM DO ANEXO",IF($D490="INDIRETO","",IF(COUNTIFS('Anexo III'!$B$8:$B$400,$D490,'Anexo III'!$E$8:$E$400,"&gt;0")=0,"ITEM NÃO ACHADO NO ANEXO","")))))</f>
        <v/>
      </c>
    </row>
    <row r="491" customFormat="false" ht="15" hidden="false" customHeight="false" outlineLevel="0" collapsed="false">
      <c r="A491" s="43"/>
      <c r="B491" s="53" t="str">
        <f aca="false">IF($A491="","",IF(ISNUMBER(MATCH($A491,'Cotação de Materiais'!$A$4:$A$200,0)),"MAT",IF(ISNUMBER(MATCH($A491,'Mão de Obra e Serviços'!$A$4:$A$200,0)),"MO","CÓDIGO?")))</f>
        <v/>
      </c>
      <c r="C491" s="54" t="str">
        <f aca="false">IF($A491="","",IFERROR(INDEX('Cotação de Materiais'!$C$4:$C$200,MATCH($A491,'Cotação de Materiais'!$A$4:$A$200,0)),IFERROR(INDEX('Mão de Obra e Serviços'!$B$4:$B$200,MATCH($A491,'Mão de Obra e Serviços'!$A$4:$A$200,0)),"")))</f>
        <v/>
      </c>
      <c r="D491" s="43"/>
      <c r="E491" s="43"/>
      <c r="F491" s="43"/>
      <c r="G491" s="57" t="str">
        <f aca="false">IF($A491="","",E491*IF(F491="",1,F491))</f>
        <v/>
      </c>
      <c r="H491" s="31" t="str">
        <f aca="false">IF($A491="","",IF(SUMIF($A$6:$A$600,$A491,$G$6:$G$600)=0,0,G491/SUMIF($A$6:$A$600,$A491,$G$6:$G$600)))</f>
        <v/>
      </c>
      <c r="I491" s="30" t="str">
        <f aca="false">IF($A491="","",IFERROR(INDEX('Cotação de Materiais'!$H$4:$H$200,MATCH($A491,'Cotação de Materiais'!$A$4:$A$200,0)),IFERROR(INDEX('Mão de Obra e Serviços'!$G$4:$G$200,MATCH($A491,'Mão de Obra e Serviços'!$A$4:$A$200,0)),0)))</f>
        <v/>
      </c>
      <c r="K491" s="30" t="str">
        <f aca="false">IF($A491="","",I491*H491)</f>
        <v/>
      </c>
      <c r="L491" s="58"/>
      <c r="M491" s="54" t="str">
        <f aca="false">IF($A491="","",IF(B491="CÓDIGO?","CÓDIGO NÃO ACHADO",IF($D491="","FALTA ITEM DO ANEXO",IF($D491="INDIRETO","",IF(COUNTIFS('Anexo III'!$B$8:$B$400,$D491,'Anexo III'!$E$8:$E$400,"&gt;0")=0,"ITEM NÃO ACHADO NO ANEXO","")))))</f>
        <v/>
      </c>
    </row>
    <row r="492" customFormat="false" ht="15" hidden="false" customHeight="false" outlineLevel="0" collapsed="false">
      <c r="A492" s="43"/>
      <c r="B492" s="53" t="str">
        <f aca="false">IF($A492="","",IF(ISNUMBER(MATCH($A492,'Cotação de Materiais'!$A$4:$A$200,0)),"MAT",IF(ISNUMBER(MATCH($A492,'Mão de Obra e Serviços'!$A$4:$A$200,0)),"MO","CÓDIGO?")))</f>
        <v/>
      </c>
      <c r="C492" s="54" t="str">
        <f aca="false">IF($A492="","",IFERROR(INDEX('Cotação de Materiais'!$C$4:$C$200,MATCH($A492,'Cotação de Materiais'!$A$4:$A$200,0)),IFERROR(INDEX('Mão de Obra e Serviços'!$B$4:$B$200,MATCH($A492,'Mão de Obra e Serviços'!$A$4:$A$200,0)),"")))</f>
        <v/>
      </c>
      <c r="D492" s="43"/>
      <c r="E492" s="43"/>
      <c r="F492" s="43"/>
      <c r="G492" s="57" t="str">
        <f aca="false">IF($A492="","",E492*IF(F492="",1,F492))</f>
        <v/>
      </c>
      <c r="H492" s="31" t="str">
        <f aca="false">IF($A492="","",IF(SUMIF($A$6:$A$600,$A492,$G$6:$G$600)=0,0,G492/SUMIF($A$6:$A$600,$A492,$G$6:$G$600)))</f>
        <v/>
      </c>
      <c r="I492" s="30" t="str">
        <f aca="false">IF($A492="","",IFERROR(INDEX('Cotação de Materiais'!$H$4:$H$200,MATCH($A492,'Cotação de Materiais'!$A$4:$A$200,0)),IFERROR(INDEX('Mão de Obra e Serviços'!$G$4:$G$200,MATCH($A492,'Mão de Obra e Serviços'!$A$4:$A$200,0)),0)))</f>
        <v/>
      </c>
      <c r="K492" s="30" t="str">
        <f aca="false">IF($A492="","",I492*H492)</f>
        <v/>
      </c>
      <c r="L492" s="58"/>
      <c r="M492" s="54" t="str">
        <f aca="false">IF($A492="","",IF(B492="CÓDIGO?","CÓDIGO NÃO ACHADO",IF($D492="","FALTA ITEM DO ANEXO",IF($D492="INDIRETO","",IF(COUNTIFS('Anexo III'!$B$8:$B$400,$D492,'Anexo III'!$E$8:$E$400,"&gt;0")=0,"ITEM NÃO ACHADO NO ANEXO","")))))</f>
        <v/>
      </c>
    </row>
    <row r="493" customFormat="false" ht="15" hidden="false" customHeight="false" outlineLevel="0" collapsed="false">
      <c r="A493" s="43"/>
      <c r="B493" s="53" t="str">
        <f aca="false">IF($A493="","",IF(ISNUMBER(MATCH($A493,'Cotação de Materiais'!$A$4:$A$200,0)),"MAT",IF(ISNUMBER(MATCH($A493,'Mão de Obra e Serviços'!$A$4:$A$200,0)),"MO","CÓDIGO?")))</f>
        <v/>
      </c>
      <c r="C493" s="54" t="str">
        <f aca="false">IF($A493="","",IFERROR(INDEX('Cotação de Materiais'!$C$4:$C$200,MATCH($A493,'Cotação de Materiais'!$A$4:$A$200,0)),IFERROR(INDEX('Mão de Obra e Serviços'!$B$4:$B$200,MATCH($A493,'Mão de Obra e Serviços'!$A$4:$A$200,0)),"")))</f>
        <v/>
      </c>
      <c r="D493" s="43"/>
      <c r="E493" s="43"/>
      <c r="F493" s="43"/>
      <c r="G493" s="57" t="str">
        <f aca="false">IF($A493="","",E493*IF(F493="",1,F493))</f>
        <v/>
      </c>
      <c r="H493" s="31" t="str">
        <f aca="false">IF($A493="","",IF(SUMIF($A$6:$A$600,$A493,$G$6:$G$600)=0,0,G493/SUMIF($A$6:$A$600,$A493,$G$6:$G$600)))</f>
        <v/>
      </c>
      <c r="I493" s="30" t="str">
        <f aca="false">IF($A493="","",IFERROR(INDEX('Cotação de Materiais'!$H$4:$H$200,MATCH($A493,'Cotação de Materiais'!$A$4:$A$200,0)),IFERROR(INDEX('Mão de Obra e Serviços'!$G$4:$G$200,MATCH($A493,'Mão de Obra e Serviços'!$A$4:$A$200,0)),0)))</f>
        <v/>
      </c>
      <c r="K493" s="30" t="str">
        <f aca="false">IF($A493="","",I493*H493)</f>
        <v/>
      </c>
      <c r="L493" s="58"/>
      <c r="M493" s="54" t="str">
        <f aca="false">IF($A493="","",IF(B493="CÓDIGO?","CÓDIGO NÃO ACHADO",IF($D493="","FALTA ITEM DO ANEXO",IF($D493="INDIRETO","",IF(COUNTIFS('Anexo III'!$B$8:$B$400,$D493,'Anexo III'!$E$8:$E$400,"&gt;0")=0,"ITEM NÃO ACHADO NO ANEXO","")))))</f>
        <v/>
      </c>
    </row>
    <row r="494" customFormat="false" ht="15" hidden="false" customHeight="false" outlineLevel="0" collapsed="false">
      <c r="A494" s="43"/>
      <c r="B494" s="53" t="str">
        <f aca="false">IF($A494="","",IF(ISNUMBER(MATCH($A494,'Cotação de Materiais'!$A$4:$A$200,0)),"MAT",IF(ISNUMBER(MATCH($A494,'Mão de Obra e Serviços'!$A$4:$A$200,0)),"MO","CÓDIGO?")))</f>
        <v/>
      </c>
      <c r="C494" s="54" t="str">
        <f aca="false">IF($A494="","",IFERROR(INDEX('Cotação de Materiais'!$C$4:$C$200,MATCH($A494,'Cotação de Materiais'!$A$4:$A$200,0)),IFERROR(INDEX('Mão de Obra e Serviços'!$B$4:$B$200,MATCH($A494,'Mão de Obra e Serviços'!$A$4:$A$200,0)),"")))</f>
        <v/>
      </c>
      <c r="D494" s="43"/>
      <c r="E494" s="43"/>
      <c r="F494" s="43"/>
      <c r="G494" s="57" t="str">
        <f aca="false">IF($A494="","",E494*IF(F494="",1,F494))</f>
        <v/>
      </c>
      <c r="H494" s="31" t="str">
        <f aca="false">IF($A494="","",IF(SUMIF($A$6:$A$600,$A494,$G$6:$G$600)=0,0,G494/SUMIF($A$6:$A$600,$A494,$G$6:$G$600)))</f>
        <v/>
      </c>
      <c r="I494" s="30" t="str">
        <f aca="false">IF($A494="","",IFERROR(INDEX('Cotação de Materiais'!$H$4:$H$200,MATCH($A494,'Cotação de Materiais'!$A$4:$A$200,0)),IFERROR(INDEX('Mão de Obra e Serviços'!$G$4:$G$200,MATCH($A494,'Mão de Obra e Serviços'!$A$4:$A$200,0)),0)))</f>
        <v/>
      </c>
      <c r="K494" s="30" t="str">
        <f aca="false">IF($A494="","",I494*H494)</f>
        <v/>
      </c>
      <c r="L494" s="58"/>
      <c r="M494" s="54" t="str">
        <f aca="false">IF($A494="","",IF(B494="CÓDIGO?","CÓDIGO NÃO ACHADO",IF($D494="","FALTA ITEM DO ANEXO",IF($D494="INDIRETO","",IF(COUNTIFS('Anexo III'!$B$8:$B$400,$D494,'Anexo III'!$E$8:$E$400,"&gt;0")=0,"ITEM NÃO ACHADO NO ANEXO","")))))</f>
        <v/>
      </c>
    </row>
    <row r="495" customFormat="false" ht="15" hidden="false" customHeight="false" outlineLevel="0" collapsed="false">
      <c r="A495" s="43"/>
      <c r="B495" s="53" t="str">
        <f aca="false">IF($A495="","",IF(ISNUMBER(MATCH($A495,'Cotação de Materiais'!$A$4:$A$200,0)),"MAT",IF(ISNUMBER(MATCH($A495,'Mão de Obra e Serviços'!$A$4:$A$200,0)),"MO","CÓDIGO?")))</f>
        <v/>
      </c>
      <c r="C495" s="54" t="str">
        <f aca="false">IF($A495="","",IFERROR(INDEX('Cotação de Materiais'!$C$4:$C$200,MATCH($A495,'Cotação de Materiais'!$A$4:$A$200,0)),IFERROR(INDEX('Mão de Obra e Serviços'!$B$4:$B$200,MATCH($A495,'Mão de Obra e Serviços'!$A$4:$A$200,0)),"")))</f>
        <v/>
      </c>
      <c r="D495" s="43"/>
      <c r="E495" s="43"/>
      <c r="F495" s="43"/>
      <c r="G495" s="57" t="str">
        <f aca="false">IF($A495="","",E495*IF(F495="",1,F495))</f>
        <v/>
      </c>
      <c r="H495" s="31" t="str">
        <f aca="false">IF($A495="","",IF(SUMIF($A$6:$A$600,$A495,$G$6:$G$600)=0,0,G495/SUMIF($A$6:$A$600,$A495,$G$6:$G$600)))</f>
        <v/>
      </c>
      <c r="I495" s="30" t="str">
        <f aca="false">IF($A495="","",IFERROR(INDEX('Cotação de Materiais'!$H$4:$H$200,MATCH($A495,'Cotação de Materiais'!$A$4:$A$200,0)),IFERROR(INDEX('Mão de Obra e Serviços'!$G$4:$G$200,MATCH($A495,'Mão de Obra e Serviços'!$A$4:$A$200,0)),0)))</f>
        <v/>
      </c>
      <c r="K495" s="30" t="str">
        <f aca="false">IF($A495="","",I495*H495)</f>
        <v/>
      </c>
      <c r="L495" s="58"/>
      <c r="M495" s="54" t="str">
        <f aca="false">IF($A495="","",IF(B495="CÓDIGO?","CÓDIGO NÃO ACHADO",IF($D495="","FALTA ITEM DO ANEXO",IF($D495="INDIRETO","",IF(COUNTIFS('Anexo III'!$B$8:$B$400,$D495,'Anexo III'!$E$8:$E$400,"&gt;0")=0,"ITEM NÃO ACHADO NO ANEXO","")))))</f>
        <v/>
      </c>
    </row>
    <row r="496" customFormat="false" ht="15" hidden="false" customHeight="false" outlineLevel="0" collapsed="false">
      <c r="A496" s="43"/>
      <c r="B496" s="53" t="str">
        <f aca="false">IF($A496="","",IF(ISNUMBER(MATCH($A496,'Cotação de Materiais'!$A$4:$A$200,0)),"MAT",IF(ISNUMBER(MATCH($A496,'Mão de Obra e Serviços'!$A$4:$A$200,0)),"MO","CÓDIGO?")))</f>
        <v/>
      </c>
      <c r="C496" s="54" t="str">
        <f aca="false">IF($A496="","",IFERROR(INDEX('Cotação de Materiais'!$C$4:$C$200,MATCH($A496,'Cotação de Materiais'!$A$4:$A$200,0)),IFERROR(INDEX('Mão de Obra e Serviços'!$B$4:$B$200,MATCH($A496,'Mão de Obra e Serviços'!$A$4:$A$200,0)),"")))</f>
        <v/>
      </c>
      <c r="D496" s="43"/>
      <c r="E496" s="43"/>
      <c r="F496" s="43"/>
      <c r="G496" s="57" t="str">
        <f aca="false">IF($A496="","",E496*IF(F496="",1,F496))</f>
        <v/>
      </c>
      <c r="H496" s="31" t="str">
        <f aca="false">IF($A496="","",IF(SUMIF($A$6:$A$600,$A496,$G$6:$G$600)=0,0,G496/SUMIF($A$6:$A$600,$A496,$G$6:$G$600)))</f>
        <v/>
      </c>
      <c r="I496" s="30" t="str">
        <f aca="false">IF($A496="","",IFERROR(INDEX('Cotação de Materiais'!$H$4:$H$200,MATCH($A496,'Cotação de Materiais'!$A$4:$A$200,0)),IFERROR(INDEX('Mão de Obra e Serviços'!$G$4:$G$200,MATCH($A496,'Mão de Obra e Serviços'!$A$4:$A$200,0)),0)))</f>
        <v/>
      </c>
      <c r="K496" s="30" t="str">
        <f aca="false">IF($A496="","",I496*H496)</f>
        <v/>
      </c>
      <c r="L496" s="58"/>
      <c r="M496" s="54" t="str">
        <f aca="false">IF($A496="","",IF(B496="CÓDIGO?","CÓDIGO NÃO ACHADO",IF($D496="","FALTA ITEM DO ANEXO",IF($D496="INDIRETO","",IF(COUNTIFS('Anexo III'!$B$8:$B$400,$D496,'Anexo III'!$E$8:$E$400,"&gt;0")=0,"ITEM NÃO ACHADO NO ANEXO","")))))</f>
        <v/>
      </c>
    </row>
    <row r="497" customFormat="false" ht="15" hidden="false" customHeight="false" outlineLevel="0" collapsed="false">
      <c r="A497" s="43"/>
      <c r="B497" s="53" t="str">
        <f aca="false">IF($A497="","",IF(ISNUMBER(MATCH($A497,'Cotação de Materiais'!$A$4:$A$200,0)),"MAT",IF(ISNUMBER(MATCH($A497,'Mão de Obra e Serviços'!$A$4:$A$200,0)),"MO","CÓDIGO?")))</f>
        <v/>
      </c>
      <c r="C497" s="54" t="str">
        <f aca="false">IF($A497="","",IFERROR(INDEX('Cotação de Materiais'!$C$4:$C$200,MATCH($A497,'Cotação de Materiais'!$A$4:$A$200,0)),IFERROR(INDEX('Mão de Obra e Serviços'!$B$4:$B$200,MATCH($A497,'Mão de Obra e Serviços'!$A$4:$A$200,0)),"")))</f>
        <v/>
      </c>
      <c r="D497" s="43"/>
      <c r="E497" s="43"/>
      <c r="F497" s="43"/>
      <c r="G497" s="57" t="str">
        <f aca="false">IF($A497="","",E497*IF(F497="",1,F497))</f>
        <v/>
      </c>
      <c r="H497" s="31" t="str">
        <f aca="false">IF($A497="","",IF(SUMIF($A$6:$A$600,$A497,$G$6:$G$600)=0,0,G497/SUMIF($A$6:$A$600,$A497,$G$6:$G$600)))</f>
        <v/>
      </c>
      <c r="I497" s="30" t="str">
        <f aca="false">IF($A497="","",IFERROR(INDEX('Cotação de Materiais'!$H$4:$H$200,MATCH($A497,'Cotação de Materiais'!$A$4:$A$200,0)),IFERROR(INDEX('Mão de Obra e Serviços'!$G$4:$G$200,MATCH($A497,'Mão de Obra e Serviços'!$A$4:$A$200,0)),0)))</f>
        <v/>
      </c>
      <c r="K497" s="30" t="str">
        <f aca="false">IF($A497="","",I497*H497)</f>
        <v/>
      </c>
      <c r="L497" s="58"/>
      <c r="M497" s="54" t="str">
        <f aca="false">IF($A497="","",IF(B497="CÓDIGO?","CÓDIGO NÃO ACHADO",IF($D497="","FALTA ITEM DO ANEXO",IF($D497="INDIRETO","",IF(COUNTIFS('Anexo III'!$B$8:$B$400,$D497,'Anexo III'!$E$8:$E$400,"&gt;0")=0,"ITEM NÃO ACHADO NO ANEXO","")))))</f>
        <v/>
      </c>
    </row>
    <row r="498" customFormat="false" ht="15" hidden="false" customHeight="false" outlineLevel="0" collapsed="false">
      <c r="A498" s="43"/>
      <c r="B498" s="53" t="str">
        <f aca="false">IF($A498="","",IF(ISNUMBER(MATCH($A498,'Cotação de Materiais'!$A$4:$A$200,0)),"MAT",IF(ISNUMBER(MATCH($A498,'Mão de Obra e Serviços'!$A$4:$A$200,0)),"MO","CÓDIGO?")))</f>
        <v/>
      </c>
      <c r="C498" s="54" t="str">
        <f aca="false">IF($A498="","",IFERROR(INDEX('Cotação de Materiais'!$C$4:$C$200,MATCH($A498,'Cotação de Materiais'!$A$4:$A$200,0)),IFERROR(INDEX('Mão de Obra e Serviços'!$B$4:$B$200,MATCH($A498,'Mão de Obra e Serviços'!$A$4:$A$200,0)),"")))</f>
        <v/>
      </c>
      <c r="D498" s="43"/>
      <c r="E498" s="43"/>
      <c r="F498" s="43"/>
      <c r="G498" s="57" t="str">
        <f aca="false">IF($A498="","",E498*IF(F498="",1,F498))</f>
        <v/>
      </c>
      <c r="H498" s="31" t="str">
        <f aca="false">IF($A498="","",IF(SUMIF($A$6:$A$600,$A498,$G$6:$G$600)=0,0,G498/SUMIF($A$6:$A$600,$A498,$G$6:$G$600)))</f>
        <v/>
      </c>
      <c r="I498" s="30" t="str">
        <f aca="false">IF($A498="","",IFERROR(INDEX('Cotação de Materiais'!$H$4:$H$200,MATCH($A498,'Cotação de Materiais'!$A$4:$A$200,0)),IFERROR(INDEX('Mão de Obra e Serviços'!$G$4:$G$200,MATCH($A498,'Mão de Obra e Serviços'!$A$4:$A$200,0)),0)))</f>
        <v/>
      </c>
      <c r="K498" s="30" t="str">
        <f aca="false">IF($A498="","",I498*H498)</f>
        <v/>
      </c>
      <c r="L498" s="58"/>
      <c r="M498" s="54" t="str">
        <f aca="false">IF($A498="","",IF(B498="CÓDIGO?","CÓDIGO NÃO ACHADO",IF($D498="","FALTA ITEM DO ANEXO",IF($D498="INDIRETO","",IF(COUNTIFS('Anexo III'!$B$8:$B$400,$D498,'Anexo III'!$E$8:$E$400,"&gt;0")=0,"ITEM NÃO ACHADO NO ANEXO","")))))</f>
        <v/>
      </c>
    </row>
    <row r="499" customFormat="false" ht="15" hidden="false" customHeight="false" outlineLevel="0" collapsed="false">
      <c r="A499" s="43"/>
      <c r="B499" s="53" t="str">
        <f aca="false">IF($A499="","",IF(ISNUMBER(MATCH($A499,'Cotação de Materiais'!$A$4:$A$200,0)),"MAT",IF(ISNUMBER(MATCH($A499,'Mão de Obra e Serviços'!$A$4:$A$200,0)),"MO","CÓDIGO?")))</f>
        <v/>
      </c>
      <c r="C499" s="54" t="str">
        <f aca="false">IF($A499="","",IFERROR(INDEX('Cotação de Materiais'!$C$4:$C$200,MATCH($A499,'Cotação de Materiais'!$A$4:$A$200,0)),IFERROR(INDEX('Mão de Obra e Serviços'!$B$4:$B$200,MATCH($A499,'Mão de Obra e Serviços'!$A$4:$A$200,0)),"")))</f>
        <v/>
      </c>
      <c r="D499" s="43"/>
      <c r="E499" s="43"/>
      <c r="F499" s="43"/>
      <c r="G499" s="57" t="str">
        <f aca="false">IF($A499="","",E499*IF(F499="",1,F499))</f>
        <v/>
      </c>
      <c r="H499" s="31" t="str">
        <f aca="false">IF($A499="","",IF(SUMIF($A$6:$A$600,$A499,$G$6:$G$600)=0,0,G499/SUMIF($A$6:$A$600,$A499,$G$6:$G$600)))</f>
        <v/>
      </c>
      <c r="I499" s="30" t="str">
        <f aca="false">IF($A499="","",IFERROR(INDEX('Cotação de Materiais'!$H$4:$H$200,MATCH($A499,'Cotação de Materiais'!$A$4:$A$200,0)),IFERROR(INDEX('Mão de Obra e Serviços'!$G$4:$G$200,MATCH($A499,'Mão de Obra e Serviços'!$A$4:$A$200,0)),0)))</f>
        <v/>
      </c>
      <c r="K499" s="30" t="str">
        <f aca="false">IF($A499="","",I499*H499)</f>
        <v/>
      </c>
      <c r="L499" s="58"/>
      <c r="M499" s="54" t="str">
        <f aca="false">IF($A499="","",IF(B499="CÓDIGO?","CÓDIGO NÃO ACHADO",IF($D499="","FALTA ITEM DO ANEXO",IF($D499="INDIRETO","",IF(COUNTIFS('Anexo III'!$B$8:$B$400,$D499,'Anexo III'!$E$8:$E$400,"&gt;0")=0,"ITEM NÃO ACHADO NO ANEXO","")))))</f>
        <v/>
      </c>
    </row>
    <row r="500" customFormat="false" ht="15" hidden="false" customHeight="false" outlineLevel="0" collapsed="false">
      <c r="A500" s="43"/>
      <c r="B500" s="53" t="str">
        <f aca="false">IF($A500="","",IF(ISNUMBER(MATCH($A500,'Cotação de Materiais'!$A$4:$A$200,0)),"MAT",IF(ISNUMBER(MATCH($A500,'Mão de Obra e Serviços'!$A$4:$A$200,0)),"MO","CÓDIGO?")))</f>
        <v/>
      </c>
      <c r="C500" s="54" t="str">
        <f aca="false">IF($A500="","",IFERROR(INDEX('Cotação de Materiais'!$C$4:$C$200,MATCH($A500,'Cotação de Materiais'!$A$4:$A$200,0)),IFERROR(INDEX('Mão de Obra e Serviços'!$B$4:$B$200,MATCH($A500,'Mão de Obra e Serviços'!$A$4:$A$200,0)),"")))</f>
        <v/>
      </c>
      <c r="D500" s="43"/>
      <c r="E500" s="43"/>
      <c r="F500" s="43"/>
      <c r="G500" s="57" t="str">
        <f aca="false">IF($A500="","",E500*IF(F500="",1,F500))</f>
        <v/>
      </c>
      <c r="H500" s="31" t="str">
        <f aca="false">IF($A500="","",IF(SUMIF($A$6:$A$600,$A500,$G$6:$G$600)=0,0,G500/SUMIF($A$6:$A$600,$A500,$G$6:$G$600)))</f>
        <v/>
      </c>
      <c r="I500" s="30" t="str">
        <f aca="false">IF($A500="","",IFERROR(INDEX('Cotação de Materiais'!$H$4:$H$200,MATCH($A500,'Cotação de Materiais'!$A$4:$A$200,0)),IFERROR(INDEX('Mão de Obra e Serviços'!$G$4:$G$200,MATCH($A500,'Mão de Obra e Serviços'!$A$4:$A$200,0)),0)))</f>
        <v/>
      </c>
      <c r="K500" s="30" t="str">
        <f aca="false">IF($A500="","",I500*H500)</f>
        <v/>
      </c>
      <c r="L500" s="58"/>
      <c r="M500" s="54" t="str">
        <f aca="false">IF($A500="","",IF(B500="CÓDIGO?","CÓDIGO NÃO ACHADO",IF($D500="","FALTA ITEM DO ANEXO",IF($D500="INDIRETO","",IF(COUNTIFS('Anexo III'!$B$8:$B$400,$D500,'Anexo III'!$E$8:$E$400,"&gt;0")=0,"ITEM NÃO ACHADO NO ANEXO","")))))</f>
        <v/>
      </c>
    </row>
    <row r="501" customFormat="false" ht="15" hidden="false" customHeight="false" outlineLevel="0" collapsed="false">
      <c r="A501" s="43"/>
      <c r="B501" s="53" t="str">
        <f aca="false">IF($A501="","",IF(ISNUMBER(MATCH($A501,'Cotação de Materiais'!$A$4:$A$200,0)),"MAT",IF(ISNUMBER(MATCH($A501,'Mão de Obra e Serviços'!$A$4:$A$200,0)),"MO","CÓDIGO?")))</f>
        <v/>
      </c>
      <c r="C501" s="54" t="str">
        <f aca="false">IF($A501="","",IFERROR(INDEX('Cotação de Materiais'!$C$4:$C$200,MATCH($A501,'Cotação de Materiais'!$A$4:$A$200,0)),IFERROR(INDEX('Mão de Obra e Serviços'!$B$4:$B$200,MATCH($A501,'Mão de Obra e Serviços'!$A$4:$A$200,0)),"")))</f>
        <v/>
      </c>
      <c r="D501" s="43"/>
      <c r="E501" s="43"/>
      <c r="F501" s="43"/>
      <c r="G501" s="57" t="str">
        <f aca="false">IF($A501="","",E501*IF(F501="",1,F501))</f>
        <v/>
      </c>
      <c r="H501" s="31" t="str">
        <f aca="false">IF($A501="","",IF(SUMIF($A$6:$A$600,$A501,$G$6:$G$600)=0,0,G501/SUMIF($A$6:$A$600,$A501,$G$6:$G$600)))</f>
        <v/>
      </c>
      <c r="I501" s="30" t="str">
        <f aca="false">IF($A501="","",IFERROR(INDEX('Cotação de Materiais'!$H$4:$H$200,MATCH($A501,'Cotação de Materiais'!$A$4:$A$200,0)),IFERROR(INDEX('Mão de Obra e Serviços'!$G$4:$G$200,MATCH($A501,'Mão de Obra e Serviços'!$A$4:$A$200,0)),0)))</f>
        <v/>
      </c>
      <c r="K501" s="30" t="str">
        <f aca="false">IF($A501="","",I501*H501)</f>
        <v/>
      </c>
      <c r="L501" s="58"/>
      <c r="M501" s="54" t="str">
        <f aca="false">IF($A501="","",IF(B501="CÓDIGO?","CÓDIGO NÃO ACHADO",IF($D501="","FALTA ITEM DO ANEXO",IF($D501="INDIRETO","",IF(COUNTIFS('Anexo III'!$B$8:$B$400,$D501,'Anexo III'!$E$8:$E$400,"&gt;0")=0,"ITEM NÃO ACHADO NO ANEXO","")))))</f>
        <v/>
      </c>
    </row>
    <row r="502" customFormat="false" ht="15" hidden="false" customHeight="false" outlineLevel="0" collapsed="false">
      <c r="A502" s="43"/>
      <c r="B502" s="53" t="str">
        <f aca="false">IF($A502="","",IF(ISNUMBER(MATCH($A502,'Cotação de Materiais'!$A$4:$A$200,0)),"MAT",IF(ISNUMBER(MATCH($A502,'Mão de Obra e Serviços'!$A$4:$A$200,0)),"MO","CÓDIGO?")))</f>
        <v/>
      </c>
      <c r="C502" s="54" t="str">
        <f aca="false">IF($A502="","",IFERROR(INDEX('Cotação de Materiais'!$C$4:$C$200,MATCH($A502,'Cotação de Materiais'!$A$4:$A$200,0)),IFERROR(INDEX('Mão de Obra e Serviços'!$B$4:$B$200,MATCH($A502,'Mão de Obra e Serviços'!$A$4:$A$200,0)),"")))</f>
        <v/>
      </c>
      <c r="D502" s="43"/>
      <c r="E502" s="43"/>
      <c r="F502" s="43"/>
      <c r="G502" s="57" t="str">
        <f aca="false">IF($A502="","",E502*IF(F502="",1,F502))</f>
        <v/>
      </c>
      <c r="H502" s="31" t="str">
        <f aca="false">IF($A502="","",IF(SUMIF($A$6:$A$600,$A502,$G$6:$G$600)=0,0,G502/SUMIF($A$6:$A$600,$A502,$G$6:$G$600)))</f>
        <v/>
      </c>
      <c r="I502" s="30" t="str">
        <f aca="false">IF($A502="","",IFERROR(INDEX('Cotação de Materiais'!$H$4:$H$200,MATCH($A502,'Cotação de Materiais'!$A$4:$A$200,0)),IFERROR(INDEX('Mão de Obra e Serviços'!$G$4:$G$200,MATCH($A502,'Mão de Obra e Serviços'!$A$4:$A$200,0)),0)))</f>
        <v/>
      </c>
      <c r="K502" s="30" t="str">
        <f aca="false">IF($A502="","",I502*H502)</f>
        <v/>
      </c>
      <c r="L502" s="58"/>
      <c r="M502" s="54" t="str">
        <f aca="false">IF($A502="","",IF(B502="CÓDIGO?","CÓDIGO NÃO ACHADO",IF($D502="","FALTA ITEM DO ANEXO",IF($D502="INDIRETO","",IF(COUNTIFS('Anexo III'!$B$8:$B$400,$D502,'Anexo III'!$E$8:$E$400,"&gt;0")=0,"ITEM NÃO ACHADO NO ANEXO","")))))</f>
        <v/>
      </c>
    </row>
    <row r="503" customFormat="false" ht="15" hidden="false" customHeight="false" outlineLevel="0" collapsed="false">
      <c r="A503" s="43"/>
      <c r="B503" s="53" t="str">
        <f aca="false">IF($A503="","",IF(ISNUMBER(MATCH($A503,'Cotação de Materiais'!$A$4:$A$200,0)),"MAT",IF(ISNUMBER(MATCH($A503,'Mão de Obra e Serviços'!$A$4:$A$200,0)),"MO","CÓDIGO?")))</f>
        <v/>
      </c>
      <c r="C503" s="54" t="str">
        <f aca="false">IF($A503="","",IFERROR(INDEX('Cotação de Materiais'!$C$4:$C$200,MATCH($A503,'Cotação de Materiais'!$A$4:$A$200,0)),IFERROR(INDEX('Mão de Obra e Serviços'!$B$4:$B$200,MATCH($A503,'Mão de Obra e Serviços'!$A$4:$A$200,0)),"")))</f>
        <v/>
      </c>
      <c r="D503" s="43"/>
      <c r="E503" s="43"/>
      <c r="F503" s="43"/>
      <c r="G503" s="57" t="str">
        <f aca="false">IF($A503="","",E503*IF(F503="",1,F503))</f>
        <v/>
      </c>
      <c r="H503" s="31" t="str">
        <f aca="false">IF($A503="","",IF(SUMIF($A$6:$A$600,$A503,$G$6:$G$600)=0,0,G503/SUMIF($A$6:$A$600,$A503,$G$6:$G$600)))</f>
        <v/>
      </c>
      <c r="I503" s="30" t="str">
        <f aca="false">IF($A503="","",IFERROR(INDEX('Cotação de Materiais'!$H$4:$H$200,MATCH($A503,'Cotação de Materiais'!$A$4:$A$200,0)),IFERROR(INDEX('Mão de Obra e Serviços'!$G$4:$G$200,MATCH($A503,'Mão de Obra e Serviços'!$A$4:$A$200,0)),0)))</f>
        <v/>
      </c>
      <c r="K503" s="30" t="str">
        <f aca="false">IF($A503="","",I503*H503)</f>
        <v/>
      </c>
      <c r="L503" s="58"/>
      <c r="M503" s="54" t="str">
        <f aca="false">IF($A503="","",IF(B503="CÓDIGO?","CÓDIGO NÃO ACHADO",IF($D503="","FALTA ITEM DO ANEXO",IF($D503="INDIRETO","",IF(COUNTIFS('Anexo III'!$B$8:$B$400,$D503,'Anexo III'!$E$8:$E$400,"&gt;0")=0,"ITEM NÃO ACHADO NO ANEXO","")))))</f>
        <v/>
      </c>
    </row>
    <row r="504" customFormat="false" ht="15" hidden="false" customHeight="false" outlineLevel="0" collapsed="false">
      <c r="A504" s="43"/>
      <c r="B504" s="53" t="str">
        <f aca="false">IF($A504="","",IF(ISNUMBER(MATCH($A504,'Cotação de Materiais'!$A$4:$A$200,0)),"MAT",IF(ISNUMBER(MATCH($A504,'Mão de Obra e Serviços'!$A$4:$A$200,0)),"MO","CÓDIGO?")))</f>
        <v/>
      </c>
      <c r="C504" s="54" t="str">
        <f aca="false">IF($A504="","",IFERROR(INDEX('Cotação de Materiais'!$C$4:$C$200,MATCH($A504,'Cotação de Materiais'!$A$4:$A$200,0)),IFERROR(INDEX('Mão de Obra e Serviços'!$B$4:$B$200,MATCH($A504,'Mão de Obra e Serviços'!$A$4:$A$200,0)),"")))</f>
        <v/>
      </c>
      <c r="D504" s="43"/>
      <c r="E504" s="43"/>
      <c r="F504" s="43"/>
      <c r="G504" s="57" t="str">
        <f aca="false">IF($A504="","",E504*IF(F504="",1,F504))</f>
        <v/>
      </c>
      <c r="H504" s="31" t="str">
        <f aca="false">IF($A504="","",IF(SUMIF($A$6:$A$600,$A504,$G$6:$G$600)=0,0,G504/SUMIF($A$6:$A$600,$A504,$G$6:$G$600)))</f>
        <v/>
      </c>
      <c r="I504" s="30" t="str">
        <f aca="false">IF($A504="","",IFERROR(INDEX('Cotação de Materiais'!$H$4:$H$200,MATCH($A504,'Cotação de Materiais'!$A$4:$A$200,0)),IFERROR(INDEX('Mão de Obra e Serviços'!$G$4:$G$200,MATCH($A504,'Mão de Obra e Serviços'!$A$4:$A$200,0)),0)))</f>
        <v/>
      </c>
      <c r="K504" s="30" t="str">
        <f aca="false">IF($A504="","",I504*H504)</f>
        <v/>
      </c>
      <c r="L504" s="58"/>
      <c r="M504" s="54" t="str">
        <f aca="false">IF($A504="","",IF(B504="CÓDIGO?","CÓDIGO NÃO ACHADO",IF($D504="","FALTA ITEM DO ANEXO",IF($D504="INDIRETO","",IF(COUNTIFS('Anexo III'!$B$8:$B$400,$D504,'Anexo III'!$E$8:$E$400,"&gt;0")=0,"ITEM NÃO ACHADO NO ANEXO","")))))</f>
        <v/>
      </c>
    </row>
    <row r="505" customFormat="false" ht="15" hidden="false" customHeight="false" outlineLevel="0" collapsed="false">
      <c r="A505" s="43"/>
      <c r="B505" s="53" t="str">
        <f aca="false">IF($A505="","",IF(ISNUMBER(MATCH($A505,'Cotação de Materiais'!$A$4:$A$200,0)),"MAT",IF(ISNUMBER(MATCH($A505,'Mão de Obra e Serviços'!$A$4:$A$200,0)),"MO","CÓDIGO?")))</f>
        <v/>
      </c>
      <c r="C505" s="54" t="str">
        <f aca="false">IF($A505="","",IFERROR(INDEX('Cotação de Materiais'!$C$4:$C$200,MATCH($A505,'Cotação de Materiais'!$A$4:$A$200,0)),IFERROR(INDEX('Mão de Obra e Serviços'!$B$4:$B$200,MATCH($A505,'Mão de Obra e Serviços'!$A$4:$A$200,0)),"")))</f>
        <v/>
      </c>
      <c r="D505" s="43"/>
      <c r="E505" s="43"/>
      <c r="F505" s="43"/>
      <c r="G505" s="57" t="str">
        <f aca="false">IF($A505="","",E505*IF(F505="",1,F505))</f>
        <v/>
      </c>
      <c r="H505" s="31" t="str">
        <f aca="false">IF($A505="","",IF(SUMIF($A$6:$A$600,$A505,$G$6:$G$600)=0,0,G505/SUMIF($A$6:$A$600,$A505,$G$6:$G$600)))</f>
        <v/>
      </c>
      <c r="I505" s="30" t="str">
        <f aca="false">IF($A505="","",IFERROR(INDEX('Cotação de Materiais'!$H$4:$H$200,MATCH($A505,'Cotação de Materiais'!$A$4:$A$200,0)),IFERROR(INDEX('Mão de Obra e Serviços'!$G$4:$G$200,MATCH($A505,'Mão de Obra e Serviços'!$A$4:$A$200,0)),0)))</f>
        <v/>
      </c>
      <c r="K505" s="30" t="str">
        <f aca="false">IF($A505="","",I505*H505)</f>
        <v/>
      </c>
      <c r="L505" s="58"/>
      <c r="M505" s="54" t="str">
        <f aca="false">IF($A505="","",IF(B505="CÓDIGO?","CÓDIGO NÃO ACHADO",IF($D505="","FALTA ITEM DO ANEXO",IF($D505="INDIRETO","",IF(COUNTIFS('Anexo III'!$B$8:$B$400,$D505,'Anexo III'!$E$8:$E$400,"&gt;0")=0,"ITEM NÃO ACHADO NO ANEXO","")))))</f>
        <v/>
      </c>
    </row>
    <row r="506" customFormat="false" ht="15" hidden="false" customHeight="false" outlineLevel="0" collapsed="false">
      <c r="A506" s="43"/>
      <c r="B506" s="53" t="str">
        <f aca="false">IF($A506="","",IF(ISNUMBER(MATCH($A506,'Cotação de Materiais'!$A$4:$A$200,0)),"MAT",IF(ISNUMBER(MATCH($A506,'Mão de Obra e Serviços'!$A$4:$A$200,0)),"MO","CÓDIGO?")))</f>
        <v/>
      </c>
      <c r="C506" s="54" t="str">
        <f aca="false">IF($A506="","",IFERROR(INDEX('Cotação de Materiais'!$C$4:$C$200,MATCH($A506,'Cotação de Materiais'!$A$4:$A$200,0)),IFERROR(INDEX('Mão de Obra e Serviços'!$B$4:$B$200,MATCH($A506,'Mão de Obra e Serviços'!$A$4:$A$200,0)),"")))</f>
        <v/>
      </c>
      <c r="D506" s="43"/>
      <c r="E506" s="43"/>
      <c r="F506" s="43"/>
      <c r="G506" s="57" t="str">
        <f aca="false">IF($A506="","",E506*IF(F506="",1,F506))</f>
        <v/>
      </c>
      <c r="H506" s="31" t="str">
        <f aca="false">IF($A506="","",IF(SUMIF($A$6:$A$600,$A506,$G$6:$G$600)=0,0,G506/SUMIF($A$6:$A$600,$A506,$G$6:$G$600)))</f>
        <v/>
      </c>
      <c r="I506" s="30" t="str">
        <f aca="false">IF($A506="","",IFERROR(INDEX('Cotação de Materiais'!$H$4:$H$200,MATCH($A506,'Cotação de Materiais'!$A$4:$A$200,0)),IFERROR(INDEX('Mão de Obra e Serviços'!$G$4:$G$200,MATCH($A506,'Mão de Obra e Serviços'!$A$4:$A$200,0)),0)))</f>
        <v/>
      </c>
      <c r="K506" s="30" t="str">
        <f aca="false">IF($A506="","",I506*H506)</f>
        <v/>
      </c>
      <c r="L506" s="58"/>
      <c r="M506" s="54" t="str">
        <f aca="false">IF($A506="","",IF(B506="CÓDIGO?","CÓDIGO NÃO ACHADO",IF($D506="","FALTA ITEM DO ANEXO",IF($D506="INDIRETO","",IF(COUNTIFS('Anexo III'!$B$8:$B$400,$D506,'Anexo III'!$E$8:$E$400,"&gt;0")=0,"ITEM NÃO ACHADO NO ANEXO","")))))</f>
        <v/>
      </c>
    </row>
    <row r="507" customFormat="false" ht="15" hidden="false" customHeight="false" outlineLevel="0" collapsed="false">
      <c r="A507" s="43"/>
      <c r="B507" s="53" t="str">
        <f aca="false">IF($A507="","",IF(ISNUMBER(MATCH($A507,'Cotação de Materiais'!$A$4:$A$200,0)),"MAT",IF(ISNUMBER(MATCH($A507,'Mão de Obra e Serviços'!$A$4:$A$200,0)),"MO","CÓDIGO?")))</f>
        <v/>
      </c>
      <c r="C507" s="54" t="str">
        <f aca="false">IF($A507="","",IFERROR(INDEX('Cotação de Materiais'!$C$4:$C$200,MATCH($A507,'Cotação de Materiais'!$A$4:$A$200,0)),IFERROR(INDEX('Mão de Obra e Serviços'!$B$4:$B$200,MATCH($A507,'Mão de Obra e Serviços'!$A$4:$A$200,0)),"")))</f>
        <v/>
      </c>
      <c r="D507" s="43"/>
      <c r="E507" s="43"/>
      <c r="F507" s="43"/>
      <c r="G507" s="57" t="str">
        <f aca="false">IF($A507="","",E507*IF(F507="",1,F507))</f>
        <v/>
      </c>
      <c r="H507" s="31" t="str">
        <f aca="false">IF($A507="","",IF(SUMIF($A$6:$A$600,$A507,$G$6:$G$600)=0,0,G507/SUMIF($A$6:$A$600,$A507,$G$6:$G$600)))</f>
        <v/>
      </c>
      <c r="I507" s="30" t="str">
        <f aca="false">IF($A507="","",IFERROR(INDEX('Cotação de Materiais'!$H$4:$H$200,MATCH($A507,'Cotação de Materiais'!$A$4:$A$200,0)),IFERROR(INDEX('Mão de Obra e Serviços'!$G$4:$G$200,MATCH($A507,'Mão de Obra e Serviços'!$A$4:$A$200,0)),0)))</f>
        <v/>
      </c>
      <c r="K507" s="30" t="str">
        <f aca="false">IF($A507="","",I507*H507)</f>
        <v/>
      </c>
      <c r="L507" s="58"/>
      <c r="M507" s="54" t="str">
        <f aca="false">IF($A507="","",IF(B507="CÓDIGO?","CÓDIGO NÃO ACHADO",IF($D507="","FALTA ITEM DO ANEXO",IF($D507="INDIRETO","",IF(COUNTIFS('Anexo III'!$B$8:$B$400,$D507,'Anexo III'!$E$8:$E$400,"&gt;0")=0,"ITEM NÃO ACHADO NO ANEXO","")))))</f>
        <v/>
      </c>
    </row>
    <row r="508" customFormat="false" ht="15" hidden="false" customHeight="false" outlineLevel="0" collapsed="false">
      <c r="A508" s="43"/>
      <c r="B508" s="53" t="str">
        <f aca="false">IF($A508="","",IF(ISNUMBER(MATCH($A508,'Cotação de Materiais'!$A$4:$A$200,0)),"MAT",IF(ISNUMBER(MATCH($A508,'Mão de Obra e Serviços'!$A$4:$A$200,0)),"MO","CÓDIGO?")))</f>
        <v/>
      </c>
      <c r="C508" s="54" t="str">
        <f aca="false">IF($A508="","",IFERROR(INDEX('Cotação de Materiais'!$C$4:$C$200,MATCH($A508,'Cotação de Materiais'!$A$4:$A$200,0)),IFERROR(INDEX('Mão de Obra e Serviços'!$B$4:$B$200,MATCH($A508,'Mão de Obra e Serviços'!$A$4:$A$200,0)),"")))</f>
        <v/>
      </c>
      <c r="D508" s="43"/>
      <c r="E508" s="43"/>
      <c r="F508" s="43"/>
      <c r="G508" s="57" t="str">
        <f aca="false">IF($A508="","",E508*IF(F508="",1,F508))</f>
        <v/>
      </c>
      <c r="H508" s="31" t="str">
        <f aca="false">IF($A508="","",IF(SUMIF($A$6:$A$600,$A508,$G$6:$G$600)=0,0,G508/SUMIF($A$6:$A$600,$A508,$G$6:$G$600)))</f>
        <v/>
      </c>
      <c r="I508" s="30" t="str">
        <f aca="false">IF($A508="","",IFERROR(INDEX('Cotação de Materiais'!$H$4:$H$200,MATCH($A508,'Cotação de Materiais'!$A$4:$A$200,0)),IFERROR(INDEX('Mão de Obra e Serviços'!$G$4:$G$200,MATCH($A508,'Mão de Obra e Serviços'!$A$4:$A$200,0)),0)))</f>
        <v/>
      </c>
      <c r="K508" s="30" t="str">
        <f aca="false">IF($A508="","",I508*H508)</f>
        <v/>
      </c>
      <c r="L508" s="58"/>
      <c r="M508" s="54" t="str">
        <f aca="false">IF($A508="","",IF(B508="CÓDIGO?","CÓDIGO NÃO ACHADO",IF($D508="","FALTA ITEM DO ANEXO",IF($D508="INDIRETO","",IF(COUNTIFS('Anexo III'!$B$8:$B$400,$D508,'Anexo III'!$E$8:$E$400,"&gt;0")=0,"ITEM NÃO ACHADO NO ANEXO","")))))</f>
        <v/>
      </c>
    </row>
    <row r="509" customFormat="false" ht="15" hidden="false" customHeight="false" outlineLevel="0" collapsed="false">
      <c r="A509" s="43"/>
      <c r="B509" s="53" t="str">
        <f aca="false">IF($A509="","",IF(ISNUMBER(MATCH($A509,'Cotação de Materiais'!$A$4:$A$200,0)),"MAT",IF(ISNUMBER(MATCH($A509,'Mão de Obra e Serviços'!$A$4:$A$200,0)),"MO","CÓDIGO?")))</f>
        <v/>
      </c>
      <c r="C509" s="54" t="str">
        <f aca="false">IF($A509="","",IFERROR(INDEX('Cotação de Materiais'!$C$4:$C$200,MATCH($A509,'Cotação de Materiais'!$A$4:$A$200,0)),IFERROR(INDEX('Mão de Obra e Serviços'!$B$4:$B$200,MATCH($A509,'Mão de Obra e Serviços'!$A$4:$A$200,0)),"")))</f>
        <v/>
      </c>
      <c r="D509" s="43"/>
      <c r="E509" s="43"/>
      <c r="F509" s="43"/>
      <c r="G509" s="57" t="str">
        <f aca="false">IF($A509="","",E509*IF(F509="",1,F509))</f>
        <v/>
      </c>
      <c r="H509" s="31" t="str">
        <f aca="false">IF($A509="","",IF(SUMIF($A$6:$A$600,$A509,$G$6:$G$600)=0,0,G509/SUMIF($A$6:$A$600,$A509,$G$6:$G$600)))</f>
        <v/>
      </c>
      <c r="I509" s="30" t="str">
        <f aca="false">IF($A509="","",IFERROR(INDEX('Cotação de Materiais'!$H$4:$H$200,MATCH($A509,'Cotação de Materiais'!$A$4:$A$200,0)),IFERROR(INDEX('Mão de Obra e Serviços'!$G$4:$G$200,MATCH($A509,'Mão de Obra e Serviços'!$A$4:$A$200,0)),0)))</f>
        <v/>
      </c>
      <c r="K509" s="30" t="str">
        <f aca="false">IF($A509="","",I509*H509)</f>
        <v/>
      </c>
      <c r="L509" s="58"/>
      <c r="M509" s="54" t="str">
        <f aca="false">IF($A509="","",IF(B509="CÓDIGO?","CÓDIGO NÃO ACHADO",IF($D509="","FALTA ITEM DO ANEXO",IF($D509="INDIRETO","",IF(COUNTIFS('Anexo III'!$B$8:$B$400,$D509,'Anexo III'!$E$8:$E$400,"&gt;0")=0,"ITEM NÃO ACHADO NO ANEXO","")))))</f>
        <v/>
      </c>
    </row>
    <row r="510" customFormat="false" ht="15" hidden="false" customHeight="false" outlineLevel="0" collapsed="false">
      <c r="A510" s="43"/>
      <c r="B510" s="53" t="str">
        <f aca="false">IF($A510="","",IF(ISNUMBER(MATCH($A510,'Cotação de Materiais'!$A$4:$A$200,0)),"MAT",IF(ISNUMBER(MATCH($A510,'Mão de Obra e Serviços'!$A$4:$A$200,0)),"MO","CÓDIGO?")))</f>
        <v/>
      </c>
      <c r="C510" s="54" t="str">
        <f aca="false">IF($A510="","",IFERROR(INDEX('Cotação de Materiais'!$C$4:$C$200,MATCH($A510,'Cotação de Materiais'!$A$4:$A$200,0)),IFERROR(INDEX('Mão de Obra e Serviços'!$B$4:$B$200,MATCH($A510,'Mão de Obra e Serviços'!$A$4:$A$200,0)),"")))</f>
        <v/>
      </c>
      <c r="D510" s="43"/>
      <c r="E510" s="43"/>
      <c r="F510" s="43"/>
      <c r="G510" s="57" t="str">
        <f aca="false">IF($A510="","",E510*IF(F510="",1,F510))</f>
        <v/>
      </c>
      <c r="H510" s="31" t="str">
        <f aca="false">IF($A510="","",IF(SUMIF($A$6:$A$600,$A510,$G$6:$G$600)=0,0,G510/SUMIF($A$6:$A$600,$A510,$G$6:$G$600)))</f>
        <v/>
      </c>
      <c r="I510" s="30" t="str">
        <f aca="false">IF($A510="","",IFERROR(INDEX('Cotação de Materiais'!$H$4:$H$200,MATCH($A510,'Cotação de Materiais'!$A$4:$A$200,0)),IFERROR(INDEX('Mão de Obra e Serviços'!$G$4:$G$200,MATCH($A510,'Mão de Obra e Serviços'!$A$4:$A$200,0)),0)))</f>
        <v/>
      </c>
      <c r="K510" s="30" t="str">
        <f aca="false">IF($A510="","",I510*H510)</f>
        <v/>
      </c>
      <c r="L510" s="58"/>
      <c r="M510" s="54" t="str">
        <f aca="false">IF($A510="","",IF(B510="CÓDIGO?","CÓDIGO NÃO ACHADO",IF($D510="","FALTA ITEM DO ANEXO",IF($D510="INDIRETO","",IF(COUNTIFS('Anexo III'!$B$8:$B$400,$D510,'Anexo III'!$E$8:$E$400,"&gt;0")=0,"ITEM NÃO ACHADO NO ANEXO","")))))</f>
        <v/>
      </c>
    </row>
    <row r="511" customFormat="false" ht="15" hidden="false" customHeight="false" outlineLevel="0" collapsed="false">
      <c r="A511" s="43"/>
      <c r="B511" s="53" t="str">
        <f aca="false">IF($A511="","",IF(ISNUMBER(MATCH($A511,'Cotação de Materiais'!$A$4:$A$200,0)),"MAT",IF(ISNUMBER(MATCH($A511,'Mão de Obra e Serviços'!$A$4:$A$200,0)),"MO","CÓDIGO?")))</f>
        <v/>
      </c>
      <c r="C511" s="54" t="str">
        <f aca="false">IF($A511="","",IFERROR(INDEX('Cotação de Materiais'!$C$4:$C$200,MATCH($A511,'Cotação de Materiais'!$A$4:$A$200,0)),IFERROR(INDEX('Mão de Obra e Serviços'!$B$4:$B$200,MATCH($A511,'Mão de Obra e Serviços'!$A$4:$A$200,0)),"")))</f>
        <v/>
      </c>
      <c r="D511" s="43"/>
      <c r="E511" s="43"/>
      <c r="F511" s="43"/>
      <c r="G511" s="57" t="str">
        <f aca="false">IF($A511="","",E511*IF(F511="",1,F511))</f>
        <v/>
      </c>
      <c r="H511" s="31" t="str">
        <f aca="false">IF($A511="","",IF(SUMIF($A$6:$A$600,$A511,$G$6:$G$600)=0,0,G511/SUMIF($A$6:$A$600,$A511,$G$6:$G$600)))</f>
        <v/>
      </c>
      <c r="I511" s="30" t="str">
        <f aca="false">IF($A511="","",IFERROR(INDEX('Cotação de Materiais'!$H$4:$H$200,MATCH($A511,'Cotação de Materiais'!$A$4:$A$200,0)),IFERROR(INDEX('Mão de Obra e Serviços'!$G$4:$G$200,MATCH($A511,'Mão de Obra e Serviços'!$A$4:$A$200,0)),0)))</f>
        <v/>
      </c>
      <c r="K511" s="30" t="str">
        <f aca="false">IF($A511="","",I511*H511)</f>
        <v/>
      </c>
      <c r="L511" s="58"/>
      <c r="M511" s="54" t="str">
        <f aca="false">IF($A511="","",IF(B511="CÓDIGO?","CÓDIGO NÃO ACHADO",IF($D511="","FALTA ITEM DO ANEXO",IF($D511="INDIRETO","",IF(COUNTIFS('Anexo III'!$B$8:$B$400,$D511,'Anexo III'!$E$8:$E$400,"&gt;0")=0,"ITEM NÃO ACHADO NO ANEXO","")))))</f>
        <v/>
      </c>
    </row>
    <row r="512" customFormat="false" ht="15" hidden="false" customHeight="false" outlineLevel="0" collapsed="false">
      <c r="A512" s="43"/>
      <c r="B512" s="53" t="str">
        <f aca="false">IF($A512="","",IF(ISNUMBER(MATCH($A512,'Cotação de Materiais'!$A$4:$A$200,0)),"MAT",IF(ISNUMBER(MATCH($A512,'Mão de Obra e Serviços'!$A$4:$A$200,0)),"MO","CÓDIGO?")))</f>
        <v/>
      </c>
      <c r="C512" s="54" t="str">
        <f aca="false">IF($A512="","",IFERROR(INDEX('Cotação de Materiais'!$C$4:$C$200,MATCH($A512,'Cotação de Materiais'!$A$4:$A$200,0)),IFERROR(INDEX('Mão de Obra e Serviços'!$B$4:$B$200,MATCH($A512,'Mão de Obra e Serviços'!$A$4:$A$200,0)),"")))</f>
        <v/>
      </c>
      <c r="D512" s="43"/>
      <c r="E512" s="43"/>
      <c r="F512" s="43"/>
      <c r="G512" s="57" t="str">
        <f aca="false">IF($A512="","",E512*IF(F512="",1,F512))</f>
        <v/>
      </c>
      <c r="H512" s="31" t="str">
        <f aca="false">IF($A512="","",IF(SUMIF($A$6:$A$600,$A512,$G$6:$G$600)=0,0,G512/SUMIF($A$6:$A$600,$A512,$G$6:$G$600)))</f>
        <v/>
      </c>
      <c r="I512" s="30" t="str">
        <f aca="false">IF($A512="","",IFERROR(INDEX('Cotação de Materiais'!$H$4:$H$200,MATCH($A512,'Cotação de Materiais'!$A$4:$A$200,0)),IFERROR(INDEX('Mão de Obra e Serviços'!$G$4:$G$200,MATCH($A512,'Mão de Obra e Serviços'!$A$4:$A$200,0)),0)))</f>
        <v/>
      </c>
      <c r="K512" s="30" t="str">
        <f aca="false">IF($A512="","",I512*H512)</f>
        <v/>
      </c>
      <c r="L512" s="58"/>
      <c r="M512" s="54" t="str">
        <f aca="false">IF($A512="","",IF(B512="CÓDIGO?","CÓDIGO NÃO ACHADO",IF($D512="","FALTA ITEM DO ANEXO",IF($D512="INDIRETO","",IF(COUNTIFS('Anexo III'!$B$8:$B$400,$D512,'Anexo III'!$E$8:$E$400,"&gt;0")=0,"ITEM NÃO ACHADO NO ANEXO","")))))</f>
        <v/>
      </c>
    </row>
    <row r="513" customFormat="false" ht="15" hidden="false" customHeight="false" outlineLevel="0" collapsed="false">
      <c r="A513" s="43"/>
      <c r="B513" s="53" t="str">
        <f aca="false">IF($A513="","",IF(ISNUMBER(MATCH($A513,'Cotação de Materiais'!$A$4:$A$200,0)),"MAT",IF(ISNUMBER(MATCH($A513,'Mão de Obra e Serviços'!$A$4:$A$200,0)),"MO","CÓDIGO?")))</f>
        <v/>
      </c>
      <c r="C513" s="54" t="str">
        <f aca="false">IF($A513="","",IFERROR(INDEX('Cotação de Materiais'!$C$4:$C$200,MATCH($A513,'Cotação de Materiais'!$A$4:$A$200,0)),IFERROR(INDEX('Mão de Obra e Serviços'!$B$4:$B$200,MATCH($A513,'Mão de Obra e Serviços'!$A$4:$A$200,0)),"")))</f>
        <v/>
      </c>
      <c r="D513" s="43"/>
      <c r="E513" s="43"/>
      <c r="F513" s="43"/>
      <c r="G513" s="57" t="str">
        <f aca="false">IF($A513="","",E513*IF(F513="",1,F513))</f>
        <v/>
      </c>
      <c r="H513" s="31" t="str">
        <f aca="false">IF($A513="","",IF(SUMIF($A$6:$A$600,$A513,$G$6:$G$600)=0,0,G513/SUMIF($A$6:$A$600,$A513,$G$6:$G$600)))</f>
        <v/>
      </c>
      <c r="I513" s="30" t="str">
        <f aca="false">IF($A513="","",IFERROR(INDEX('Cotação de Materiais'!$H$4:$H$200,MATCH($A513,'Cotação de Materiais'!$A$4:$A$200,0)),IFERROR(INDEX('Mão de Obra e Serviços'!$G$4:$G$200,MATCH($A513,'Mão de Obra e Serviços'!$A$4:$A$200,0)),0)))</f>
        <v/>
      </c>
      <c r="K513" s="30" t="str">
        <f aca="false">IF($A513="","",I513*H513)</f>
        <v/>
      </c>
      <c r="L513" s="58"/>
      <c r="M513" s="54" t="str">
        <f aca="false">IF($A513="","",IF(B513="CÓDIGO?","CÓDIGO NÃO ACHADO",IF($D513="","FALTA ITEM DO ANEXO",IF($D513="INDIRETO","",IF(COUNTIFS('Anexo III'!$B$8:$B$400,$D513,'Anexo III'!$E$8:$E$400,"&gt;0")=0,"ITEM NÃO ACHADO NO ANEXO","")))))</f>
        <v/>
      </c>
    </row>
    <row r="514" customFormat="false" ht="15" hidden="false" customHeight="false" outlineLevel="0" collapsed="false">
      <c r="A514" s="43"/>
      <c r="B514" s="53" t="str">
        <f aca="false">IF($A514="","",IF(ISNUMBER(MATCH($A514,'Cotação de Materiais'!$A$4:$A$200,0)),"MAT",IF(ISNUMBER(MATCH($A514,'Mão de Obra e Serviços'!$A$4:$A$200,0)),"MO","CÓDIGO?")))</f>
        <v/>
      </c>
      <c r="C514" s="54" t="str">
        <f aca="false">IF($A514="","",IFERROR(INDEX('Cotação de Materiais'!$C$4:$C$200,MATCH($A514,'Cotação de Materiais'!$A$4:$A$200,0)),IFERROR(INDEX('Mão de Obra e Serviços'!$B$4:$B$200,MATCH($A514,'Mão de Obra e Serviços'!$A$4:$A$200,0)),"")))</f>
        <v/>
      </c>
      <c r="D514" s="43"/>
      <c r="E514" s="43"/>
      <c r="F514" s="43"/>
      <c r="G514" s="57" t="str">
        <f aca="false">IF($A514="","",E514*IF(F514="",1,F514))</f>
        <v/>
      </c>
      <c r="H514" s="31" t="str">
        <f aca="false">IF($A514="","",IF(SUMIF($A$6:$A$600,$A514,$G$6:$G$600)=0,0,G514/SUMIF($A$6:$A$600,$A514,$G$6:$G$600)))</f>
        <v/>
      </c>
      <c r="I514" s="30" t="str">
        <f aca="false">IF($A514="","",IFERROR(INDEX('Cotação de Materiais'!$H$4:$H$200,MATCH($A514,'Cotação de Materiais'!$A$4:$A$200,0)),IFERROR(INDEX('Mão de Obra e Serviços'!$G$4:$G$200,MATCH($A514,'Mão de Obra e Serviços'!$A$4:$A$200,0)),0)))</f>
        <v/>
      </c>
      <c r="K514" s="30" t="str">
        <f aca="false">IF($A514="","",I514*H514)</f>
        <v/>
      </c>
      <c r="L514" s="58"/>
      <c r="M514" s="54" t="str">
        <f aca="false">IF($A514="","",IF(B514="CÓDIGO?","CÓDIGO NÃO ACHADO",IF($D514="","FALTA ITEM DO ANEXO",IF($D514="INDIRETO","",IF(COUNTIFS('Anexo III'!$B$8:$B$400,$D514,'Anexo III'!$E$8:$E$400,"&gt;0")=0,"ITEM NÃO ACHADO NO ANEXO","")))))</f>
        <v/>
      </c>
    </row>
    <row r="515" customFormat="false" ht="15" hidden="false" customHeight="false" outlineLevel="0" collapsed="false">
      <c r="A515" s="43"/>
      <c r="B515" s="53" t="str">
        <f aca="false">IF($A515="","",IF(ISNUMBER(MATCH($A515,'Cotação de Materiais'!$A$4:$A$200,0)),"MAT",IF(ISNUMBER(MATCH($A515,'Mão de Obra e Serviços'!$A$4:$A$200,0)),"MO","CÓDIGO?")))</f>
        <v/>
      </c>
      <c r="C515" s="54" t="str">
        <f aca="false">IF($A515="","",IFERROR(INDEX('Cotação de Materiais'!$C$4:$C$200,MATCH($A515,'Cotação de Materiais'!$A$4:$A$200,0)),IFERROR(INDEX('Mão de Obra e Serviços'!$B$4:$B$200,MATCH($A515,'Mão de Obra e Serviços'!$A$4:$A$200,0)),"")))</f>
        <v/>
      </c>
      <c r="D515" s="43"/>
      <c r="E515" s="43"/>
      <c r="F515" s="43"/>
      <c r="G515" s="57" t="str">
        <f aca="false">IF($A515="","",E515*IF(F515="",1,F515))</f>
        <v/>
      </c>
      <c r="H515" s="31" t="str">
        <f aca="false">IF($A515="","",IF(SUMIF($A$6:$A$600,$A515,$G$6:$G$600)=0,0,G515/SUMIF($A$6:$A$600,$A515,$G$6:$G$600)))</f>
        <v/>
      </c>
      <c r="I515" s="30" t="str">
        <f aca="false">IF($A515="","",IFERROR(INDEX('Cotação de Materiais'!$H$4:$H$200,MATCH($A515,'Cotação de Materiais'!$A$4:$A$200,0)),IFERROR(INDEX('Mão de Obra e Serviços'!$G$4:$G$200,MATCH($A515,'Mão de Obra e Serviços'!$A$4:$A$200,0)),0)))</f>
        <v/>
      </c>
      <c r="K515" s="30" t="str">
        <f aca="false">IF($A515="","",I515*H515)</f>
        <v/>
      </c>
      <c r="L515" s="58"/>
      <c r="M515" s="54" t="str">
        <f aca="false">IF($A515="","",IF(B515="CÓDIGO?","CÓDIGO NÃO ACHADO",IF($D515="","FALTA ITEM DO ANEXO",IF($D515="INDIRETO","",IF(COUNTIFS('Anexo III'!$B$8:$B$400,$D515,'Anexo III'!$E$8:$E$400,"&gt;0")=0,"ITEM NÃO ACHADO NO ANEXO","")))))</f>
        <v/>
      </c>
    </row>
    <row r="516" customFormat="false" ht="15" hidden="false" customHeight="false" outlineLevel="0" collapsed="false">
      <c r="A516" s="43"/>
      <c r="B516" s="53" t="str">
        <f aca="false">IF($A516="","",IF(ISNUMBER(MATCH($A516,'Cotação de Materiais'!$A$4:$A$200,0)),"MAT",IF(ISNUMBER(MATCH($A516,'Mão de Obra e Serviços'!$A$4:$A$200,0)),"MO","CÓDIGO?")))</f>
        <v/>
      </c>
      <c r="C516" s="54" t="str">
        <f aca="false">IF($A516="","",IFERROR(INDEX('Cotação de Materiais'!$C$4:$C$200,MATCH($A516,'Cotação de Materiais'!$A$4:$A$200,0)),IFERROR(INDEX('Mão de Obra e Serviços'!$B$4:$B$200,MATCH($A516,'Mão de Obra e Serviços'!$A$4:$A$200,0)),"")))</f>
        <v/>
      </c>
      <c r="D516" s="43"/>
      <c r="E516" s="43"/>
      <c r="F516" s="43"/>
      <c r="G516" s="57" t="str">
        <f aca="false">IF($A516="","",E516*IF(F516="",1,F516))</f>
        <v/>
      </c>
      <c r="H516" s="31" t="str">
        <f aca="false">IF($A516="","",IF(SUMIF($A$6:$A$600,$A516,$G$6:$G$600)=0,0,G516/SUMIF($A$6:$A$600,$A516,$G$6:$G$600)))</f>
        <v/>
      </c>
      <c r="I516" s="30" t="str">
        <f aca="false">IF($A516="","",IFERROR(INDEX('Cotação de Materiais'!$H$4:$H$200,MATCH($A516,'Cotação de Materiais'!$A$4:$A$200,0)),IFERROR(INDEX('Mão de Obra e Serviços'!$G$4:$G$200,MATCH($A516,'Mão de Obra e Serviços'!$A$4:$A$200,0)),0)))</f>
        <v/>
      </c>
      <c r="K516" s="30" t="str">
        <f aca="false">IF($A516="","",I516*H516)</f>
        <v/>
      </c>
      <c r="L516" s="58"/>
      <c r="M516" s="54" t="str">
        <f aca="false">IF($A516="","",IF(B516="CÓDIGO?","CÓDIGO NÃO ACHADO",IF($D516="","FALTA ITEM DO ANEXO",IF($D516="INDIRETO","",IF(COUNTIFS('Anexo III'!$B$8:$B$400,$D516,'Anexo III'!$E$8:$E$400,"&gt;0")=0,"ITEM NÃO ACHADO NO ANEXO","")))))</f>
        <v/>
      </c>
    </row>
    <row r="517" customFormat="false" ht="15" hidden="false" customHeight="false" outlineLevel="0" collapsed="false">
      <c r="A517" s="43"/>
      <c r="B517" s="53" t="str">
        <f aca="false">IF($A517="","",IF(ISNUMBER(MATCH($A517,'Cotação de Materiais'!$A$4:$A$200,0)),"MAT",IF(ISNUMBER(MATCH($A517,'Mão de Obra e Serviços'!$A$4:$A$200,0)),"MO","CÓDIGO?")))</f>
        <v/>
      </c>
      <c r="C517" s="54" t="str">
        <f aca="false">IF($A517="","",IFERROR(INDEX('Cotação de Materiais'!$C$4:$C$200,MATCH($A517,'Cotação de Materiais'!$A$4:$A$200,0)),IFERROR(INDEX('Mão de Obra e Serviços'!$B$4:$B$200,MATCH($A517,'Mão de Obra e Serviços'!$A$4:$A$200,0)),"")))</f>
        <v/>
      </c>
      <c r="D517" s="43"/>
      <c r="E517" s="43"/>
      <c r="F517" s="43"/>
      <c r="G517" s="57" t="str">
        <f aca="false">IF($A517="","",E517*IF(F517="",1,F517))</f>
        <v/>
      </c>
      <c r="H517" s="31" t="str">
        <f aca="false">IF($A517="","",IF(SUMIF($A$6:$A$600,$A517,$G$6:$G$600)=0,0,G517/SUMIF($A$6:$A$600,$A517,$G$6:$G$600)))</f>
        <v/>
      </c>
      <c r="I517" s="30" t="str">
        <f aca="false">IF($A517="","",IFERROR(INDEX('Cotação de Materiais'!$H$4:$H$200,MATCH($A517,'Cotação de Materiais'!$A$4:$A$200,0)),IFERROR(INDEX('Mão de Obra e Serviços'!$G$4:$G$200,MATCH($A517,'Mão de Obra e Serviços'!$A$4:$A$200,0)),0)))</f>
        <v/>
      </c>
      <c r="K517" s="30" t="str">
        <f aca="false">IF($A517="","",I517*H517)</f>
        <v/>
      </c>
      <c r="L517" s="58"/>
      <c r="M517" s="54" t="str">
        <f aca="false">IF($A517="","",IF(B517="CÓDIGO?","CÓDIGO NÃO ACHADO",IF($D517="","FALTA ITEM DO ANEXO",IF($D517="INDIRETO","",IF(COUNTIFS('Anexo III'!$B$8:$B$400,$D517,'Anexo III'!$E$8:$E$400,"&gt;0")=0,"ITEM NÃO ACHADO NO ANEXO","")))))</f>
        <v/>
      </c>
    </row>
    <row r="518" customFormat="false" ht="15" hidden="false" customHeight="false" outlineLevel="0" collapsed="false">
      <c r="A518" s="43"/>
      <c r="B518" s="53" t="str">
        <f aca="false">IF($A518="","",IF(ISNUMBER(MATCH($A518,'Cotação de Materiais'!$A$4:$A$200,0)),"MAT",IF(ISNUMBER(MATCH($A518,'Mão de Obra e Serviços'!$A$4:$A$200,0)),"MO","CÓDIGO?")))</f>
        <v/>
      </c>
      <c r="C518" s="54" t="str">
        <f aca="false">IF($A518="","",IFERROR(INDEX('Cotação de Materiais'!$C$4:$C$200,MATCH($A518,'Cotação de Materiais'!$A$4:$A$200,0)),IFERROR(INDEX('Mão de Obra e Serviços'!$B$4:$B$200,MATCH($A518,'Mão de Obra e Serviços'!$A$4:$A$200,0)),"")))</f>
        <v/>
      </c>
      <c r="D518" s="43"/>
      <c r="E518" s="43"/>
      <c r="F518" s="43"/>
      <c r="G518" s="57" t="str">
        <f aca="false">IF($A518="","",E518*IF(F518="",1,F518))</f>
        <v/>
      </c>
      <c r="H518" s="31" t="str">
        <f aca="false">IF($A518="","",IF(SUMIF($A$6:$A$600,$A518,$G$6:$G$600)=0,0,G518/SUMIF($A$6:$A$600,$A518,$G$6:$G$600)))</f>
        <v/>
      </c>
      <c r="I518" s="30" t="str">
        <f aca="false">IF($A518="","",IFERROR(INDEX('Cotação de Materiais'!$H$4:$H$200,MATCH($A518,'Cotação de Materiais'!$A$4:$A$200,0)),IFERROR(INDEX('Mão de Obra e Serviços'!$G$4:$G$200,MATCH($A518,'Mão de Obra e Serviços'!$A$4:$A$200,0)),0)))</f>
        <v/>
      </c>
      <c r="K518" s="30" t="str">
        <f aca="false">IF($A518="","",I518*H518)</f>
        <v/>
      </c>
      <c r="L518" s="58"/>
      <c r="M518" s="54" t="str">
        <f aca="false">IF($A518="","",IF(B518="CÓDIGO?","CÓDIGO NÃO ACHADO",IF($D518="","FALTA ITEM DO ANEXO",IF($D518="INDIRETO","",IF(COUNTIFS('Anexo III'!$B$8:$B$400,$D518,'Anexo III'!$E$8:$E$400,"&gt;0")=0,"ITEM NÃO ACHADO NO ANEXO","")))))</f>
        <v/>
      </c>
    </row>
    <row r="519" customFormat="false" ht="15" hidden="false" customHeight="false" outlineLevel="0" collapsed="false">
      <c r="A519" s="43"/>
      <c r="B519" s="53" t="str">
        <f aca="false">IF($A519="","",IF(ISNUMBER(MATCH($A519,'Cotação de Materiais'!$A$4:$A$200,0)),"MAT",IF(ISNUMBER(MATCH($A519,'Mão de Obra e Serviços'!$A$4:$A$200,0)),"MO","CÓDIGO?")))</f>
        <v/>
      </c>
      <c r="C519" s="54" t="str">
        <f aca="false">IF($A519="","",IFERROR(INDEX('Cotação de Materiais'!$C$4:$C$200,MATCH($A519,'Cotação de Materiais'!$A$4:$A$200,0)),IFERROR(INDEX('Mão de Obra e Serviços'!$B$4:$B$200,MATCH($A519,'Mão de Obra e Serviços'!$A$4:$A$200,0)),"")))</f>
        <v/>
      </c>
      <c r="D519" s="43"/>
      <c r="E519" s="43"/>
      <c r="F519" s="43"/>
      <c r="G519" s="57" t="str">
        <f aca="false">IF($A519="","",E519*IF(F519="",1,F519))</f>
        <v/>
      </c>
      <c r="H519" s="31" t="str">
        <f aca="false">IF($A519="","",IF(SUMIF($A$6:$A$600,$A519,$G$6:$G$600)=0,0,G519/SUMIF($A$6:$A$600,$A519,$G$6:$G$600)))</f>
        <v/>
      </c>
      <c r="I519" s="30" t="str">
        <f aca="false">IF($A519="","",IFERROR(INDEX('Cotação de Materiais'!$H$4:$H$200,MATCH($A519,'Cotação de Materiais'!$A$4:$A$200,0)),IFERROR(INDEX('Mão de Obra e Serviços'!$G$4:$G$200,MATCH($A519,'Mão de Obra e Serviços'!$A$4:$A$200,0)),0)))</f>
        <v/>
      </c>
      <c r="K519" s="30" t="str">
        <f aca="false">IF($A519="","",I519*H519)</f>
        <v/>
      </c>
      <c r="L519" s="58"/>
      <c r="M519" s="54" t="str">
        <f aca="false">IF($A519="","",IF(B519="CÓDIGO?","CÓDIGO NÃO ACHADO",IF($D519="","FALTA ITEM DO ANEXO",IF($D519="INDIRETO","",IF(COUNTIFS('Anexo III'!$B$8:$B$400,$D519,'Anexo III'!$E$8:$E$400,"&gt;0")=0,"ITEM NÃO ACHADO NO ANEXO","")))))</f>
        <v/>
      </c>
    </row>
    <row r="520" customFormat="false" ht="15" hidden="false" customHeight="false" outlineLevel="0" collapsed="false">
      <c r="A520" s="43"/>
      <c r="B520" s="53" t="str">
        <f aca="false">IF($A520="","",IF(ISNUMBER(MATCH($A520,'Cotação de Materiais'!$A$4:$A$200,0)),"MAT",IF(ISNUMBER(MATCH($A520,'Mão de Obra e Serviços'!$A$4:$A$200,0)),"MO","CÓDIGO?")))</f>
        <v/>
      </c>
      <c r="C520" s="54" t="str">
        <f aca="false">IF($A520="","",IFERROR(INDEX('Cotação de Materiais'!$C$4:$C$200,MATCH($A520,'Cotação de Materiais'!$A$4:$A$200,0)),IFERROR(INDEX('Mão de Obra e Serviços'!$B$4:$B$200,MATCH($A520,'Mão de Obra e Serviços'!$A$4:$A$200,0)),"")))</f>
        <v/>
      </c>
      <c r="D520" s="43"/>
      <c r="E520" s="43"/>
      <c r="F520" s="43"/>
      <c r="G520" s="57" t="str">
        <f aca="false">IF($A520="","",E520*IF(F520="",1,F520))</f>
        <v/>
      </c>
      <c r="H520" s="31" t="str">
        <f aca="false">IF($A520="","",IF(SUMIF($A$6:$A$600,$A520,$G$6:$G$600)=0,0,G520/SUMIF($A$6:$A$600,$A520,$G$6:$G$600)))</f>
        <v/>
      </c>
      <c r="I520" s="30" t="str">
        <f aca="false">IF($A520="","",IFERROR(INDEX('Cotação de Materiais'!$H$4:$H$200,MATCH($A520,'Cotação de Materiais'!$A$4:$A$200,0)),IFERROR(INDEX('Mão de Obra e Serviços'!$G$4:$G$200,MATCH($A520,'Mão de Obra e Serviços'!$A$4:$A$200,0)),0)))</f>
        <v/>
      </c>
      <c r="K520" s="30" t="str">
        <f aca="false">IF($A520="","",I520*H520)</f>
        <v/>
      </c>
      <c r="L520" s="58"/>
      <c r="M520" s="54" t="str">
        <f aca="false">IF($A520="","",IF(B520="CÓDIGO?","CÓDIGO NÃO ACHADO",IF($D520="","FALTA ITEM DO ANEXO",IF($D520="INDIRETO","",IF(COUNTIFS('Anexo III'!$B$8:$B$400,$D520,'Anexo III'!$E$8:$E$400,"&gt;0")=0,"ITEM NÃO ACHADO NO ANEXO","")))))</f>
        <v/>
      </c>
    </row>
    <row r="521" customFormat="false" ht="15" hidden="false" customHeight="false" outlineLevel="0" collapsed="false">
      <c r="A521" s="43"/>
      <c r="B521" s="53" t="str">
        <f aca="false">IF($A521="","",IF(ISNUMBER(MATCH($A521,'Cotação de Materiais'!$A$4:$A$200,0)),"MAT",IF(ISNUMBER(MATCH($A521,'Mão de Obra e Serviços'!$A$4:$A$200,0)),"MO","CÓDIGO?")))</f>
        <v/>
      </c>
      <c r="C521" s="54" t="str">
        <f aca="false">IF($A521="","",IFERROR(INDEX('Cotação de Materiais'!$C$4:$C$200,MATCH($A521,'Cotação de Materiais'!$A$4:$A$200,0)),IFERROR(INDEX('Mão de Obra e Serviços'!$B$4:$B$200,MATCH($A521,'Mão de Obra e Serviços'!$A$4:$A$200,0)),"")))</f>
        <v/>
      </c>
      <c r="D521" s="43"/>
      <c r="E521" s="43"/>
      <c r="F521" s="43"/>
      <c r="G521" s="57" t="str">
        <f aca="false">IF($A521="","",E521*IF(F521="",1,F521))</f>
        <v/>
      </c>
      <c r="H521" s="31" t="str">
        <f aca="false">IF($A521="","",IF(SUMIF($A$6:$A$600,$A521,$G$6:$G$600)=0,0,G521/SUMIF($A$6:$A$600,$A521,$G$6:$G$600)))</f>
        <v/>
      </c>
      <c r="I521" s="30" t="str">
        <f aca="false">IF($A521="","",IFERROR(INDEX('Cotação de Materiais'!$H$4:$H$200,MATCH($A521,'Cotação de Materiais'!$A$4:$A$200,0)),IFERROR(INDEX('Mão de Obra e Serviços'!$G$4:$G$200,MATCH($A521,'Mão de Obra e Serviços'!$A$4:$A$200,0)),0)))</f>
        <v/>
      </c>
      <c r="K521" s="30" t="str">
        <f aca="false">IF($A521="","",I521*H521)</f>
        <v/>
      </c>
      <c r="L521" s="58"/>
      <c r="M521" s="54" t="str">
        <f aca="false">IF($A521="","",IF(B521="CÓDIGO?","CÓDIGO NÃO ACHADO",IF($D521="","FALTA ITEM DO ANEXO",IF($D521="INDIRETO","",IF(COUNTIFS('Anexo III'!$B$8:$B$400,$D521,'Anexo III'!$E$8:$E$400,"&gt;0")=0,"ITEM NÃO ACHADO NO ANEXO","")))))</f>
        <v/>
      </c>
    </row>
    <row r="522" customFormat="false" ht="15" hidden="false" customHeight="false" outlineLevel="0" collapsed="false">
      <c r="A522" s="43"/>
      <c r="B522" s="53" t="str">
        <f aca="false">IF($A522="","",IF(ISNUMBER(MATCH($A522,'Cotação de Materiais'!$A$4:$A$200,0)),"MAT",IF(ISNUMBER(MATCH($A522,'Mão de Obra e Serviços'!$A$4:$A$200,0)),"MO","CÓDIGO?")))</f>
        <v/>
      </c>
      <c r="C522" s="54" t="str">
        <f aca="false">IF($A522="","",IFERROR(INDEX('Cotação de Materiais'!$C$4:$C$200,MATCH($A522,'Cotação de Materiais'!$A$4:$A$200,0)),IFERROR(INDEX('Mão de Obra e Serviços'!$B$4:$B$200,MATCH($A522,'Mão de Obra e Serviços'!$A$4:$A$200,0)),"")))</f>
        <v/>
      </c>
      <c r="D522" s="43"/>
      <c r="E522" s="43"/>
      <c r="F522" s="43"/>
      <c r="G522" s="57" t="str">
        <f aca="false">IF($A522="","",E522*IF(F522="",1,F522))</f>
        <v/>
      </c>
      <c r="H522" s="31" t="str">
        <f aca="false">IF($A522="","",IF(SUMIF($A$6:$A$600,$A522,$G$6:$G$600)=0,0,G522/SUMIF($A$6:$A$600,$A522,$G$6:$G$600)))</f>
        <v/>
      </c>
      <c r="I522" s="30" t="str">
        <f aca="false">IF($A522="","",IFERROR(INDEX('Cotação de Materiais'!$H$4:$H$200,MATCH($A522,'Cotação de Materiais'!$A$4:$A$200,0)),IFERROR(INDEX('Mão de Obra e Serviços'!$G$4:$G$200,MATCH($A522,'Mão de Obra e Serviços'!$A$4:$A$200,0)),0)))</f>
        <v/>
      </c>
      <c r="K522" s="30" t="str">
        <f aca="false">IF($A522="","",I522*H522)</f>
        <v/>
      </c>
      <c r="L522" s="58"/>
      <c r="M522" s="54" t="str">
        <f aca="false">IF($A522="","",IF(B522="CÓDIGO?","CÓDIGO NÃO ACHADO",IF($D522="","FALTA ITEM DO ANEXO",IF($D522="INDIRETO","",IF(COUNTIFS('Anexo III'!$B$8:$B$400,$D522,'Anexo III'!$E$8:$E$400,"&gt;0")=0,"ITEM NÃO ACHADO NO ANEXO","")))))</f>
        <v/>
      </c>
    </row>
    <row r="523" customFormat="false" ht="15" hidden="false" customHeight="false" outlineLevel="0" collapsed="false">
      <c r="A523" s="43"/>
      <c r="B523" s="53" t="str">
        <f aca="false">IF($A523="","",IF(ISNUMBER(MATCH($A523,'Cotação de Materiais'!$A$4:$A$200,0)),"MAT",IF(ISNUMBER(MATCH($A523,'Mão de Obra e Serviços'!$A$4:$A$200,0)),"MO","CÓDIGO?")))</f>
        <v/>
      </c>
      <c r="C523" s="54" t="str">
        <f aca="false">IF($A523="","",IFERROR(INDEX('Cotação de Materiais'!$C$4:$C$200,MATCH($A523,'Cotação de Materiais'!$A$4:$A$200,0)),IFERROR(INDEX('Mão de Obra e Serviços'!$B$4:$B$200,MATCH($A523,'Mão de Obra e Serviços'!$A$4:$A$200,0)),"")))</f>
        <v/>
      </c>
      <c r="D523" s="43"/>
      <c r="E523" s="43"/>
      <c r="F523" s="43"/>
      <c r="G523" s="57" t="str">
        <f aca="false">IF($A523="","",E523*IF(F523="",1,F523))</f>
        <v/>
      </c>
      <c r="H523" s="31" t="str">
        <f aca="false">IF($A523="","",IF(SUMIF($A$6:$A$600,$A523,$G$6:$G$600)=0,0,G523/SUMIF($A$6:$A$600,$A523,$G$6:$G$600)))</f>
        <v/>
      </c>
      <c r="I523" s="30" t="str">
        <f aca="false">IF($A523="","",IFERROR(INDEX('Cotação de Materiais'!$H$4:$H$200,MATCH($A523,'Cotação de Materiais'!$A$4:$A$200,0)),IFERROR(INDEX('Mão de Obra e Serviços'!$G$4:$G$200,MATCH($A523,'Mão de Obra e Serviços'!$A$4:$A$200,0)),0)))</f>
        <v/>
      </c>
      <c r="K523" s="30" t="str">
        <f aca="false">IF($A523="","",I523*H523)</f>
        <v/>
      </c>
      <c r="L523" s="58"/>
      <c r="M523" s="54" t="str">
        <f aca="false">IF($A523="","",IF(B523="CÓDIGO?","CÓDIGO NÃO ACHADO",IF($D523="","FALTA ITEM DO ANEXO",IF($D523="INDIRETO","",IF(COUNTIFS('Anexo III'!$B$8:$B$400,$D523,'Anexo III'!$E$8:$E$400,"&gt;0")=0,"ITEM NÃO ACHADO NO ANEXO","")))))</f>
        <v/>
      </c>
    </row>
    <row r="524" customFormat="false" ht="15" hidden="false" customHeight="false" outlineLevel="0" collapsed="false">
      <c r="A524" s="43"/>
      <c r="B524" s="53" t="str">
        <f aca="false">IF($A524="","",IF(ISNUMBER(MATCH($A524,'Cotação de Materiais'!$A$4:$A$200,0)),"MAT",IF(ISNUMBER(MATCH($A524,'Mão de Obra e Serviços'!$A$4:$A$200,0)),"MO","CÓDIGO?")))</f>
        <v/>
      </c>
      <c r="C524" s="54" t="str">
        <f aca="false">IF($A524="","",IFERROR(INDEX('Cotação de Materiais'!$C$4:$C$200,MATCH($A524,'Cotação de Materiais'!$A$4:$A$200,0)),IFERROR(INDEX('Mão de Obra e Serviços'!$B$4:$B$200,MATCH($A524,'Mão de Obra e Serviços'!$A$4:$A$200,0)),"")))</f>
        <v/>
      </c>
      <c r="D524" s="43"/>
      <c r="E524" s="43"/>
      <c r="F524" s="43"/>
      <c r="G524" s="57" t="str">
        <f aca="false">IF($A524="","",E524*IF(F524="",1,F524))</f>
        <v/>
      </c>
      <c r="H524" s="31" t="str">
        <f aca="false">IF($A524="","",IF(SUMIF($A$6:$A$600,$A524,$G$6:$G$600)=0,0,G524/SUMIF($A$6:$A$600,$A524,$G$6:$G$600)))</f>
        <v/>
      </c>
      <c r="I524" s="30" t="str">
        <f aca="false">IF($A524="","",IFERROR(INDEX('Cotação de Materiais'!$H$4:$H$200,MATCH($A524,'Cotação de Materiais'!$A$4:$A$200,0)),IFERROR(INDEX('Mão de Obra e Serviços'!$G$4:$G$200,MATCH($A524,'Mão de Obra e Serviços'!$A$4:$A$200,0)),0)))</f>
        <v/>
      </c>
      <c r="K524" s="30" t="str">
        <f aca="false">IF($A524="","",I524*H524)</f>
        <v/>
      </c>
      <c r="L524" s="58"/>
      <c r="M524" s="54" t="str">
        <f aca="false">IF($A524="","",IF(B524="CÓDIGO?","CÓDIGO NÃO ACHADO",IF($D524="","FALTA ITEM DO ANEXO",IF($D524="INDIRETO","",IF(COUNTIFS('Anexo III'!$B$8:$B$400,$D524,'Anexo III'!$E$8:$E$400,"&gt;0")=0,"ITEM NÃO ACHADO NO ANEXO","")))))</f>
        <v/>
      </c>
    </row>
    <row r="525" customFormat="false" ht="15" hidden="false" customHeight="false" outlineLevel="0" collapsed="false">
      <c r="A525" s="43"/>
      <c r="B525" s="53" t="str">
        <f aca="false">IF($A525="","",IF(ISNUMBER(MATCH($A525,'Cotação de Materiais'!$A$4:$A$200,0)),"MAT",IF(ISNUMBER(MATCH($A525,'Mão de Obra e Serviços'!$A$4:$A$200,0)),"MO","CÓDIGO?")))</f>
        <v/>
      </c>
      <c r="C525" s="54" t="str">
        <f aca="false">IF($A525="","",IFERROR(INDEX('Cotação de Materiais'!$C$4:$C$200,MATCH($A525,'Cotação de Materiais'!$A$4:$A$200,0)),IFERROR(INDEX('Mão de Obra e Serviços'!$B$4:$B$200,MATCH($A525,'Mão de Obra e Serviços'!$A$4:$A$200,0)),"")))</f>
        <v/>
      </c>
      <c r="D525" s="43"/>
      <c r="E525" s="43"/>
      <c r="F525" s="43"/>
      <c r="G525" s="57" t="str">
        <f aca="false">IF($A525="","",E525*IF(F525="",1,F525))</f>
        <v/>
      </c>
      <c r="H525" s="31" t="str">
        <f aca="false">IF($A525="","",IF(SUMIF($A$6:$A$600,$A525,$G$6:$G$600)=0,0,G525/SUMIF($A$6:$A$600,$A525,$G$6:$G$600)))</f>
        <v/>
      </c>
      <c r="I525" s="30" t="str">
        <f aca="false">IF($A525="","",IFERROR(INDEX('Cotação de Materiais'!$H$4:$H$200,MATCH($A525,'Cotação de Materiais'!$A$4:$A$200,0)),IFERROR(INDEX('Mão de Obra e Serviços'!$G$4:$G$200,MATCH($A525,'Mão de Obra e Serviços'!$A$4:$A$200,0)),0)))</f>
        <v/>
      </c>
      <c r="K525" s="30" t="str">
        <f aca="false">IF($A525="","",I525*H525)</f>
        <v/>
      </c>
      <c r="L525" s="58"/>
      <c r="M525" s="54" t="str">
        <f aca="false">IF($A525="","",IF(B525="CÓDIGO?","CÓDIGO NÃO ACHADO",IF($D525="","FALTA ITEM DO ANEXO",IF($D525="INDIRETO","",IF(COUNTIFS('Anexo III'!$B$8:$B$400,$D525,'Anexo III'!$E$8:$E$400,"&gt;0")=0,"ITEM NÃO ACHADO NO ANEXO","")))))</f>
        <v/>
      </c>
    </row>
    <row r="526" customFormat="false" ht="15" hidden="false" customHeight="false" outlineLevel="0" collapsed="false">
      <c r="A526" s="43"/>
      <c r="B526" s="53" t="str">
        <f aca="false">IF($A526="","",IF(ISNUMBER(MATCH($A526,'Cotação de Materiais'!$A$4:$A$200,0)),"MAT",IF(ISNUMBER(MATCH($A526,'Mão de Obra e Serviços'!$A$4:$A$200,0)),"MO","CÓDIGO?")))</f>
        <v/>
      </c>
      <c r="C526" s="54" t="str">
        <f aca="false">IF($A526="","",IFERROR(INDEX('Cotação de Materiais'!$C$4:$C$200,MATCH($A526,'Cotação de Materiais'!$A$4:$A$200,0)),IFERROR(INDEX('Mão de Obra e Serviços'!$B$4:$B$200,MATCH($A526,'Mão de Obra e Serviços'!$A$4:$A$200,0)),"")))</f>
        <v/>
      </c>
      <c r="D526" s="43"/>
      <c r="E526" s="43"/>
      <c r="F526" s="43"/>
      <c r="G526" s="57" t="str">
        <f aca="false">IF($A526="","",E526*IF(F526="",1,F526))</f>
        <v/>
      </c>
      <c r="H526" s="31" t="str">
        <f aca="false">IF($A526="","",IF(SUMIF($A$6:$A$600,$A526,$G$6:$G$600)=0,0,G526/SUMIF($A$6:$A$600,$A526,$G$6:$G$600)))</f>
        <v/>
      </c>
      <c r="I526" s="30" t="str">
        <f aca="false">IF($A526="","",IFERROR(INDEX('Cotação de Materiais'!$H$4:$H$200,MATCH($A526,'Cotação de Materiais'!$A$4:$A$200,0)),IFERROR(INDEX('Mão de Obra e Serviços'!$G$4:$G$200,MATCH($A526,'Mão de Obra e Serviços'!$A$4:$A$200,0)),0)))</f>
        <v/>
      </c>
      <c r="K526" s="30" t="str">
        <f aca="false">IF($A526="","",I526*H526)</f>
        <v/>
      </c>
      <c r="L526" s="58"/>
      <c r="M526" s="54" t="str">
        <f aca="false">IF($A526="","",IF(B526="CÓDIGO?","CÓDIGO NÃO ACHADO",IF($D526="","FALTA ITEM DO ANEXO",IF($D526="INDIRETO","",IF(COUNTIFS('Anexo III'!$B$8:$B$400,$D526,'Anexo III'!$E$8:$E$400,"&gt;0")=0,"ITEM NÃO ACHADO NO ANEXO","")))))</f>
        <v/>
      </c>
    </row>
    <row r="527" customFormat="false" ht="15" hidden="false" customHeight="false" outlineLevel="0" collapsed="false">
      <c r="A527" s="43"/>
      <c r="B527" s="53" t="str">
        <f aca="false">IF($A527="","",IF(ISNUMBER(MATCH($A527,'Cotação de Materiais'!$A$4:$A$200,0)),"MAT",IF(ISNUMBER(MATCH($A527,'Mão de Obra e Serviços'!$A$4:$A$200,0)),"MO","CÓDIGO?")))</f>
        <v/>
      </c>
      <c r="C527" s="54" t="str">
        <f aca="false">IF($A527="","",IFERROR(INDEX('Cotação de Materiais'!$C$4:$C$200,MATCH($A527,'Cotação de Materiais'!$A$4:$A$200,0)),IFERROR(INDEX('Mão de Obra e Serviços'!$B$4:$B$200,MATCH($A527,'Mão de Obra e Serviços'!$A$4:$A$200,0)),"")))</f>
        <v/>
      </c>
      <c r="D527" s="43"/>
      <c r="E527" s="43"/>
      <c r="F527" s="43"/>
      <c r="G527" s="57" t="str">
        <f aca="false">IF($A527="","",E527*IF(F527="",1,F527))</f>
        <v/>
      </c>
      <c r="H527" s="31" t="str">
        <f aca="false">IF($A527="","",IF(SUMIF($A$6:$A$600,$A527,$G$6:$G$600)=0,0,G527/SUMIF($A$6:$A$600,$A527,$G$6:$G$600)))</f>
        <v/>
      </c>
      <c r="I527" s="30" t="str">
        <f aca="false">IF($A527="","",IFERROR(INDEX('Cotação de Materiais'!$H$4:$H$200,MATCH($A527,'Cotação de Materiais'!$A$4:$A$200,0)),IFERROR(INDEX('Mão de Obra e Serviços'!$G$4:$G$200,MATCH($A527,'Mão de Obra e Serviços'!$A$4:$A$200,0)),0)))</f>
        <v/>
      </c>
      <c r="K527" s="30" t="str">
        <f aca="false">IF($A527="","",I527*H527)</f>
        <v/>
      </c>
      <c r="L527" s="58"/>
      <c r="M527" s="54" t="str">
        <f aca="false">IF($A527="","",IF(B527="CÓDIGO?","CÓDIGO NÃO ACHADO",IF($D527="","FALTA ITEM DO ANEXO",IF($D527="INDIRETO","",IF(COUNTIFS('Anexo III'!$B$8:$B$400,$D527,'Anexo III'!$E$8:$E$400,"&gt;0")=0,"ITEM NÃO ACHADO NO ANEXO","")))))</f>
        <v/>
      </c>
    </row>
    <row r="528" customFormat="false" ht="15" hidden="false" customHeight="false" outlineLevel="0" collapsed="false">
      <c r="A528" s="43"/>
      <c r="B528" s="53" t="str">
        <f aca="false">IF($A528="","",IF(ISNUMBER(MATCH($A528,'Cotação de Materiais'!$A$4:$A$200,0)),"MAT",IF(ISNUMBER(MATCH($A528,'Mão de Obra e Serviços'!$A$4:$A$200,0)),"MO","CÓDIGO?")))</f>
        <v/>
      </c>
      <c r="C528" s="54" t="str">
        <f aca="false">IF($A528="","",IFERROR(INDEX('Cotação de Materiais'!$C$4:$C$200,MATCH($A528,'Cotação de Materiais'!$A$4:$A$200,0)),IFERROR(INDEX('Mão de Obra e Serviços'!$B$4:$B$200,MATCH($A528,'Mão de Obra e Serviços'!$A$4:$A$200,0)),"")))</f>
        <v/>
      </c>
      <c r="D528" s="43"/>
      <c r="E528" s="43"/>
      <c r="F528" s="43"/>
      <c r="G528" s="57" t="str">
        <f aca="false">IF($A528="","",E528*IF(F528="",1,F528))</f>
        <v/>
      </c>
      <c r="H528" s="31" t="str">
        <f aca="false">IF($A528="","",IF(SUMIF($A$6:$A$600,$A528,$G$6:$G$600)=0,0,G528/SUMIF($A$6:$A$600,$A528,$G$6:$G$600)))</f>
        <v/>
      </c>
      <c r="I528" s="30" t="str">
        <f aca="false">IF($A528="","",IFERROR(INDEX('Cotação de Materiais'!$H$4:$H$200,MATCH($A528,'Cotação de Materiais'!$A$4:$A$200,0)),IFERROR(INDEX('Mão de Obra e Serviços'!$G$4:$G$200,MATCH($A528,'Mão de Obra e Serviços'!$A$4:$A$200,0)),0)))</f>
        <v/>
      </c>
      <c r="K528" s="30" t="str">
        <f aca="false">IF($A528="","",I528*H528)</f>
        <v/>
      </c>
      <c r="L528" s="58"/>
      <c r="M528" s="54" t="str">
        <f aca="false">IF($A528="","",IF(B528="CÓDIGO?","CÓDIGO NÃO ACHADO",IF($D528="","FALTA ITEM DO ANEXO",IF($D528="INDIRETO","",IF(COUNTIFS('Anexo III'!$B$8:$B$400,$D528,'Anexo III'!$E$8:$E$400,"&gt;0")=0,"ITEM NÃO ACHADO NO ANEXO","")))))</f>
        <v/>
      </c>
    </row>
    <row r="529" customFormat="false" ht="15" hidden="false" customHeight="false" outlineLevel="0" collapsed="false">
      <c r="A529" s="43"/>
      <c r="B529" s="53" t="str">
        <f aca="false">IF($A529="","",IF(ISNUMBER(MATCH($A529,'Cotação de Materiais'!$A$4:$A$200,0)),"MAT",IF(ISNUMBER(MATCH($A529,'Mão de Obra e Serviços'!$A$4:$A$200,0)),"MO","CÓDIGO?")))</f>
        <v/>
      </c>
      <c r="C529" s="54" t="str">
        <f aca="false">IF($A529="","",IFERROR(INDEX('Cotação de Materiais'!$C$4:$C$200,MATCH($A529,'Cotação de Materiais'!$A$4:$A$200,0)),IFERROR(INDEX('Mão de Obra e Serviços'!$B$4:$B$200,MATCH($A529,'Mão de Obra e Serviços'!$A$4:$A$200,0)),"")))</f>
        <v/>
      </c>
      <c r="D529" s="43"/>
      <c r="E529" s="43"/>
      <c r="F529" s="43"/>
      <c r="G529" s="57" t="str">
        <f aca="false">IF($A529="","",E529*IF(F529="",1,F529))</f>
        <v/>
      </c>
      <c r="H529" s="31" t="str">
        <f aca="false">IF($A529="","",IF(SUMIF($A$6:$A$600,$A529,$G$6:$G$600)=0,0,G529/SUMIF($A$6:$A$600,$A529,$G$6:$G$600)))</f>
        <v/>
      </c>
      <c r="I529" s="30" t="str">
        <f aca="false">IF($A529="","",IFERROR(INDEX('Cotação de Materiais'!$H$4:$H$200,MATCH($A529,'Cotação de Materiais'!$A$4:$A$200,0)),IFERROR(INDEX('Mão de Obra e Serviços'!$G$4:$G$200,MATCH($A529,'Mão de Obra e Serviços'!$A$4:$A$200,0)),0)))</f>
        <v/>
      </c>
      <c r="K529" s="30" t="str">
        <f aca="false">IF($A529="","",I529*H529)</f>
        <v/>
      </c>
      <c r="L529" s="58"/>
      <c r="M529" s="54" t="str">
        <f aca="false">IF($A529="","",IF(B529="CÓDIGO?","CÓDIGO NÃO ACHADO",IF($D529="","FALTA ITEM DO ANEXO",IF($D529="INDIRETO","",IF(COUNTIFS('Anexo III'!$B$8:$B$400,$D529,'Anexo III'!$E$8:$E$400,"&gt;0")=0,"ITEM NÃO ACHADO NO ANEXO","")))))</f>
        <v/>
      </c>
    </row>
    <row r="530" customFormat="false" ht="15" hidden="false" customHeight="false" outlineLevel="0" collapsed="false">
      <c r="A530" s="43"/>
      <c r="B530" s="53" t="str">
        <f aca="false">IF($A530="","",IF(ISNUMBER(MATCH($A530,'Cotação de Materiais'!$A$4:$A$200,0)),"MAT",IF(ISNUMBER(MATCH($A530,'Mão de Obra e Serviços'!$A$4:$A$200,0)),"MO","CÓDIGO?")))</f>
        <v/>
      </c>
      <c r="C530" s="54" t="str">
        <f aca="false">IF($A530="","",IFERROR(INDEX('Cotação de Materiais'!$C$4:$C$200,MATCH($A530,'Cotação de Materiais'!$A$4:$A$200,0)),IFERROR(INDEX('Mão de Obra e Serviços'!$B$4:$B$200,MATCH($A530,'Mão de Obra e Serviços'!$A$4:$A$200,0)),"")))</f>
        <v/>
      </c>
      <c r="D530" s="43"/>
      <c r="E530" s="43"/>
      <c r="F530" s="43"/>
      <c r="G530" s="57" t="str">
        <f aca="false">IF($A530="","",E530*IF(F530="",1,F530))</f>
        <v/>
      </c>
      <c r="H530" s="31" t="str">
        <f aca="false">IF($A530="","",IF(SUMIF($A$6:$A$600,$A530,$G$6:$G$600)=0,0,G530/SUMIF($A$6:$A$600,$A530,$G$6:$G$600)))</f>
        <v/>
      </c>
      <c r="I530" s="30" t="str">
        <f aca="false">IF($A530="","",IFERROR(INDEX('Cotação de Materiais'!$H$4:$H$200,MATCH($A530,'Cotação de Materiais'!$A$4:$A$200,0)),IFERROR(INDEX('Mão de Obra e Serviços'!$G$4:$G$200,MATCH($A530,'Mão de Obra e Serviços'!$A$4:$A$200,0)),0)))</f>
        <v/>
      </c>
      <c r="K530" s="30" t="str">
        <f aca="false">IF($A530="","",I530*H530)</f>
        <v/>
      </c>
      <c r="L530" s="58"/>
      <c r="M530" s="54" t="str">
        <f aca="false">IF($A530="","",IF(B530="CÓDIGO?","CÓDIGO NÃO ACHADO",IF($D530="","FALTA ITEM DO ANEXO",IF($D530="INDIRETO","",IF(COUNTIFS('Anexo III'!$B$8:$B$400,$D530,'Anexo III'!$E$8:$E$400,"&gt;0")=0,"ITEM NÃO ACHADO NO ANEXO","")))))</f>
        <v/>
      </c>
    </row>
    <row r="531" customFormat="false" ht="15" hidden="false" customHeight="false" outlineLevel="0" collapsed="false">
      <c r="A531" s="43"/>
      <c r="B531" s="53" t="str">
        <f aca="false">IF($A531="","",IF(ISNUMBER(MATCH($A531,'Cotação de Materiais'!$A$4:$A$200,0)),"MAT",IF(ISNUMBER(MATCH($A531,'Mão de Obra e Serviços'!$A$4:$A$200,0)),"MO","CÓDIGO?")))</f>
        <v/>
      </c>
      <c r="C531" s="54" t="str">
        <f aca="false">IF($A531="","",IFERROR(INDEX('Cotação de Materiais'!$C$4:$C$200,MATCH($A531,'Cotação de Materiais'!$A$4:$A$200,0)),IFERROR(INDEX('Mão de Obra e Serviços'!$B$4:$B$200,MATCH($A531,'Mão de Obra e Serviços'!$A$4:$A$200,0)),"")))</f>
        <v/>
      </c>
      <c r="D531" s="43"/>
      <c r="E531" s="43"/>
      <c r="F531" s="43"/>
      <c r="G531" s="57" t="str">
        <f aca="false">IF($A531="","",E531*IF(F531="",1,F531))</f>
        <v/>
      </c>
      <c r="H531" s="31" t="str">
        <f aca="false">IF($A531="","",IF(SUMIF($A$6:$A$600,$A531,$G$6:$G$600)=0,0,G531/SUMIF($A$6:$A$600,$A531,$G$6:$G$600)))</f>
        <v/>
      </c>
      <c r="I531" s="30" t="str">
        <f aca="false">IF($A531="","",IFERROR(INDEX('Cotação de Materiais'!$H$4:$H$200,MATCH($A531,'Cotação de Materiais'!$A$4:$A$200,0)),IFERROR(INDEX('Mão de Obra e Serviços'!$G$4:$G$200,MATCH($A531,'Mão de Obra e Serviços'!$A$4:$A$200,0)),0)))</f>
        <v/>
      </c>
      <c r="K531" s="30" t="str">
        <f aca="false">IF($A531="","",I531*H531)</f>
        <v/>
      </c>
      <c r="L531" s="58"/>
      <c r="M531" s="54" t="str">
        <f aca="false">IF($A531="","",IF(B531="CÓDIGO?","CÓDIGO NÃO ACHADO",IF($D531="","FALTA ITEM DO ANEXO",IF($D531="INDIRETO","",IF(COUNTIFS('Anexo III'!$B$8:$B$400,$D531,'Anexo III'!$E$8:$E$400,"&gt;0")=0,"ITEM NÃO ACHADO NO ANEXO","")))))</f>
        <v/>
      </c>
    </row>
    <row r="532" customFormat="false" ht="15" hidden="false" customHeight="false" outlineLevel="0" collapsed="false">
      <c r="A532" s="43"/>
      <c r="B532" s="53" t="str">
        <f aca="false">IF($A532="","",IF(ISNUMBER(MATCH($A532,'Cotação de Materiais'!$A$4:$A$200,0)),"MAT",IF(ISNUMBER(MATCH($A532,'Mão de Obra e Serviços'!$A$4:$A$200,0)),"MO","CÓDIGO?")))</f>
        <v/>
      </c>
      <c r="C532" s="54" t="str">
        <f aca="false">IF($A532="","",IFERROR(INDEX('Cotação de Materiais'!$C$4:$C$200,MATCH($A532,'Cotação de Materiais'!$A$4:$A$200,0)),IFERROR(INDEX('Mão de Obra e Serviços'!$B$4:$B$200,MATCH($A532,'Mão de Obra e Serviços'!$A$4:$A$200,0)),"")))</f>
        <v/>
      </c>
      <c r="D532" s="43"/>
      <c r="E532" s="43"/>
      <c r="F532" s="43"/>
      <c r="G532" s="57" t="str">
        <f aca="false">IF($A532="","",E532*IF(F532="",1,F532))</f>
        <v/>
      </c>
      <c r="H532" s="31" t="str">
        <f aca="false">IF($A532="","",IF(SUMIF($A$6:$A$600,$A532,$G$6:$G$600)=0,0,G532/SUMIF($A$6:$A$600,$A532,$G$6:$G$600)))</f>
        <v/>
      </c>
      <c r="I532" s="30" t="str">
        <f aca="false">IF($A532="","",IFERROR(INDEX('Cotação de Materiais'!$H$4:$H$200,MATCH($A532,'Cotação de Materiais'!$A$4:$A$200,0)),IFERROR(INDEX('Mão de Obra e Serviços'!$G$4:$G$200,MATCH($A532,'Mão de Obra e Serviços'!$A$4:$A$200,0)),0)))</f>
        <v/>
      </c>
      <c r="K532" s="30" t="str">
        <f aca="false">IF($A532="","",I532*H532)</f>
        <v/>
      </c>
      <c r="L532" s="58"/>
      <c r="M532" s="54" t="str">
        <f aca="false">IF($A532="","",IF(B532="CÓDIGO?","CÓDIGO NÃO ACHADO",IF($D532="","FALTA ITEM DO ANEXO",IF($D532="INDIRETO","",IF(COUNTIFS('Anexo III'!$B$8:$B$400,$D532,'Anexo III'!$E$8:$E$400,"&gt;0")=0,"ITEM NÃO ACHADO NO ANEXO","")))))</f>
        <v/>
      </c>
    </row>
    <row r="533" customFormat="false" ht="15" hidden="false" customHeight="false" outlineLevel="0" collapsed="false">
      <c r="A533" s="43"/>
      <c r="B533" s="53" t="str">
        <f aca="false">IF($A533="","",IF(ISNUMBER(MATCH($A533,'Cotação de Materiais'!$A$4:$A$200,0)),"MAT",IF(ISNUMBER(MATCH($A533,'Mão de Obra e Serviços'!$A$4:$A$200,0)),"MO","CÓDIGO?")))</f>
        <v/>
      </c>
      <c r="C533" s="54" t="str">
        <f aca="false">IF($A533="","",IFERROR(INDEX('Cotação de Materiais'!$C$4:$C$200,MATCH($A533,'Cotação de Materiais'!$A$4:$A$200,0)),IFERROR(INDEX('Mão de Obra e Serviços'!$B$4:$B$200,MATCH($A533,'Mão de Obra e Serviços'!$A$4:$A$200,0)),"")))</f>
        <v/>
      </c>
      <c r="D533" s="43"/>
      <c r="E533" s="43"/>
      <c r="F533" s="43"/>
      <c r="G533" s="57" t="str">
        <f aca="false">IF($A533="","",E533*IF(F533="",1,F533))</f>
        <v/>
      </c>
      <c r="H533" s="31" t="str">
        <f aca="false">IF($A533="","",IF(SUMIF($A$6:$A$600,$A533,$G$6:$G$600)=0,0,G533/SUMIF($A$6:$A$600,$A533,$G$6:$G$600)))</f>
        <v/>
      </c>
      <c r="I533" s="30" t="str">
        <f aca="false">IF($A533="","",IFERROR(INDEX('Cotação de Materiais'!$H$4:$H$200,MATCH($A533,'Cotação de Materiais'!$A$4:$A$200,0)),IFERROR(INDEX('Mão de Obra e Serviços'!$G$4:$G$200,MATCH($A533,'Mão de Obra e Serviços'!$A$4:$A$200,0)),0)))</f>
        <v/>
      </c>
      <c r="K533" s="30" t="str">
        <f aca="false">IF($A533="","",I533*H533)</f>
        <v/>
      </c>
      <c r="L533" s="58"/>
      <c r="M533" s="54" t="str">
        <f aca="false">IF($A533="","",IF(B533="CÓDIGO?","CÓDIGO NÃO ACHADO",IF($D533="","FALTA ITEM DO ANEXO",IF($D533="INDIRETO","",IF(COUNTIFS('Anexo III'!$B$8:$B$400,$D533,'Anexo III'!$E$8:$E$400,"&gt;0")=0,"ITEM NÃO ACHADO NO ANEXO","")))))</f>
        <v/>
      </c>
    </row>
    <row r="534" customFormat="false" ht="15" hidden="false" customHeight="false" outlineLevel="0" collapsed="false">
      <c r="A534" s="43"/>
      <c r="B534" s="53" t="str">
        <f aca="false">IF($A534="","",IF(ISNUMBER(MATCH($A534,'Cotação de Materiais'!$A$4:$A$200,0)),"MAT",IF(ISNUMBER(MATCH($A534,'Mão de Obra e Serviços'!$A$4:$A$200,0)),"MO","CÓDIGO?")))</f>
        <v/>
      </c>
      <c r="C534" s="54" t="str">
        <f aca="false">IF($A534="","",IFERROR(INDEX('Cotação de Materiais'!$C$4:$C$200,MATCH($A534,'Cotação de Materiais'!$A$4:$A$200,0)),IFERROR(INDEX('Mão de Obra e Serviços'!$B$4:$B$200,MATCH($A534,'Mão de Obra e Serviços'!$A$4:$A$200,0)),"")))</f>
        <v/>
      </c>
      <c r="D534" s="43"/>
      <c r="E534" s="43"/>
      <c r="F534" s="43"/>
      <c r="G534" s="57" t="str">
        <f aca="false">IF($A534="","",E534*IF(F534="",1,F534))</f>
        <v/>
      </c>
      <c r="H534" s="31" t="str">
        <f aca="false">IF($A534="","",IF(SUMIF($A$6:$A$600,$A534,$G$6:$G$600)=0,0,G534/SUMIF($A$6:$A$600,$A534,$G$6:$G$600)))</f>
        <v/>
      </c>
      <c r="I534" s="30" t="str">
        <f aca="false">IF($A534="","",IFERROR(INDEX('Cotação de Materiais'!$H$4:$H$200,MATCH($A534,'Cotação de Materiais'!$A$4:$A$200,0)),IFERROR(INDEX('Mão de Obra e Serviços'!$G$4:$G$200,MATCH($A534,'Mão de Obra e Serviços'!$A$4:$A$200,0)),0)))</f>
        <v/>
      </c>
      <c r="K534" s="30" t="str">
        <f aca="false">IF($A534="","",I534*H534)</f>
        <v/>
      </c>
      <c r="L534" s="58"/>
      <c r="M534" s="54" t="str">
        <f aca="false">IF($A534="","",IF(B534="CÓDIGO?","CÓDIGO NÃO ACHADO",IF($D534="","FALTA ITEM DO ANEXO",IF($D534="INDIRETO","",IF(COUNTIFS('Anexo III'!$B$8:$B$400,$D534,'Anexo III'!$E$8:$E$400,"&gt;0")=0,"ITEM NÃO ACHADO NO ANEXO","")))))</f>
        <v/>
      </c>
    </row>
    <row r="535" customFormat="false" ht="15" hidden="false" customHeight="false" outlineLevel="0" collapsed="false">
      <c r="A535" s="43"/>
      <c r="B535" s="53" t="str">
        <f aca="false">IF($A535="","",IF(ISNUMBER(MATCH($A535,'Cotação de Materiais'!$A$4:$A$200,0)),"MAT",IF(ISNUMBER(MATCH($A535,'Mão de Obra e Serviços'!$A$4:$A$200,0)),"MO","CÓDIGO?")))</f>
        <v/>
      </c>
      <c r="C535" s="54" t="str">
        <f aca="false">IF($A535="","",IFERROR(INDEX('Cotação de Materiais'!$C$4:$C$200,MATCH($A535,'Cotação de Materiais'!$A$4:$A$200,0)),IFERROR(INDEX('Mão de Obra e Serviços'!$B$4:$B$200,MATCH($A535,'Mão de Obra e Serviços'!$A$4:$A$200,0)),"")))</f>
        <v/>
      </c>
      <c r="D535" s="43"/>
      <c r="E535" s="43"/>
      <c r="F535" s="43"/>
      <c r="G535" s="57" t="str">
        <f aca="false">IF($A535="","",E535*IF(F535="",1,F535))</f>
        <v/>
      </c>
      <c r="H535" s="31" t="str">
        <f aca="false">IF($A535="","",IF(SUMIF($A$6:$A$600,$A535,$G$6:$G$600)=0,0,G535/SUMIF($A$6:$A$600,$A535,$G$6:$G$600)))</f>
        <v/>
      </c>
      <c r="I535" s="30" t="str">
        <f aca="false">IF($A535="","",IFERROR(INDEX('Cotação de Materiais'!$H$4:$H$200,MATCH($A535,'Cotação de Materiais'!$A$4:$A$200,0)),IFERROR(INDEX('Mão de Obra e Serviços'!$G$4:$G$200,MATCH($A535,'Mão de Obra e Serviços'!$A$4:$A$200,0)),0)))</f>
        <v/>
      </c>
      <c r="K535" s="30" t="str">
        <f aca="false">IF($A535="","",I535*H535)</f>
        <v/>
      </c>
      <c r="L535" s="58"/>
      <c r="M535" s="54" t="str">
        <f aca="false">IF($A535="","",IF(B535="CÓDIGO?","CÓDIGO NÃO ACHADO",IF($D535="","FALTA ITEM DO ANEXO",IF($D535="INDIRETO","",IF(COUNTIFS('Anexo III'!$B$8:$B$400,$D535,'Anexo III'!$E$8:$E$400,"&gt;0")=0,"ITEM NÃO ACHADO NO ANEXO","")))))</f>
        <v/>
      </c>
    </row>
    <row r="536" customFormat="false" ht="15" hidden="false" customHeight="false" outlineLevel="0" collapsed="false">
      <c r="A536" s="43"/>
      <c r="B536" s="53" t="str">
        <f aca="false">IF($A536="","",IF(ISNUMBER(MATCH($A536,'Cotação de Materiais'!$A$4:$A$200,0)),"MAT",IF(ISNUMBER(MATCH($A536,'Mão de Obra e Serviços'!$A$4:$A$200,0)),"MO","CÓDIGO?")))</f>
        <v/>
      </c>
      <c r="C536" s="54" t="str">
        <f aca="false">IF($A536="","",IFERROR(INDEX('Cotação de Materiais'!$C$4:$C$200,MATCH($A536,'Cotação de Materiais'!$A$4:$A$200,0)),IFERROR(INDEX('Mão de Obra e Serviços'!$B$4:$B$200,MATCH($A536,'Mão de Obra e Serviços'!$A$4:$A$200,0)),"")))</f>
        <v/>
      </c>
      <c r="D536" s="43"/>
      <c r="E536" s="43"/>
      <c r="F536" s="43"/>
      <c r="G536" s="57" t="str">
        <f aca="false">IF($A536="","",E536*IF(F536="",1,F536))</f>
        <v/>
      </c>
      <c r="H536" s="31" t="str">
        <f aca="false">IF($A536="","",IF(SUMIF($A$6:$A$600,$A536,$G$6:$G$600)=0,0,G536/SUMIF($A$6:$A$600,$A536,$G$6:$G$600)))</f>
        <v/>
      </c>
      <c r="I536" s="30" t="str">
        <f aca="false">IF($A536="","",IFERROR(INDEX('Cotação de Materiais'!$H$4:$H$200,MATCH($A536,'Cotação de Materiais'!$A$4:$A$200,0)),IFERROR(INDEX('Mão de Obra e Serviços'!$G$4:$G$200,MATCH($A536,'Mão de Obra e Serviços'!$A$4:$A$200,0)),0)))</f>
        <v/>
      </c>
      <c r="K536" s="30" t="str">
        <f aca="false">IF($A536="","",I536*H536)</f>
        <v/>
      </c>
      <c r="L536" s="58"/>
      <c r="M536" s="54" t="str">
        <f aca="false">IF($A536="","",IF(B536="CÓDIGO?","CÓDIGO NÃO ACHADO",IF($D536="","FALTA ITEM DO ANEXO",IF($D536="INDIRETO","",IF(COUNTIFS('Anexo III'!$B$8:$B$400,$D536,'Anexo III'!$E$8:$E$400,"&gt;0")=0,"ITEM NÃO ACHADO NO ANEXO","")))))</f>
        <v/>
      </c>
    </row>
    <row r="537" customFormat="false" ht="15" hidden="false" customHeight="false" outlineLevel="0" collapsed="false">
      <c r="A537" s="43"/>
      <c r="B537" s="53" t="str">
        <f aca="false">IF($A537="","",IF(ISNUMBER(MATCH($A537,'Cotação de Materiais'!$A$4:$A$200,0)),"MAT",IF(ISNUMBER(MATCH($A537,'Mão de Obra e Serviços'!$A$4:$A$200,0)),"MO","CÓDIGO?")))</f>
        <v/>
      </c>
      <c r="C537" s="54" t="str">
        <f aca="false">IF($A537="","",IFERROR(INDEX('Cotação de Materiais'!$C$4:$C$200,MATCH($A537,'Cotação de Materiais'!$A$4:$A$200,0)),IFERROR(INDEX('Mão de Obra e Serviços'!$B$4:$B$200,MATCH($A537,'Mão de Obra e Serviços'!$A$4:$A$200,0)),"")))</f>
        <v/>
      </c>
      <c r="D537" s="43"/>
      <c r="E537" s="43"/>
      <c r="F537" s="43"/>
      <c r="G537" s="57" t="str">
        <f aca="false">IF($A537="","",E537*IF(F537="",1,F537))</f>
        <v/>
      </c>
      <c r="H537" s="31" t="str">
        <f aca="false">IF($A537="","",IF(SUMIF($A$6:$A$600,$A537,$G$6:$G$600)=0,0,G537/SUMIF($A$6:$A$600,$A537,$G$6:$G$600)))</f>
        <v/>
      </c>
      <c r="I537" s="30" t="str">
        <f aca="false">IF($A537="","",IFERROR(INDEX('Cotação de Materiais'!$H$4:$H$200,MATCH($A537,'Cotação de Materiais'!$A$4:$A$200,0)),IFERROR(INDEX('Mão de Obra e Serviços'!$G$4:$G$200,MATCH($A537,'Mão de Obra e Serviços'!$A$4:$A$200,0)),0)))</f>
        <v/>
      </c>
      <c r="K537" s="30" t="str">
        <f aca="false">IF($A537="","",I537*H537)</f>
        <v/>
      </c>
      <c r="L537" s="58"/>
      <c r="M537" s="54" t="str">
        <f aca="false">IF($A537="","",IF(B537="CÓDIGO?","CÓDIGO NÃO ACHADO",IF($D537="","FALTA ITEM DO ANEXO",IF($D537="INDIRETO","",IF(COUNTIFS('Anexo III'!$B$8:$B$400,$D537,'Anexo III'!$E$8:$E$400,"&gt;0")=0,"ITEM NÃO ACHADO NO ANEXO","")))))</f>
        <v/>
      </c>
    </row>
    <row r="538" customFormat="false" ht="15" hidden="false" customHeight="false" outlineLevel="0" collapsed="false">
      <c r="A538" s="43"/>
      <c r="B538" s="53" t="str">
        <f aca="false">IF($A538="","",IF(ISNUMBER(MATCH($A538,'Cotação de Materiais'!$A$4:$A$200,0)),"MAT",IF(ISNUMBER(MATCH($A538,'Mão de Obra e Serviços'!$A$4:$A$200,0)),"MO","CÓDIGO?")))</f>
        <v/>
      </c>
      <c r="C538" s="54" t="str">
        <f aca="false">IF($A538="","",IFERROR(INDEX('Cotação de Materiais'!$C$4:$C$200,MATCH($A538,'Cotação de Materiais'!$A$4:$A$200,0)),IFERROR(INDEX('Mão de Obra e Serviços'!$B$4:$B$200,MATCH($A538,'Mão de Obra e Serviços'!$A$4:$A$200,0)),"")))</f>
        <v/>
      </c>
      <c r="D538" s="43"/>
      <c r="E538" s="43"/>
      <c r="F538" s="43"/>
      <c r="G538" s="57" t="str">
        <f aca="false">IF($A538="","",E538*IF(F538="",1,F538))</f>
        <v/>
      </c>
      <c r="H538" s="31" t="str">
        <f aca="false">IF($A538="","",IF(SUMIF($A$6:$A$600,$A538,$G$6:$G$600)=0,0,G538/SUMIF($A$6:$A$600,$A538,$G$6:$G$600)))</f>
        <v/>
      </c>
      <c r="I538" s="30" t="str">
        <f aca="false">IF($A538="","",IFERROR(INDEX('Cotação de Materiais'!$H$4:$H$200,MATCH($A538,'Cotação de Materiais'!$A$4:$A$200,0)),IFERROR(INDEX('Mão de Obra e Serviços'!$G$4:$G$200,MATCH($A538,'Mão de Obra e Serviços'!$A$4:$A$200,0)),0)))</f>
        <v/>
      </c>
      <c r="K538" s="30" t="str">
        <f aca="false">IF($A538="","",I538*H538)</f>
        <v/>
      </c>
      <c r="L538" s="58"/>
      <c r="M538" s="54" t="str">
        <f aca="false">IF($A538="","",IF(B538="CÓDIGO?","CÓDIGO NÃO ACHADO",IF($D538="","FALTA ITEM DO ANEXO",IF($D538="INDIRETO","",IF(COUNTIFS('Anexo III'!$B$8:$B$400,$D538,'Anexo III'!$E$8:$E$400,"&gt;0")=0,"ITEM NÃO ACHADO NO ANEXO","")))))</f>
        <v/>
      </c>
    </row>
    <row r="539" customFormat="false" ht="15" hidden="false" customHeight="false" outlineLevel="0" collapsed="false">
      <c r="A539" s="43"/>
      <c r="B539" s="53" t="str">
        <f aca="false">IF($A539="","",IF(ISNUMBER(MATCH($A539,'Cotação de Materiais'!$A$4:$A$200,0)),"MAT",IF(ISNUMBER(MATCH($A539,'Mão de Obra e Serviços'!$A$4:$A$200,0)),"MO","CÓDIGO?")))</f>
        <v/>
      </c>
      <c r="C539" s="54" t="str">
        <f aca="false">IF($A539="","",IFERROR(INDEX('Cotação de Materiais'!$C$4:$C$200,MATCH($A539,'Cotação de Materiais'!$A$4:$A$200,0)),IFERROR(INDEX('Mão de Obra e Serviços'!$B$4:$B$200,MATCH($A539,'Mão de Obra e Serviços'!$A$4:$A$200,0)),"")))</f>
        <v/>
      </c>
      <c r="D539" s="43"/>
      <c r="E539" s="43"/>
      <c r="F539" s="43"/>
      <c r="G539" s="57" t="str">
        <f aca="false">IF($A539="","",E539*IF(F539="",1,F539))</f>
        <v/>
      </c>
      <c r="H539" s="31" t="str">
        <f aca="false">IF($A539="","",IF(SUMIF($A$6:$A$600,$A539,$G$6:$G$600)=0,0,G539/SUMIF($A$6:$A$600,$A539,$G$6:$G$600)))</f>
        <v/>
      </c>
      <c r="I539" s="30" t="str">
        <f aca="false">IF($A539="","",IFERROR(INDEX('Cotação de Materiais'!$H$4:$H$200,MATCH($A539,'Cotação de Materiais'!$A$4:$A$200,0)),IFERROR(INDEX('Mão de Obra e Serviços'!$G$4:$G$200,MATCH($A539,'Mão de Obra e Serviços'!$A$4:$A$200,0)),0)))</f>
        <v/>
      </c>
      <c r="K539" s="30" t="str">
        <f aca="false">IF($A539="","",I539*H539)</f>
        <v/>
      </c>
      <c r="L539" s="58"/>
      <c r="M539" s="54" t="str">
        <f aca="false">IF($A539="","",IF(B539="CÓDIGO?","CÓDIGO NÃO ACHADO",IF($D539="","FALTA ITEM DO ANEXO",IF($D539="INDIRETO","",IF(COUNTIFS('Anexo III'!$B$8:$B$400,$D539,'Anexo III'!$E$8:$E$400,"&gt;0")=0,"ITEM NÃO ACHADO NO ANEXO","")))))</f>
        <v/>
      </c>
    </row>
    <row r="540" customFormat="false" ht="15" hidden="false" customHeight="false" outlineLevel="0" collapsed="false">
      <c r="A540" s="43"/>
      <c r="B540" s="53" t="str">
        <f aca="false">IF($A540="","",IF(ISNUMBER(MATCH($A540,'Cotação de Materiais'!$A$4:$A$200,0)),"MAT",IF(ISNUMBER(MATCH($A540,'Mão de Obra e Serviços'!$A$4:$A$200,0)),"MO","CÓDIGO?")))</f>
        <v/>
      </c>
      <c r="C540" s="54" t="str">
        <f aca="false">IF($A540="","",IFERROR(INDEX('Cotação de Materiais'!$C$4:$C$200,MATCH($A540,'Cotação de Materiais'!$A$4:$A$200,0)),IFERROR(INDEX('Mão de Obra e Serviços'!$B$4:$B$200,MATCH($A540,'Mão de Obra e Serviços'!$A$4:$A$200,0)),"")))</f>
        <v/>
      </c>
      <c r="D540" s="43"/>
      <c r="E540" s="43"/>
      <c r="F540" s="43"/>
      <c r="G540" s="57" t="str">
        <f aca="false">IF($A540="","",E540*IF(F540="",1,F540))</f>
        <v/>
      </c>
      <c r="H540" s="31" t="str">
        <f aca="false">IF($A540="","",IF(SUMIF($A$6:$A$600,$A540,$G$6:$G$600)=0,0,G540/SUMIF($A$6:$A$600,$A540,$G$6:$G$600)))</f>
        <v/>
      </c>
      <c r="I540" s="30" t="str">
        <f aca="false">IF($A540="","",IFERROR(INDEX('Cotação de Materiais'!$H$4:$H$200,MATCH($A540,'Cotação de Materiais'!$A$4:$A$200,0)),IFERROR(INDEX('Mão de Obra e Serviços'!$G$4:$G$200,MATCH($A540,'Mão de Obra e Serviços'!$A$4:$A$200,0)),0)))</f>
        <v/>
      </c>
      <c r="K540" s="30" t="str">
        <f aca="false">IF($A540="","",I540*H540)</f>
        <v/>
      </c>
      <c r="L540" s="58"/>
      <c r="M540" s="54" t="str">
        <f aca="false">IF($A540="","",IF(B540="CÓDIGO?","CÓDIGO NÃO ACHADO",IF($D540="","FALTA ITEM DO ANEXO",IF($D540="INDIRETO","",IF(COUNTIFS('Anexo III'!$B$8:$B$400,$D540,'Anexo III'!$E$8:$E$400,"&gt;0")=0,"ITEM NÃO ACHADO NO ANEXO","")))))</f>
        <v/>
      </c>
    </row>
    <row r="541" customFormat="false" ht="15" hidden="false" customHeight="false" outlineLevel="0" collapsed="false">
      <c r="A541" s="43"/>
      <c r="B541" s="53" t="str">
        <f aca="false">IF($A541="","",IF(ISNUMBER(MATCH($A541,'Cotação de Materiais'!$A$4:$A$200,0)),"MAT",IF(ISNUMBER(MATCH($A541,'Mão de Obra e Serviços'!$A$4:$A$200,0)),"MO","CÓDIGO?")))</f>
        <v/>
      </c>
      <c r="C541" s="54" t="str">
        <f aca="false">IF($A541="","",IFERROR(INDEX('Cotação de Materiais'!$C$4:$C$200,MATCH($A541,'Cotação de Materiais'!$A$4:$A$200,0)),IFERROR(INDEX('Mão de Obra e Serviços'!$B$4:$B$200,MATCH($A541,'Mão de Obra e Serviços'!$A$4:$A$200,0)),"")))</f>
        <v/>
      </c>
      <c r="D541" s="43"/>
      <c r="E541" s="43"/>
      <c r="F541" s="43"/>
      <c r="G541" s="57" t="str">
        <f aca="false">IF($A541="","",E541*IF(F541="",1,F541))</f>
        <v/>
      </c>
      <c r="H541" s="31" t="str">
        <f aca="false">IF($A541="","",IF(SUMIF($A$6:$A$600,$A541,$G$6:$G$600)=0,0,G541/SUMIF($A$6:$A$600,$A541,$G$6:$G$600)))</f>
        <v/>
      </c>
      <c r="I541" s="30" t="str">
        <f aca="false">IF($A541="","",IFERROR(INDEX('Cotação de Materiais'!$H$4:$H$200,MATCH($A541,'Cotação de Materiais'!$A$4:$A$200,0)),IFERROR(INDEX('Mão de Obra e Serviços'!$G$4:$G$200,MATCH($A541,'Mão de Obra e Serviços'!$A$4:$A$200,0)),0)))</f>
        <v/>
      </c>
      <c r="K541" s="30" t="str">
        <f aca="false">IF($A541="","",I541*H541)</f>
        <v/>
      </c>
      <c r="L541" s="58"/>
      <c r="M541" s="54" t="str">
        <f aca="false">IF($A541="","",IF(B541="CÓDIGO?","CÓDIGO NÃO ACHADO",IF($D541="","FALTA ITEM DO ANEXO",IF($D541="INDIRETO","",IF(COUNTIFS('Anexo III'!$B$8:$B$400,$D541,'Anexo III'!$E$8:$E$400,"&gt;0")=0,"ITEM NÃO ACHADO NO ANEXO","")))))</f>
        <v/>
      </c>
    </row>
    <row r="542" customFormat="false" ht="15" hidden="false" customHeight="false" outlineLevel="0" collapsed="false">
      <c r="A542" s="43"/>
      <c r="B542" s="53" t="str">
        <f aca="false">IF($A542="","",IF(ISNUMBER(MATCH($A542,'Cotação de Materiais'!$A$4:$A$200,0)),"MAT",IF(ISNUMBER(MATCH($A542,'Mão de Obra e Serviços'!$A$4:$A$200,0)),"MO","CÓDIGO?")))</f>
        <v/>
      </c>
      <c r="C542" s="54" t="str">
        <f aca="false">IF($A542="","",IFERROR(INDEX('Cotação de Materiais'!$C$4:$C$200,MATCH($A542,'Cotação de Materiais'!$A$4:$A$200,0)),IFERROR(INDEX('Mão de Obra e Serviços'!$B$4:$B$200,MATCH($A542,'Mão de Obra e Serviços'!$A$4:$A$200,0)),"")))</f>
        <v/>
      </c>
      <c r="D542" s="43"/>
      <c r="E542" s="43"/>
      <c r="F542" s="43"/>
      <c r="G542" s="57" t="str">
        <f aca="false">IF($A542="","",E542*IF(F542="",1,F542))</f>
        <v/>
      </c>
      <c r="H542" s="31" t="str">
        <f aca="false">IF($A542="","",IF(SUMIF($A$6:$A$600,$A542,$G$6:$G$600)=0,0,G542/SUMIF($A$6:$A$600,$A542,$G$6:$G$600)))</f>
        <v/>
      </c>
      <c r="I542" s="30" t="str">
        <f aca="false">IF($A542="","",IFERROR(INDEX('Cotação de Materiais'!$H$4:$H$200,MATCH($A542,'Cotação de Materiais'!$A$4:$A$200,0)),IFERROR(INDEX('Mão de Obra e Serviços'!$G$4:$G$200,MATCH($A542,'Mão de Obra e Serviços'!$A$4:$A$200,0)),0)))</f>
        <v/>
      </c>
      <c r="K542" s="30" t="str">
        <f aca="false">IF($A542="","",I542*H542)</f>
        <v/>
      </c>
      <c r="L542" s="58"/>
      <c r="M542" s="54" t="str">
        <f aca="false">IF($A542="","",IF(B542="CÓDIGO?","CÓDIGO NÃO ACHADO",IF($D542="","FALTA ITEM DO ANEXO",IF($D542="INDIRETO","",IF(COUNTIFS('Anexo III'!$B$8:$B$400,$D542,'Anexo III'!$E$8:$E$400,"&gt;0")=0,"ITEM NÃO ACHADO NO ANEXO","")))))</f>
        <v/>
      </c>
    </row>
    <row r="543" customFormat="false" ht="15" hidden="false" customHeight="false" outlineLevel="0" collapsed="false">
      <c r="A543" s="43"/>
      <c r="B543" s="53" t="str">
        <f aca="false">IF($A543="","",IF(ISNUMBER(MATCH($A543,'Cotação de Materiais'!$A$4:$A$200,0)),"MAT",IF(ISNUMBER(MATCH($A543,'Mão de Obra e Serviços'!$A$4:$A$200,0)),"MO","CÓDIGO?")))</f>
        <v/>
      </c>
      <c r="C543" s="54" t="str">
        <f aca="false">IF($A543="","",IFERROR(INDEX('Cotação de Materiais'!$C$4:$C$200,MATCH($A543,'Cotação de Materiais'!$A$4:$A$200,0)),IFERROR(INDEX('Mão de Obra e Serviços'!$B$4:$B$200,MATCH($A543,'Mão de Obra e Serviços'!$A$4:$A$200,0)),"")))</f>
        <v/>
      </c>
      <c r="D543" s="43"/>
      <c r="E543" s="43"/>
      <c r="F543" s="43"/>
      <c r="G543" s="57" t="str">
        <f aca="false">IF($A543="","",E543*IF(F543="",1,F543))</f>
        <v/>
      </c>
      <c r="H543" s="31" t="str">
        <f aca="false">IF($A543="","",IF(SUMIF($A$6:$A$600,$A543,$G$6:$G$600)=0,0,G543/SUMIF($A$6:$A$600,$A543,$G$6:$G$600)))</f>
        <v/>
      </c>
      <c r="I543" s="30" t="str">
        <f aca="false">IF($A543="","",IFERROR(INDEX('Cotação de Materiais'!$H$4:$H$200,MATCH($A543,'Cotação de Materiais'!$A$4:$A$200,0)),IFERROR(INDEX('Mão de Obra e Serviços'!$G$4:$G$200,MATCH($A543,'Mão de Obra e Serviços'!$A$4:$A$200,0)),0)))</f>
        <v/>
      </c>
      <c r="K543" s="30" t="str">
        <f aca="false">IF($A543="","",I543*H543)</f>
        <v/>
      </c>
      <c r="L543" s="58"/>
      <c r="M543" s="54" t="str">
        <f aca="false">IF($A543="","",IF(B543="CÓDIGO?","CÓDIGO NÃO ACHADO",IF($D543="","FALTA ITEM DO ANEXO",IF($D543="INDIRETO","",IF(COUNTIFS('Anexo III'!$B$8:$B$400,$D543,'Anexo III'!$E$8:$E$400,"&gt;0")=0,"ITEM NÃO ACHADO NO ANEXO","")))))</f>
        <v/>
      </c>
    </row>
    <row r="544" customFormat="false" ht="15" hidden="false" customHeight="false" outlineLevel="0" collapsed="false">
      <c r="A544" s="43"/>
      <c r="B544" s="53" t="str">
        <f aca="false">IF($A544="","",IF(ISNUMBER(MATCH($A544,'Cotação de Materiais'!$A$4:$A$200,0)),"MAT",IF(ISNUMBER(MATCH($A544,'Mão de Obra e Serviços'!$A$4:$A$200,0)),"MO","CÓDIGO?")))</f>
        <v/>
      </c>
      <c r="C544" s="54" t="str">
        <f aca="false">IF($A544="","",IFERROR(INDEX('Cotação de Materiais'!$C$4:$C$200,MATCH($A544,'Cotação de Materiais'!$A$4:$A$200,0)),IFERROR(INDEX('Mão de Obra e Serviços'!$B$4:$B$200,MATCH($A544,'Mão de Obra e Serviços'!$A$4:$A$200,0)),"")))</f>
        <v/>
      </c>
      <c r="D544" s="43"/>
      <c r="E544" s="43"/>
      <c r="F544" s="43"/>
      <c r="G544" s="57" t="str">
        <f aca="false">IF($A544="","",E544*IF(F544="",1,F544))</f>
        <v/>
      </c>
      <c r="H544" s="31" t="str">
        <f aca="false">IF($A544="","",IF(SUMIF($A$6:$A$600,$A544,$G$6:$G$600)=0,0,G544/SUMIF($A$6:$A$600,$A544,$G$6:$G$600)))</f>
        <v/>
      </c>
      <c r="I544" s="30" t="str">
        <f aca="false">IF($A544="","",IFERROR(INDEX('Cotação de Materiais'!$H$4:$H$200,MATCH($A544,'Cotação de Materiais'!$A$4:$A$200,0)),IFERROR(INDEX('Mão de Obra e Serviços'!$G$4:$G$200,MATCH($A544,'Mão de Obra e Serviços'!$A$4:$A$200,0)),0)))</f>
        <v/>
      </c>
      <c r="K544" s="30" t="str">
        <f aca="false">IF($A544="","",I544*H544)</f>
        <v/>
      </c>
      <c r="L544" s="58"/>
      <c r="M544" s="54" t="str">
        <f aca="false">IF($A544="","",IF(B544="CÓDIGO?","CÓDIGO NÃO ACHADO",IF($D544="","FALTA ITEM DO ANEXO",IF($D544="INDIRETO","",IF(COUNTIFS('Anexo III'!$B$8:$B$400,$D544,'Anexo III'!$E$8:$E$400,"&gt;0")=0,"ITEM NÃO ACHADO NO ANEXO","")))))</f>
        <v/>
      </c>
    </row>
    <row r="545" customFormat="false" ht="15" hidden="false" customHeight="false" outlineLevel="0" collapsed="false">
      <c r="A545" s="43"/>
      <c r="B545" s="53" t="str">
        <f aca="false">IF($A545="","",IF(ISNUMBER(MATCH($A545,'Cotação de Materiais'!$A$4:$A$200,0)),"MAT",IF(ISNUMBER(MATCH($A545,'Mão de Obra e Serviços'!$A$4:$A$200,0)),"MO","CÓDIGO?")))</f>
        <v/>
      </c>
      <c r="C545" s="54" t="str">
        <f aca="false">IF($A545="","",IFERROR(INDEX('Cotação de Materiais'!$C$4:$C$200,MATCH($A545,'Cotação de Materiais'!$A$4:$A$200,0)),IFERROR(INDEX('Mão de Obra e Serviços'!$B$4:$B$200,MATCH($A545,'Mão de Obra e Serviços'!$A$4:$A$200,0)),"")))</f>
        <v/>
      </c>
      <c r="D545" s="43"/>
      <c r="E545" s="43"/>
      <c r="F545" s="43"/>
      <c r="G545" s="57" t="str">
        <f aca="false">IF($A545="","",E545*IF(F545="",1,F545))</f>
        <v/>
      </c>
      <c r="H545" s="31" t="str">
        <f aca="false">IF($A545="","",IF(SUMIF($A$6:$A$600,$A545,$G$6:$G$600)=0,0,G545/SUMIF($A$6:$A$600,$A545,$G$6:$G$600)))</f>
        <v/>
      </c>
      <c r="I545" s="30" t="str">
        <f aca="false">IF($A545="","",IFERROR(INDEX('Cotação de Materiais'!$H$4:$H$200,MATCH($A545,'Cotação de Materiais'!$A$4:$A$200,0)),IFERROR(INDEX('Mão de Obra e Serviços'!$G$4:$G$200,MATCH($A545,'Mão de Obra e Serviços'!$A$4:$A$200,0)),0)))</f>
        <v/>
      </c>
      <c r="K545" s="30" t="str">
        <f aca="false">IF($A545="","",I545*H545)</f>
        <v/>
      </c>
      <c r="L545" s="58"/>
      <c r="M545" s="54" t="str">
        <f aca="false">IF($A545="","",IF(B545="CÓDIGO?","CÓDIGO NÃO ACHADO",IF($D545="","FALTA ITEM DO ANEXO",IF($D545="INDIRETO","",IF(COUNTIFS('Anexo III'!$B$8:$B$400,$D545,'Anexo III'!$E$8:$E$400,"&gt;0")=0,"ITEM NÃO ACHADO NO ANEXO","")))))</f>
        <v/>
      </c>
    </row>
    <row r="546" customFormat="false" ht="15" hidden="false" customHeight="false" outlineLevel="0" collapsed="false">
      <c r="A546" s="43"/>
      <c r="B546" s="53" t="str">
        <f aca="false">IF($A546="","",IF(ISNUMBER(MATCH($A546,'Cotação de Materiais'!$A$4:$A$200,0)),"MAT",IF(ISNUMBER(MATCH($A546,'Mão de Obra e Serviços'!$A$4:$A$200,0)),"MO","CÓDIGO?")))</f>
        <v/>
      </c>
      <c r="C546" s="54" t="str">
        <f aca="false">IF($A546="","",IFERROR(INDEX('Cotação de Materiais'!$C$4:$C$200,MATCH($A546,'Cotação de Materiais'!$A$4:$A$200,0)),IFERROR(INDEX('Mão de Obra e Serviços'!$B$4:$B$200,MATCH($A546,'Mão de Obra e Serviços'!$A$4:$A$200,0)),"")))</f>
        <v/>
      </c>
      <c r="D546" s="43"/>
      <c r="E546" s="43"/>
      <c r="F546" s="43"/>
      <c r="G546" s="57" t="str">
        <f aca="false">IF($A546="","",E546*IF(F546="",1,F546))</f>
        <v/>
      </c>
      <c r="H546" s="31" t="str">
        <f aca="false">IF($A546="","",IF(SUMIF($A$6:$A$600,$A546,$G$6:$G$600)=0,0,G546/SUMIF($A$6:$A$600,$A546,$G$6:$G$600)))</f>
        <v/>
      </c>
      <c r="I546" s="30" t="str">
        <f aca="false">IF($A546="","",IFERROR(INDEX('Cotação de Materiais'!$H$4:$H$200,MATCH($A546,'Cotação de Materiais'!$A$4:$A$200,0)),IFERROR(INDEX('Mão de Obra e Serviços'!$G$4:$G$200,MATCH($A546,'Mão de Obra e Serviços'!$A$4:$A$200,0)),0)))</f>
        <v/>
      </c>
      <c r="K546" s="30" t="str">
        <f aca="false">IF($A546="","",I546*H546)</f>
        <v/>
      </c>
      <c r="L546" s="58"/>
      <c r="M546" s="54" t="str">
        <f aca="false">IF($A546="","",IF(B546="CÓDIGO?","CÓDIGO NÃO ACHADO",IF($D546="","FALTA ITEM DO ANEXO",IF($D546="INDIRETO","",IF(COUNTIFS('Anexo III'!$B$8:$B$400,$D546,'Anexo III'!$E$8:$E$400,"&gt;0")=0,"ITEM NÃO ACHADO NO ANEXO","")))))</f>
        <v/>
      </c>
    </row>
    <row r="547" customFormat="false" ht="15" hidden="false" customHeight="false" outlineLevel="0" collapsed="false">
      <c r="A547" s="43"/>
      <c r="B547" s="53" t="str">
        <f aca="false">IF($A547="","",IF(ISNUMBER(MATCH($A547,'Cotação de Materiais'!$A$4:$A$200,0)),"MAT",IF(ISNUMBER(MATCH($A547,'Mão de Obra e Serviços'!$A$4:$A$200,0)),"MO","CÓDIGO?")))</f>
        <v/>
      </c>
      <c r="C547" s="54" t="str">
        <f aca="false">IF($A547="","",IFERROR(INDEX('Cotação de Materiais'!$C$4:$C$200,MATCH($A547,'Cotação de Materiais'!$A$4:$A$200,0)),IFERROR(INDEX('Mão de Obra e Serviços'!$B$4:$B$200,MATCH($A547,'Mão de Obra e Serviços'!$A$4:$A$200,0)),"")))</f>
        <v/>
      </c>
      <c r="D547" s="43"/>
      <c r="E547" s="43"/>
      <c r="F547" s="43"/>
      <c r="G547" s="57" t="str">
        <f aca="false">IF($A547="","",E547*IF(F547="",1,F547))</f>
        <v/>
      </c>
      <c r="H547" s="31" t="str">
        <f aca="false">IF($A547="","",IF(SUMIF($A$6:$A$600,$A547,$G$6:$G$600)=0,0,G547/SUMIF($A$6:$A$600,$A547,$G$6:$G$600)))</f>
        <v/>
      </c>
      <c r="I547" s="30" t="str">
        <f aca="false">IF($A547="","",IFERROR(INDEX('Cotação de Materiais'!$H$4:$H$200,MATCH($A547,'Cotação de Materiais'!$A$4:$A$200,0)),IFERROR(INDEX('Mão de Obra e Serviços'!$G$4:$G$200,MATCH($A547,'Mão de Obra e Serviços'!$A$4:$A$200,0)),0)))</f>
        <v/>
      </c>
      <c r="K547" s="30" t="str">
        <f aca="false">IF($A547="","",I547*H547)</f>
        <v/>
      </c>
      <c r="L547" s="58"/>
      <c r="M547" s="54" t="str">
        <f aca="false">IF($A547="","",IF(B547="CÓDIGO?","CÓDIGO NÃO ACHADO",IF($D547="","FALTA ITEM DO ANEXO",IF($D547="INDIRETO","",IF(COUNTIFS('Anexo III'!$B$8:$B$400,$D547,'Anexo III'!$E$8:$E$400,"&gt;0")=0,"ITEM NÃO ACHADO NO ANEXO","")))))</f>
        <v/>
      </c>
    </row>
    <row r="548" customFormat="false" ht="15" hidden="false" customHeight="false" outlineLevel="0" collapsed="false">
      <c r="A548" s="43"/>
      <c r="B548" s="53" t="str">
        <f aca="false">IF($A548="","",IF(ISNUMBER(MATCH($A548,'Cotação de Materiais'!$A$4:$A$200,0)),"MAT",IF(ISNUMBER(MATCH($A548,'Mão de Obra e Serviços'!$A$4:$A$200,0)),"MO","CÓDIGO?")))</f>
        <v/>
      </c>
      <c r="C548" s="54" t="str">
        <f aca="false">IF($A548="","",IFERROR(INDEX('Cotação de Materiais'!$C$4:$C$200,MATCH($A548,'Cotação de Materiais'!$A$4:$A$200,0)),IFERROR(INDEX('Mão de Obra e Serviços'!$B$4:$B$200,MATCH($A548,'Mão de Obra e Serviços'!$A$4:$A$200,0)),"")))</f>
        <v/>
      </c>
      <c r="D548" s="43"/>
      <c r="E548" s="43"/>
      <c r="F548" s="43"/>
      <c r="G548" s="57" t="str">
        <f aca="false">IF($A548="","",E548*IF(F548="",1,F548))</f>
        <v/>
      </c>
      <c r="H548" s="31" t="str">
        <f aca="false">IF($A548="","",IF(SUMIF($A$6:$A$600,$A548,$G$6:$G$600)=0,0,G548/SUMIF($A$6:$A$600,$A548,$G$6:$G$600)))</f>
        <v/>
      </c>
      <c r="I548" s="30" t="str">
        <f aca="false">IF($A548="","",IFERROR(INDEX('Cotação de Materiais'!$H$4:$H$200,MATCH($A548,'Cotação de Materiais'!$A$4:$A$200,0)),IFERROR(INDEX('Mão de Obra e Serviços'!$G$4:$G$200,MATCH($A548,'Mão de Obra e Serviços'!$A$4:$A$200,0)),0)))</f>
        <v/>
      </c>
      <c r="K548" s="30" t="str">
        <f aca="false">IF($A548="","",I548*H548)</f>
        <v/>
      </c>
      <c r="L548" s="58"/>
      <c r="M548" s="54" t="str">
        <f aca="false">IF($A548="","",IF(B548="CÓDIGO?","CÓDIGO NÃO ACHADO",IF($D548="","FALTA ITEM DO ANEXO",IF($D548="INDIRETO","",IF(COUNTIFS('Anexo III'!$B$8:$B$400,$D548,'Anexo III'!$E$8:$E$400,"&gt;0")=0,"ITEM NÃO ACHADO NO ANEXO","")))))</f>
        <v/>
      </c>
    </row>
    <row r="549" customFormat="false" ht="15" hidden="false" customHeight="false" outlineLevel="0" collapsed="false">
      <c r="A549" s="43"/>
      <c r="B549" s="53" t="str">
        <f aca="false">IF($A549="","",IF(ISNUMBER(MATCH($A549,'Cotação de Materiais'!$A$4:$A$200,0)),"MAT",IF(ISNUMBER(MATCH($A549,'Mão de Obra e Serviços'!$A$4:$A$200,0)),"MO","CÓDIGO?")))</f>
        <v/>
      </c>
      <c r="C549" s="54" t="str">
        <f aca="false">IF($A549="","",IFERROR(INDEX('Cotação de Materiais'!$C$4:$C$200,MATCH($A549,'Cotação de Materiais'!$A$4:$A$200,0)),IFERROR(INDEX('Mão de Obra e Serviços'!$B$4:$B$200,MATCH($A549,'Mão de Obra e Serviços'!$A$4:$A$200,0)),"")))</f>
        <v/>
      </c>
      <c r="D549" s="43"/>
      <c r="E549" s="43"/>
      <c r="F549" s="43"/>
      <c r="G549" s="57" t="str">
        <f aca="false">IF($A549="","",E549*IF(F549="",1,F549))</f>
        <v/>
      </c>
      <c r="H549" s="31" t="str">
        <f aca="false">IF($A549="","",IF(SUMIF($A$6:$A$600,$A549,$G$6:$G$600)=0,0,G549/SUMIF($A$6:$A$600,$A549,$G$6:$G$600)))</f>
        <v/>
      </c>
      <c r="I549" s="30" t="str">
        <f aca="false">IF($A549="","",IFERROR(INDEX('Cotação de Materiais'!$H$4:$H$200,MATCH($A549,'Cotação de Materiais'!$A$4:$A$200,0)),IFERROR(INDEX('Mão de Obra e Serviços'!$G$4:$G$200,MATCH($A549,'Mão de Obra e Serviços'!$A$4:$A$200,0)),0)))</f>
        <v/>
      </c>
      <c r="K549" s="30" t="str">
        <f aca="false">IF($A549="","",I549*H549)</f>
        <v/>
      </c>
      <c r="L549" s="58"/>
      <c r="M549" s="54" t="str">
        <f aca="false">IF($A549="","",IF(B549="CÓDIGO?","CÓDIGO NÃO ACHADO",IF($D549="","FALTA ITEM DO ANEXO",IF($D549="INDIRETO","",IF(COUNTIFS('Anexo III'!$B$8:$B$400,$D549,'Anexo III'!$E$8:$E$400,"&gt;0")=0,"ITEM NÃO ACHADO NO ANEXO","")))))</f>
        <v/>
      </c>
    </row>
    <row r="550" customFormat="false" ht="15" hidden="false" customHeight="false" outlineLevel="0" collapsed="false">
      <c r="A550" s="43"/>
      <c r="B550" s="53" t="str">
        <f aca="false">IF($A550="","",IF(ISNUMBER(MATCH($A550,'Cotação de Materiais'!$A$4:$A$200,0)),"MAT",IF(ISNUMBER(MATCH($A550,'Mão de Obra e Serviços'!$A$4:$A$200,0)),"MO","CÓDIGO?")))</f>
        <v/>
      </c>
      <c r="C550" s="54" t="str">
        <f aca="false">IF($A550="","",IFERROR(INDEX('Cotação de Materiais'!$C$4:$C$200,MATCH($A550,'Cotação de Materiais'!$A$4:$A$200,0)),IFERROR(INDEX('Mão de Obra e Serviços'!$B$4:$B$200,MATCH($A550,'Mão de Obra e Serviços'!$A$4:$A$200,0)),"")))</f>
        <v/>
      </c>
      <c r="D550" s="43"/>
      <c r="E550" s="43"/>
      <c r="F550" s="43"/>
      <c r="G550" s="57" t="str">
        <f aca="false">IF($A550="","",E550*IF(F550="",1,F550))</f>
        <v/>
      </c>
      <c r="H550" s="31" t="str">
        <f aca="false">IF($A550="","",IF(SUMIF($A$6:$A$600,$A550,$G$6:$G$600)=0,0,G550/SUMIF($A$6:$A$600,$A550,$G$6:$G$600)))</f>
        <v/>
      </c>
      <c r="I550" s="30" t="str">
        <f aca="false">IF($A550="","",IFERROR(INDEX('Cotação de Materiais'!$H$4:$H$200,MATCH($A550,'Cotação de Materiais'!$A$4:$A$200,0)),IFERROR(INDEX('Mão de Obra e Serviços'!$G$4:$G$200,MATCH($A550,'Mão de Obra e Serviços'!$A$4:$A$200,0)),0)))</f>
        <v/>
      </c>
      <c r="K550" s="30" t="str">
        <f aca="false">IF($A550="","",I550*H550)</f>
        <v/>
      </c>
      <c r="L550" s="58"/>
      <c r="M550" s="54" t="str">
        <f aca="false">IF($A550="","",IF(B550="CÓDIGO?","CÓDIGO NÃO ACHADO",IF($D550="","FALTA ITEM DO ANEXO",IF($D550="INDIRETO","",IF(COUNTIFS('Anexo III'!$B$8:$B$400,$D550,'Anexo III'!$E$8:$E$400,"&gt;0")=0,"ITEM NÃO ACHADO NO ANEXO","")))))</f>
        <v/>
      </c>
    </row>
    <row r="551" customFormat="false" ht="15" hidden="false" customHeight="false" outlineLevel="0" collapsed="false">
      <c r="A551" s="43"/>
      <c r="B551" s="53" t="str">
        <f aca="false">IF($A551="","",IF(ISNUMBER(MATCH($A551,'Cotação de Materiais'!$A$4:$A$200,0)),"MAT",IF(ISNUMBER(MATCH($A551,'Mão de Obra e Serviços'!$A$4:$A$200,0)),"MO","CÓDIGO?")))</f>
        <v/>
      </c>
      <c r="C551" s="54" t="str">
        <f aca="false">IF($A551="","",IFERROR(INDEX('Cotação de Materiais'!$C$4:$C$200,MATCH($A551,'Cotação de Materiais'!$A$4:$A$200,0)),IFERROR(INDEX('Mão de Obra e Serviços'!$B$4:$B$200,MATCH($A551,'Mão de Obra e Serviços'!$A$4:$A$200,0)),"")))</f>
        <v/>
      </c>
      <c r="D551" s="43"/>
      <c r="E551" s="43"/>
      <c r="F551" s="43"/>
      <c r="G551" s="57" t="str">
        <f aca="false">IF($A551="","",E551*IF(F551="",1,F551))</f>
        <v/>
      </c>
      <c r="H551" s="31" t="str">
        <f aca="false">IF($A551="","",IF(SUMIF($A$6:$A$600,$A551,$G$6:$G$600)=0,0,G551/SUMIF($A$6:$A$600,$A551,$G$6:$G$600)))</f>
        <v/>
      </c>
      <c r="I551" s="30" t="str">
        <f aca="false">IF($A551="","",IFERROR(INDEX('Cotação de Materiais'!$H$4:$H$200,MATCH($A551,'Cotação de Materiais'!$A$4:$A$200,0)),IFERROR(INDEX('Mão de Obra e Serviços'!$G$4:$G$200,MATCH($A551,'Mão de Obra e Serviços'!$A$4:$A$200,0)),0)))</f>
        <v/>
      </c>
      <c r="K551" s="30" t="str">
        <f aca="false">IF($A551="","",I551*H551)</f>
        <v/>
      </c>
      <c r="L551" s="58"/>
      <c r="M551" s="54" t="str">
        <f aca="false">IF($A551="","",IF(B551="CÓDIGO?","CÓDIGO NÃO ACHADO",IF($D551="","FALTA ITEM DO ANEXO",IF($D551="INDIRETO","",IF(COUNTIFS('Anexo III'!$B$8:$B$400,$D551,'Anexo III'!$E$8:$E$400,"&gt;0")=0,"ITEM NÃO ACHADO NO ANEXO","")))))</f>
        <v/>
      </c>
    </row>
    <row r="552" customFormat="false" ht="15" hidden="false" customHeight="false" outlineLevel="0" collapsed="false">
      <c r="A552" s="43"/>
      <c r="B552" s="53" t="str">
        <f aca="false">IF($A552="","",IF(ISNUMBER(MATCH($A552,'Cotação de Materiais'!$A$4:$A$200,0)),"MAT",IF(ISNUMBER(MATCH($A552,'Mão de Obra e Serviços'!$A$4:$A$200,0)),"MO","CÓDIGO?")))</f>
        <v/>
      </c>
      <c r="C552" s="54" t="str">
        <f aca="false">IF($A552="","",IFERROR(INDEX('Cotação de Materiais'!$C$4:$C$200,MATCH($A552,'Cotação de Materiais'!$A$4:$A$200,0)),IFERROR(INDEX('Mão de Obra e Serviços'!$B$4:$B$200,MATCH($A552,'Mão de Obra e Serviços'!$A$4:$A$200,0)),"")))</f>
        <v/>
      </c>
      <c r="D552" s="43"/>
      <c r="E552" s="43"/>
      <c r="F552" s="43"/>
      <c r="G552" s="57" t="str">
        <f aca="false">IF($A552="","",E552*IF(F552="",1,F552))</f>
        <v/>
      </c>
      <c r="H552" s="31" t="str">
        <f aca="false">IF($A552="","",IF(SUMIF($A$6:$A$600,$A552,$G$6:$G$600)=0,0,G552/SUMIF($A$6:$A$600,$A552,$G$6:$G$600)))</f>
        <v/>
      </c>
      <c r="I552" s="30" t="str">
        <f aca="false">IF($A552="","",IFERROR(INDEX('Cotação de Materiais'!$H$4:$H$200,MATCH($A552,'Cotação de Materiais'!$A$4:$A$200,0)),IFERROR(INDEX('Mão de Obra e Serviços'!$G$4:$G$200,MATCH($A552,'Mão de Obra e Serviços'!$A$4:$A$200,0)),0)))</f>
        <v/>
      </c>
      <c r="K552" s="30" t="str">
        <f aca="false">IF($A552="","",I552*H552)</f>
        <v/>
      </c>
      <c r="L552" s="58"/>
      <c r="M552" s="54" t="str">
        <f aca="false">IF($A552="","",IF(B552="CÓDIGO?","CÓDIGO NÃO ACHADO",IF($D552="","FALTA ITEM DO ANEXO",IF($D552="INDIRETO","",IF(COUNTIFS('Anexo III'!$B$8:$B$400,$D552,'Anexo III'!$E$8:$E$400,"&gt;0")=0,"ITEM NÃO ACHADO NO ANEXO","")))))</f>
        <v/>
      </c>
    </row>
    <row r="553" customFormat="false" ht="15" hidden="false" customHeight="false" outlineLevel="0" collapsed="false">
      <c r="A553" s="43"/>
      <c r="B553" s="53" t="str">
        <f aca="false">IF($A553="","",IF(ISNUMBER(MATCH($A553,'Cotação de Materiais'!$A$4:$A$200,0)),"MAT",IF(ISNUMBER(MATCH($A553,'Mão de Obra e Serviços'!$A$4:$A$200,0)),"MO","CÓDIGO?")))</f>
        <v/>
      </c>
      <c r="C553" s="54" t="str">
        <f aca="false">IF($A553="","",IFERROR(INDEX('Cotação de Materiais'!$C$4:$C$200,MATCH($A553,'Cotação de Materiais'!$A$4:$A$200,0)),IFERROR(INDEX('Mão de Obra e Serviços'!$B$4:$B$200,MATCH($A553,'Mão de Obra e Serviços'!$A$4:$A$200,0)),"")))</f>
        <v/>
      </c>
      <c r="D553" s="43"/>
      <c r="E553" s="43"/>
      <c r="F553" s="43"/>
      <c r="G553" s="57" t="str">
        <f aca="false">IF($A553="","",E553*IF(F553="",1,F553))</f>
        <v/>
      </c>
      <c r="H553" s="31" t="str">
        <f aca="false">IF($A553="","",IF(SUMIF($A$6:$A$600,$A553,$G$6:$G$600)=0,0,G553/SUMIF($A$6:$A$600,$A553,$G$6:$G$600)))</f>
        <v/>
      </c>
      <c r="I553" s="30" t="str">
        <f aca="false">IF($A553="","",IFERROR(INDEX('Cotação de Materiais'!$H$4:$H$200,MATCH($A553,'Cotação de Materiais'!$A$4:$A$200,0)),IFERROR(INDEX('Mão de Obra e Serviços'!$G$4:$G$200,MATCH($A553,'Mão de Obra e Serviços'!$A$4:$A$200,0)),0)))</f>
        <v/>
      </c>
      <c r="K553" s="30" t="str">
        <f aca="false">IF($A553="","",I553*H553)</f>
        <v/>
      </c>
      <c r="L553" s="58"/>
      <c r="M553" s="54" t="str">
        <f aca="false">IF($A553="","",IF(B553="CÓDIGO?","CÓDIGO NÃO ACHADO",IF($D553="","FALTA ITEM DO ANEXO",IF($D553="INDIRETO","",IF(COUNTIFS('Anexo III'!$B$8:$B$400,$D553,'Anexo III'!$E$8:$E$400,"&gt;0")=0,"ITEM NÃO ACHADO NO ANEXO","")))))</f>
        <v/>
      </c>
    </row>
    <row r="554" customFormat="false" ht="15" hidden="false" customHeight="false" outlineLevel="0" collapsed="false">
      <c r="A554" s="43"/>
      <c r="B554" s="53" t="str">
        <f aca="false">IF($A554="","",IF(ISNUMBER(MATCH($A554,'Cotação de Materiais'!$A$4:$A$200,0)),"MAT",IF(ISNUMBER(MATCH($A554,'Mão de Obra e Serviços'!$A$4:$A$200,0)),"MO","CÓDIGO?")))</f>
        <v/>
      </c>
      <c r="C554" s="54" t="str">
        <f aca="false">IF($A554="","",IFERROR(INDEX('Cotação de Materiais'!$C$4:$C$200,MATCH($A554,'Cotação de Materiais'!$A$4:$A$200,0)),IFERROR(INDEX('Mão de Obra e Serviços'!$B$4:$B$200,MATCH($A554,'Mão de Obra e Serviços'!$A$4:$A$200,0)),"")))</f>
        <v/>
      </c>
      <c r="D554" s="43"/>
      <c r="E554" s="43"/>
      <c r="F554" s="43"/>
      <c r="G554" s="57" t="str">
        <f aca="false">IF($A554="","",E554*IF(F554="",1,F554))</f>
        <v/>
      </c>
      <c r="H554" s="31" t="str">
        <f aca="false">IF($A554="","",IF(SUMIF($A$6:$A$600,$A554,$G$6:$G$600)=0,0,G554/SUMIF($A$6:$A$600,$A554,$G$6:$G$600)))</f>
        <v/>
      </c>
      <c r="I554" s="30" t="str">
        <f aca="false">IF($A554="","",IFERROR(INDEX('Cotação de Materiais'!$H$4:$H$200,MATCH($A554,'Cotação de Materiais'!$A$4:$A$200,0)),IFERROR(INDEX('Mão de Obra e Serviços'!$G$4:$G$200,MATCH($A554,'Mão de Obra e Serviços'!$A$4:$A$200,0)),0)))</f>
        <v/>
      </c>
      <c r="K554" s="30" t="str">
        <f aca="false">IF($A554="","",I554*H554)</f>
        <v/>
      </c>
      <c r="L554" s="58"/>
      <c r="M554" s="54" t="str">
        <f aca="false">IF($A554="","",IF(B554="CÓDIGO?","CÓDIGO NÃO ACHADO",IF($D554="","FALTA ITEM DO ANEXO",IF($D554="INDIRETO","",IF(COUNTIFS('Anexo III'!$B$8:$B$400,$D554,'Anexo III'!$E$8:$E$400,"&gt;0")=0,"ITEM NÃO ACHADO NO ANEXO","")))))</f>
        <v/>
      </c>
    </row>
    <row r="555" customFormat="false" ht="15" hidden="false" customHeight="false" outlineLevel="0" collapsed="false">
      <c r="A555" s="43"/>
      <c r="B555" s="53" t="str">
        <f aca="false">IF($A555="","",IF(ISNUMBER(MATCH($A555,'Cotação de Materiais'!$A$4:$A$200,0)),"MAT",IF(ISNUMBER(MATCH($A555,'Mão de Obra e Serviços'!$A$4:$A$200,0)),"MO","CÓDIGO?")))</f>
        <v/>
      </c>
      <c r="C555" s="54" t="str">
        <f aca="false">IF($A555="","",IFERROR(INDEX('Cotação de Materiais'!$C$4:$C$200,MATCH($A555,'Cotação de Materiais'!$A$4:$A$200,0)),IFERROR(INDEX('Mão de Obra e Serviços'!$B$4:$B$200,MATCH($A555,'Mão de Obra e Serviços'!$A$4:$A$200,0)),"")))</f>
        <v/>
      </c>
      <c r="D555" s="43"/>
      <c r="E555" s="43"/>
      <c r="F555" s="43"/>
      <c r="G555" s="57" t="str">
        <f aca="false">IF($A555="","",E555*IF(F555="",1,F555))</f>
        <v/>
      </c>
      <c r="H555" s="31" t="str">
        <f aca="false">IF($A555="","",IF(SUMIF($A$6:$A$600,$A555,$G$6:$G$600)=0,0,G555/SUMIF($A$6:$A$600,$A555,$G$6:$G$600)))</f>
        <v/>
      </c>
      <c r="I555" s="30" t="str">
        <f aca="false">IF($A555="","",IFERROR(INDEX('Cotação de Materiais'!$H$4:$H$200,MATCH($A555,'Cotação de Materiais'!$A$4:$A$200,0)),IFERROR(INDEX('Mão de Obra e Serviços'!$G$4:$G$200,MATCH($A555,'Mão de Obra e Serviços'!$A$4:$A$200,0)),0)))</f>
        <v/>
      </c>
      <c r="K555" s="30" t="str">
        <f aca="false">IF($A555="","",I555*H555)</f>
        <v/>
      </c>
      <c r="L555" s="58"/>
      <c r="M555" s="54" t="str">
        <f aca="false">IF($A555="","",IF(B555="CÓDIGO?","CÓDIGO NÃO ACHADO",IF($D555="","FALTA ITEM DO ANEXO",IF($D555="INDIRETO","",IF(COUNTIFS('Anexo III'!$B$8:$B$400,$D555,'Anexo III'!$E$8:$E$400,"&gt;0")=0,"ITEM NÃO ACHADO NO ANEXO","")))))</f>
        <v/>
      </c>
    </row>
    <row r="556" customFormat="false" ht="15" hidden="false" customHeight="false" outlineLevel="0" collapsed="false">
      <c r="A556" s="43"/>
      <c r="B556" s="53" t="str">
        <f aca="false">IF($A556="","",IF(ISNUMBER(MATCH($A556,'Cotação de Materiais'!$A$4:$A$200,0)),"MAT",IF(ISNUMBER(MATCH($A556,'Mão de Obra e Serviços'!$A$4:$A$200,0)),"MO","CÓDIGO?")))</f>
        <v/>
      </c>
      <c r="C556" s="54" t="str">
        <f aca="false">IF($A556="","",IFERROR(INDEX('Cotação de Materiais'!$C$4:$C$200,MATCH($A556,'Cotação de Materiais'!$A$4:$A$200,0)),IFERROR(INDEX('Mão de Obra e Serviços'!$B$4:$B$200,MATCH($A556,'Mão de Obra e Serviços'!$A$4:$A$200,0)),"")))</f>
        <v/>
      </c>
      <c r="D556" s="43"/>
      <c r="E556" s="43"/>
      <c r="F556" s="43"/>
      <c r="G556" s="57" t="str">
        <f aca="false">IF($A556="","",E556*IF(F556="",1,F556))</f>
        <v/>
      </c>
      <c r="H556" s="31" t="str">
        <f aca="false">IF($A556="","",IF(SUMIF($A$6:$A$600,$A556,$G$6:$G$600)=0,0,G556/SUMIF($A$6:$A$600,$A556,$G$6:$G$600)))</f>
        <v/>
      </c>
      <c r="I556" s="30" t="str">
        <f aca="false">IF($A556="","",IFERROR(INDEX('Cotação de Materiais'!$H$4:$H$200,MATCH($A556,'Cotação de Materiais'!$A$4:$A$200,0)),IFERROR(INDEX('Mão de Obra e Serviços'!$G$4:$G$200,MATCH($A556,'Mão de Obra e Serviços'!$A$4:$A$200,0)),0)))</f>
        <v/>
      </c>
      <c r="K556" s="30" t="str">
        <f aca="false">IF($A556="","",I556*H556)</f>
        <v/>
      </c>
      <c r="L556" s="58"/>
      <c r="M556" s="54" t="str">
        <f aca="false">IF($A556="","",IF(B556="CÓDIGO?","CÓDIGO NÃO ACHADO",IF($D556="","FALTA ITEM DO ANEXO",IF($D556="INDIRETO","",IF(COUNTIFS('Anexo III'!$B$8:$B$400,$D556,'Anexo III'!$E$8:$E$400,"&gt;0")=0,"ITEM NÃO ACHADO NO ANEXO","")))))</f>
        <v/>
      </c>
    </row>
    <row r="557" customFormat="false" ht="15" hidden="false" customHeight="false" outlineLevel="0" collapsed="false">
      <c r="A557" s="43"/>
      <c r="B557" s="53" t="str">
        <f aca="false">IF($A557="","",IF(ISNUMBER(MATCH($A557,'Cotação de Materiais'!$A$4:$A$200,0)),"MAT",IF(ISNUMBER(MATCH($A557,'Mão de Obra e Serviços'!$A$4:$A$200,0)),"MO","CÓDIGO?")))</f>
        <v/>
      </c>
      <c r="C557" s="54" t="str">
        <f aca="false">IF($A557="","",IFERROR(INDEX('Cotação de Materiais'!$C$4:$C$200,MATCH($A557,'Cotação de Materiais'!$A$4:$A$200,0)),IFERROR(INDEX('Mão de Obra e Serviços'!$B$4:$B$200,MATCH($A557,'Mão de Obra e Serviços'!$A$4:$A$200,0)),"")))</f>
        <v/>
      </c>
      <c r="D557" s="43"/>
      <c r="E557" s="43"/>
      <c r="F557" s="43"/>
      <c r="G557" s="57" t="str">
        <f aca="false">IF($A557="","",E557*IF(F557="",1,F557))</f>
        <v/>
      </c>
      <c r="H557" s="31" t="str">
        <f aca="false">IF($A557="","",IF(SUMIF($A$6:$A$600,$A557,$G$6:$G$600)=0,0,G557/SUMIF($A$6:$A$600,$A557,$G$6:$G$600)))</f>
        <v/>
      </c>
      <c r="I557" s="30" t="str">
        <f aca="false">IF($A557="","",IFERROR(INDEX('Cotação de Materiais'!$H$4:$H$200,MATCH($A557,'Cotação de Materiais'!$A$4:$A$200,0)),IFERROR(INDEX('Mão de Obra e Serviços'!$G$4:$G$200,MATCH($A557,'Mão de Obra e Serviços'!$A$4:$A$200,0)),0)))</f>
        <v/>
      </c>
      <c r="K557" s="30" t="str">
        <f aca="false">IF($A557="","",I557*H557)</f>
        <v/>
      </c>
      <c r="L557" s="58"/>
      <c r="M557" s="54" t="str">
        <f aca="false">IF($A557="","",IF(B557="CÓDIGO?","CÓDIGO NÃO ACHADO",IF($D557="","FALTA ITEM DO ANEXO",IF($D557="INDIRETO","",IF(COUNTIFS('Anexo III'!$B$8:$B$400,$D557,'Anexo III'!$E$8:$E$400,"&gt;0")=0,"ITEM NÃO ACHADO NO ANEXO","")))))</f>
        <v/>
      </c>
    </row>
    <row r="558" customFormat="false" ht="15" hidden="false" customHeight="false" outlineLevel="0" collapsed="false">
      <c r="A558" s="43"/>
      <c r="B558" s="53" t="str">
        <f aca="false">IF($A558="","",IF(ISNUMBER(MATCH($A558,'Cotação de Materiais'!$A$4:$A$200,0)),"MAT",IF(ISNUMBER(MATCH($A558,'Mão de Obra e Serviços'!$A$4:$A$200,0)),"MO","CÓDIGO?")))</f>
        <v/>
      </c>
      <c r="C558" s="54" t="str">
        <f aca="false">IF($A558="","",IFERROR(INDEX('Cotação de Materiais'!$C$4:$C$200,MATCH($A558,'Cotação de Materiais'!$A$4:$A$200,0)),IFERROR(INDEX('Mão de Obra e Serviços'!$B$4:$B$200,MATCH($A558,'Mão de Obra e Serviços'!$A$4:$A$200,0)),"")))</f>
        <v/>
      </c>
      <c r="D558" s="43"/>
      <c r="E558" s="43"/>
      <c r="F558" s="43"/>
      <c r="G558" s="57" t="str">
        <f aca="false">IF($A558="","",E558*IF(F558="",1,F558))</f>
        <v/>
      </c>
      <c r="H558" s="31" t="str">
        <f aca="false">IF($A558="","",IF(SUMIF($A$6:$A$600,$A558,$G$6:$G$600)=0,0,G558/SUMIF($A$6:$A$600,$A558,$G$6:$G$600)))</f>
        <v/>
      </c>
      <c r="I558" s="30" t="str">
        <f aca="false">IF($A558="","",IFERROR(INDEX('Cotação de Materiais'!$H$4:$H$200,MATCH($A558,'Cotação de Materiais'!$A$4:$A$200,0)),IFERROR(INDEX('Mão de Obra e Serviços'!$G$4:$G$200,MATCH($A558,'Mão de Obra e Serviços'!$A$4:$A$200,0)),0)))</f>
        <v/>
      </c>
      <c r="K558" s="30" t="str">
        <f aca="false">IF($A558="","",I558*H558)</f>
        <v/>
      </c>
      <c r="L558" s="58"/>
      <c r="M558" s="54" t="str">
        <f aca="false">IF($A558="","",IF(B558="CÓDIGO?","CÓDIGO NÃO ACHADO",IF($D558="","FALTA ITEM DO ANEXO",IF($D558="INDIRETO","",IF(COUNTIFS('Anexo III'!$B$8:$B$400,$D558,'Anexo III'!$E$8:$E$400,"&gt;0")=0,"ITEM NÃO ACHADO NO ANEXO","")))))</f>
        <v/>
      </c>
    </row>
    <row r="559" customFormat="false" ht="15" hidden="false" customHeight="false" outlineLevel="0" collapsed="false">
      <c r="A559" s="43"/>
      <c r="B559" s="53" t="str">
        <f aca="false">IF($A559="","",IF(ISNUMBER(MATCH($A559,'Cotação de Materiais'!$A$4:$A$200,0)),"MAT",IF(ISNUMBER(MATCH($A559,'Mão de Obra e Serviços'!$A$4:$A$200,0)),"MO","CÓDIGO?")))</f>
        <v/>
      </c>
      <c r="C559" s="54" t="str">
        <f aca="false">IF($A559="","",IFERROR(INDEX('Cotação de Materiais'!$C$4:$C$200,MATCH($A559,'Cotação de Materiais'!$A$4:$A$200,0)),IFERROR(INDEX('Mão de Obra e Serviços'!$B$4:$B$200,MATCH($A559,'Mão de Obra e Serviços'!$A$4:$A$200,0)),"")))</f>
        <v/>
      </c>
      <c r="D559" s="43"/>
      <c r="E559" s="43"/>
      <c r="F559" s="43"/>
      <c r="G559" s="57" t="str">
        <f aca="false">IF($A559="","",E559*IF(F559="",1,F559))</f>
        <v/>
      </c>
      <c r="H559" s="31" t="str">
        <f aca="false">IF($A559="","",IF(SUMIF($A$6:$A$600,$A559,$G$6:$G$600)=0,0,G559/SUMIF($A$6:$A$600,$A559,$G$6:$G$600)))</f>
        <v/>
      </c>
      <c r="I559" s="30" t="str">
        <f aca="false">IF($A559="","",IFERROR(INDEX('Cotação de Materiais'!$H$4:$H$200,MATCH($A559,'Cotação de Materiais'!$A$4:$A$200,0)),IFERROR(INDEX('Mão de Obra e Serviços'!$G$4:$G$200,MATCH($A559,'Mão de Obra e Serviços'!$A$4:$A$200,0)),0)))</f>
        <v/>
      </c>
      <c r="K559" s="30" t="str">
        <f aca="false">IF($A559="","",I559*H559)</f>
        <v/>
      </c>
      <c r="L559" s="58"/>
      <c r="M559" s="54" t="str">
        <f aca="false">IF($A559="","",IF(B559="CÓDIGO?","CÓDIGO NÃO ACHADO",IF($D559="","FALTA ITEM DO ANEXO",IF($D559="INDIRETO","",IF(COUNTIFS('Anexo III'!$B$8:$B$400,$D559,'Anexo III'!$E$8:$E$400,"&gt;0")=0,"ITEM NÃO ACHADO NO ANEXO","")))))</f>
        <v/>
      </c>
    </row>
    <row r="560" customFormat="false" ht="15" hidden="false" customHeight="false" outlineLevel="0" collapsed="false">
      <c r="A560" s="43"/>
      <c r="B560" s="53" t="str">
        <f aca="false">IF($A560="","",IF(ISNUMBER(MATCH($A560,'Cotação de Materiais'!$A$4:$A$200,0)),"MAT",IF(ISNUMBER(MATCH($A560,'Mão de Obra e Serviços'!$A$4:$A$200,0)),"MO","CÓDIGO?")))</f>
        <v/>
      </c>
      <c r="C560" s="54" t="str">
        <f aca="false">IF($A560="","",IFERROR(INDEX('Cotação de Materiais'!$C$4:$C$200,MATCH($A560,'Cotação de Materiais'!$A$4:$A$200,0)),IFERROR(INDEX('Mão de Obra e Serviços'!$B$4:$B$200,MATCH($A560,'Mão de Obra e Serviços'!$A$4:$A$200,0)),"")))</f>
        <v/>
      </c>
      <c r="D560" s="43"/>
      <c r="E560" s="43"/>
      <c r="F560" s="43"/>
      <c r="G560" s="57" t="str">
        <f aca="false">IF($A560="","",E560*IF(F560="",1,F560))</f>
        <v/>
      </c>
      <c r="H560" s="31" t="str">
        <f aca="false">IF($A560="","",IF(SUMIF($A$6:$A$600,$A560,$G$6:$G$600)=0,0,G560/SUMIF($A$6:$A$600,$A560,$G$6:$G$600)))</f>
        <v/>
      </c>
      <c r="I560" s="30" t="str">
        <f aca="false">IF($A560="","",IFERROR(INDEX('Cotação de Materiais'!$H$4:$H$200,MATCH($A560,'Cotação de Materiais'!$A$4:$A$200,0)),IFERROR(INDEX('Mão de Obra e Serviços'!$G$4:$G$200,MATCH($A560,'Mão de Obra e Serviços'!$A$4:$A$200,0)),0)))</f>
        <v/>
      </c>
      <c r="K560" s="30" t="str">
        <f aca="false">IF($A560="","",I560*H560)</f>
        <v/>
      </c>
      <c r="L560" s="58"/>
      <c r="M560" s="54" t="str">
        <f aca="false">IF($A560="","",IF(B560="CÓDIGO?","CÓDIGO NÃO ACHADO",IF($D560="","FALTA ITEM DO ANEXO",IF($D560="INDIRETO","",IF(COUNTIFS('Anexo III'!$B$8:$B$400,$D560,'Anexo III'!$E$8:$E$400,"&gt;0")=0,"ITEM NÃO ACHADO NO ANEXO","")))))</f>
        <v/>
      </c>
    </row>
    <row r="561" customFormat="false" ht="15" hidden="false" customHeight="false" outlineLevel="0" collapsed="false">
      <c r="A561" s="43"/>
      <c r="B561" s="53" t="str">
        <f aca="false">IF($A561="","",IF(ISNUMBER(MATCH($A561,'Cotação de Materiais'!$A$4:$A$200,0)),"MAT",IF(ISNUMBER(MATCH($A561,'Mão de Obra e Serviços'!$A$4:$A$200,0)),"MO","CÓDIGO?")))</f>
        <v/>
      </c>
      <c r="C561" s="54" t="str">
        <f aca="false">IF($A561="","",IFERROR(INDEX('Cotação de Materiais'!$C$4:$C$200,MATCH($A561,'Cotação de Materiais'!$A$4:$A$200,0)),IFERROR(INDEX('Mão de Obra e Serviços'!$B$4:$B$200,MATCH($A561,'Mão de Obra e Serviços'!$A$4:$A$200,0)),"")))</f>
        <v/>
      </c>
      <c r="D561" s="43"/>
      <c r="E561" s="43"/>
      <c r="F561" s="43"/>
      <c r="G561" s="57" t="str">
        <f aca="false">IF($A561="","",E561*IF(F561="",1,F561))</f>
        <v/>
      </c>
      <c r="H561" s="31" t="str">
        <f aca="false">IF($A561="","",IF(SUMIF($A$6:$A$600,$A561,$G$6:$G$600)=0,0,G561/SUMIF($A$6:$A$600,$A561,$G$6:$G$600)))</f>
        <v/>
      </c>
      <c r="I561" s="30" t="str">
        <f aca="false">IF($A561="","",IFERROR(INDEX('Cotação de Materiais'!$H$4:$H$200,MATCH($A561,'Cotação de Materiais'!$A$4:$A$200,0)),IFERROR(INDEX('Mão de Obra e Serviços'!$G$4:$G$200,MATCH($A561,'Mão de Obra e Serviços'!$A$4:$A$200,0)),0)))</f>
        <v/>
      </c>
      <c r="K561" s="30" t="str">
        <f aca="false">IF($A561="","",I561*H561)</f>
        <v/>
      </c>
      <c r="L561" s="58"/>
      <c r="M561" s="54" t="str">
        <f aca="false">IF($A561="","",IF(B561="CÓDIGO?","CÓDIGO NÃO ACHADO",IF($D561="","FALTA ITEM DO ANEXO",IF($D561="INDIRETO","",IF(COUNTIFS('Anexo III'!$B$8:$B$400,$D561,'Anexo III'!$E$8:$E$400,"&gt;0")=0,"ITEM NÃO ACHADO NO ANEXO","")))))</f>
        <v/>
      </c>
    </row>
    <row r="562" customFormat="false" ht="15" hidden="false" customHeight="false" outlineLevel="0" collapsed="false">
      <c r="A562" s="43"/>
      <c r="B562" s="53" t="str">
        <f aca="false">IF($A562="","",IF(ISNUMBER(MATCH($A562,'Cotação de Materiais'!$A$4:$A$200,0)),"MAT",IF(ISNUMBER(MATCH($A562,'Mão de Obra e Serviços'!$A$4:$A$200,0)),"MO","CÓDIGO?")))</f>
        <v/>
      </c>
      <c r="C562" s="54" t="str">
        <f aca="false">IF($A562="","",IFERROR(INDEX('Cotação de Materiais'!$C$4:$C$200,MATCH($A562,'Cotação de Materiais'!$A$4:$A$200,0)),IFERROR(INDEX('Mão de Obra e Serviços'!$B$4:$B$200,MATCH($A562,'Mão de Obra e Serviços'!$A$4:$A$200,0)),"")))</f>
        <v/>
      </c>
      <c r="D562" s="43"/>
      <c r="E562" s="43"/>
      <c r="F562" s="43"/>
      <c r="G562" s="57" t="str">
        <f aca="false">IF($A562="","",E562*IF(F562="",1,F562))</f>
        <v/>
      </c>
      <c r="H562" s="31" t="str">
        <f aca="false">IF($A562="","",IF(SUMIF($A$6:$A$600,$A562,$G$6:$G$600)=0,0,G562/SUMIF($A$6:$A$600,$A562,$G$6:$G$600)))</f>
        <v/>
      </c>
      <c r="I562" s="30" t="str">
        <f aca="false">IF($A562="","",IFERROR(INDEX('Cotação de Materiais'!$H$4:$H$200,MATCH($A562,'Cotação de Materiais'!$A$4:$A$200,0)),IFERROR(INDEX('Mão de Obra e Serviços'!$G$4:$G$200,MATCH($A562,'Mão de Obra e Serviços'!$A$4:$A$200,0)),0)))</f>
        <v/>
      </c>
      <c r="K562" s="30" t="str">
        <f aca="false">IF($A562="","",I562*H562)</f>
        <v/>
      </c>
      <c r="L562" s="58"/>
      <c r="M562" s="54" t="str">
        <f aca="false">IF($A562="","",IF(B562="CÓDIGO?","CÓDIGO NÃO ACHADO",IF($D562="","FALTA ITEM DO ANEXO",IF($D562="INDIRETO","",IF(COUNTIFS('Anexo III'!$B$8:$B$400,$D562,'Anexo III'!$E$8:$E$400,"&gt;0")=0,"ITEM NÃO ACHADO NO ANEXO","")))))</f>
        <v/>
      </c>
    </row>
    <row r="563" customFormat="false" ht="15" hidden="false" customHeight="false" outlineLevel="0" collapsed="false">
      <c r="A563" s="43"/>
      <c r="B563" s="53" t="str">
        <f aca="false">IF($A563="","",IF(ISNUMBER(MATCH($A563,'Cotação de Materiais'!$A$4:$A$200,0)),"MAT",IF(ISNUMBER(MATCH($A563,'Mão de Obra e Serviços'!$A$4:$A$200,0)),"MO","CÓDIGO?")))</f>
        <v/>
      </c>
      <c r="C563" s="54" t="str">
        <f aca="false">IF($A563="","",IFERROR(INDEX('Cotação de Materiais'!$C$4:$C$200,MATCH($A563,'Cotação de Materiais'!$A$4:$A$200,0)),IFERROR(INDEX('Mão de Obra e Serviços'!$B$4:$B$200,MATCH($A563,'Mão de Obra e Serviços'!$A$4:$A$200,0)),"")))</f>
        <v/>
      </c>
      <c r="D563" s="43"/>
      <c r="E563" s="43"/>
      <c r="F563" s="43"/>
      <c r="G563" s="57" t="str">
        <f aca="false">IF($A563="","",E563*IF(F563="",1,F563))</f>
        <v/>
      </c>
      <c r="H563" s="31" t="str">
        <f aca="false">IF($A563="","",IF(SUMIF($A$6:$A$600,$A563,$G$6:$G$600)=0,0,G563/SUMIF($A$6:$A$600,$A563,$G$6:$G$600)))</f>
        <v/>
      </c>
      <c r="I563" s="30" t="str">
        <f aca="false">IF($A563="","",IFERROR(INDEX('Cotação de Materiais'!$H$4:$H$200,MATCH($A563,'Cotação de Materiais'!$A$4:$A$200,0)),IFERROR(INDEX('Mão de Obra e Serviços'!$G$4:$G$200,MATCH($A563,'Mão de Obra e Serviços'!$A$4:$A$200,0)),0)))</f>
        <v/>
      </c>
      <c r="K563" s="30" t="str">
        <f aca="false">IF($A563="","",I563*H563)</f>
        <v/>
      </c>
      <c r="L563" s="58"/>
      <c r="M563" s="54" t="str">
        <f aca="false">IF($A563="","",IF(B563="CÓDIGO?","CÓDIGO NÃO ACHADO",IF($D563="","FALTA ITEM DO ANEXO",IF($D563="INDIRETO","",IF(COUNTIFS('Anexo III'!$B$8:$B$400,$D563,'Anexo III'!$E$8:$E$400,"&gt;0")=0,"ITEM NÃO ACHADO NO ANEXO","")))))</f>
        <v/>
      </c>
    </row>
    <row r="564" customFormat="false" ht="15" hidden="false" customHeight="false" outlineLevel="0" collapsed="false">
      <c r="A564" s="43"/>
      <c r="B564" s="53" t="str">
        <f aca="false">IF($A564="","",IF(ISNUMBER(MATCH($A564,'Cotação de Materiais'!$A$4:$A$200,0)),"MAT",IF(ISNUMBER(MATCH($A564,'Mão de Obra e Serviços'!$A$4:$A$200,0)),"MO","CÓDIGO?")))</f>
        <v/>
      </c>
      <c r="C564" s="54" t="str">
        <f aca="false">IF($A564="","",IFERROR(INDEX('Cotação de Materiais'!$C$4:$C$200,MATCH($A564,'Cotação de Materiais'!$A$4:$A$200,0)),IFERROR(INDEX('Mão de Obra e Serviços'!$B$4:$B$200,MATCH($A564,'Mão de Obra e Serviços'!$A$4:$A$200,0)),"")))</f>
        <v/>
      </c>
      <c r="D564" s="43"/>
      <c r="E564" s="43"/>
      <c r="F564" s="43"/>
      <c r="G564" s="57" t="str">
        <f aca="false">IF($A564="","",E564*IF(F564="",1,F564))</f>
        <v/>
      </c>
      <c r="H564" s="31" t="str">
        <f aca="false">IF($A564="","",IF(SUMIF($A$6:$A$600,$A564,$G$6:$G$600)=0,0,G564/SUMIF($A$6:$A$600,$A564,$G$6:$G$600)))</f>
        <v/>
      </c>
      <c r="I564" s="30" t="str">
        <f aca="false">IF($A564="","",IFERROR(INDEX('Cotação de Materiais'!$H$4:$H$200,MATCH($A564,'Cotação de Materiais'!$A$4:$A$200,0)),IFERROR(INDEX('Mão de Obra e Serviços'!$G$4:$G$200,MATCH($A564,'Mão de Obra e Serviços'!$A$4:$A$200,0)),0)))</f>
        <v/>
      </c>
      <c r="K564" s="30" t="str">
        <f aca="false">IF($A564="","",I564*H564)</f>
        <v/>
      </c>
      <c r="L564" s="58"/>
      <c r="M564" s="54" t="str">
        <f aca="false">IF($A564="","",IF(B564="CÓDIGO?","CÓDIGO NÃO ACHADO",IF($D564="","FALTA ITEM DO ANEXO",IF($D564="INDIRETO","",IF(COUNTIFS('Anexo III'!$B$8:$B$400,$D564,'Anexo III'!$E$8:$E$400,"&gt;0")=0,"ITEM NÃO ACHADO NO ANEXO","")))))</f>
        <v/>
      </c>
    </row>
    <row r="565" customFormat="false" ht="15" hidden="false" customHeight="false" outlineLevel="0" collapsed="false">
      <c r="A565" s="43"/>
      <c r="B565" s="53" t="str">
        <f aca="false">IF($A565="","",IF(ISNUMBER(MATCH($A565,'Cotação de Materiais'!$A$4:$A$200,0)),"MAT",IF(ISNUMBER(MATCH($A565,'Mão de Obra e Serviços'!$A$4:$A$200,0)),"MO","CÓDIGO?")))</f>
        <v/>
      </c>
      <c r="C565" s="54" t="str">
        <f aca="false">IF($A565="","",IFERROR(INDEX('Cotação de Materiais'!$C$4:$C$200,MATCH($A565,'Cotação de Materiais'!$A$4:$A$200,0)),IFERROR(INDEX('Mão de Obra e Serviços'!$B$4:$B$200,MATCH($A565,'Mão de Obra e Serviços'!$A$4:$A$200,0)),"")))</f>
        <v/>
      </c>
      <c r="D565" s="43"/>
      <c r="E565" s="43"/>
      <c r="F565" s="43"/>
      <c r="G565" s="57" t="str">
        <f aca="false">IF($A565="","",E565*IF(F565="",1,F565))</f>
        <v/>
      </c>
      <c r="H565" s="31" t="str">
        <f aca="false">IF($A565="","",IF(SUMIF($A$6:$A$600,$A565,$G$6:$G$600)=0,0,G565/SUMIF($A$6:$A$600,$A565,$G$6:$G$600)))</f>
        <v/>
      </c>
      <c r="I565" s="30" t="str">
        <f aca="false">IF($A565="","",IFERROR(INDEX('Cotação de Materiais'!$H$4:$H$200,MATCH($A565,'Cotação de Materiais'!$A$4:$A$200,0)),IFERROR(INDEX('Mão de Obra e Serviços'!$G$4:$G$200,MATCH($A565,'Mão de Obra e Serviços'!$A$4:$A$200,0)),0)))</f>
        <v/>
      </c>
      <c r="K565" s="30" t="str">
        <f aca="false">IF($A565="","",I565*H565)</f>
        <v/>
      </c>
      <c r="L565" s="58"/>
      <c r="M565" s="54" t="str">
        <f aca="false">IF($A565="","",IF(B565="CÓDIGO?","CÓDIGO NÃO ACHADO",IF($D565="","FALTA ITEM DO ANEXO",IF($D565="INDIRETO","",IF(COUNTIFS('Anexo III'!$B$8:$B$400,$D565,'Anexo III'!$E$8:$E$400,"&gt;0")=0,"ITEM NÃO ACHADO NO ANEXO","")))))</f>
        <v/>
      </c>
    </row>
    <row r="566" customFormat="false" ht="15" hidden="false" customHeight="false" outlineLevel="0" collapsed="false">
      <c r="A566" s="43"/>
      <c r="B566" s="53" t="str">
        <f aca="false">IF($A566="","",IF(ISNUMBER(MATCH($A566,'Cotação de Materiais'!$A$4:$A$200,0)),"MAT",IF(ISNUMBER(MATCH($A566,'Mão de Obra e Serviços'!$A$4:$A$200,0)),"MO","CÓDIGO?")))</f>
        <v/>
      </c>
      <c r="C566" s="54" t="str">
        <f aca="false">IF($A566="","",IFERROR(INDEX('Cotação de Materiais'!$C$4:$C$200,MATCH($A566,'Cotação de Materiais'!$A$4:$A$200,0)),IFERROR(INDEX('Mão de Obra e Serviços'!$B$4:$B$200,MATCH($A566,'Mão de Obra e Serviços'!$A$4:$A$200,0)),"")))</f>
        <v/>
      </c>
      <c r="D566" s="43"/>
      <c r="E566" s="43"/>
      <c r="F566" s="43"/>
      <c r="G566" s="57" t="str">
        <f aca="false">IF($A566="","",E566*IF(F566="",1,F566))</f>
        <v/>
      </c>
      <c r="H566" s="31" t="str">
        <f aca="false">IF($A566="","",IF(SUMIF($A$6:$A$600,$A566,$G$6:$G$600)=0,0,G566/SUMIF($A$6:$A$600,$A566,$G$6:$G$600)))</f>
        <v/>
      </c>
      <c r="I566" s="30" t="str">
        <f aca="false">IF($A566="","",IFERROR(INDEX('Cotação de Materiais'!$H$4:$H$200,MATCH($A566,'Cotação de Materiais'!$A$4:$A$200,0)),IFERROR(INDEX('Mão de Obra e Serviços'!$G$4:$G$200,MATCH($A566,'Mão de Obra e Serviços'!$A$4:$A$200,0)),0)))</f>
        <v/>
      </c>
      <c r="K566" s="30" t="str">
        <f aca="false">IF($A566="","",I566*H566)</f>
        <v/>
      </c>
      <c r="L566" s="58"/>
      <c r="M566" s="54" t="str">
        <f aca="false">IF($A566="","",IF(B566="CÓDIGO?","CÓDIGO NÃO ACHADO",IF($D566="","FALTA ITEM DO ANEXO",IF($D566="INDIRETO","",IF(COUNTIFS('Anexo III'!$B$8:$B$400,$D566,'Anexo III'!$E$8:$E$400,"&gt;0")=0,"ITEM NÃO ACHADO NO ANEXO","")))))</f>
        <v/>
      </c>
    </row>
    <row r="567" customFormat="false" ht="15" hidden="false" customHeight="false" outlineLevel="0" collapsed="false">
      <c r="A567" s="43"/>
      <c r="B567" s="53" t="str">
        <f aca="false">IF($A567="","",IF(ISNUMBER(MATCH($A567,'Cotação de Materiais'!$A$4:$A$200,0)),"MAT",IF(ISNUMBER(MATCH($A567,'Mão de Obra e Serviços'!$A$4:$A$200,0)),"MO","CÓDIGO?")))</f>
        <v/>
      </c>
      <c r="C567" s="54" t="str">
        <f aca="false">IF($A567="","",IFERROR(INDEX('Cotação de Materiais'!$C$4:$C$200,MATCH($A567,'Cotação de Materiais'!$A$4:$A$200,0)),IFERROR(INDEX('Mão de Obra e Serviços'!$B$4:$B$200,MATCH($A567,'Mão de Obra e Serviços'!$A$4:$A$200,0)),"")))</f>
        <v/>
      </c>
      <c r="D567" s="43"/>
      <c r="E567" s="43"/>
      <c r="F567" s="43"/>
      <c r="G567" s="57" t="str">
        <f aca="false">IF($A567="","",E567*IF(F567="",1,F567))</f>
        <v/>
      </c>
      <c r="H567" s="31" t="str">
        <f aca="false">IF($A567="","",IF(SUMIF($A$6:$A$600,$A567,$G$6:$G$600)=0,0,G567/SUMIF($A$6:$A$600,$A567,$G$6:$G$600)))</f>
        <v/>
      </c>
      <c r="I567" s="30" t="str">
        <f aca="false">IF($A567="","",IFERROR(INDEX('Cotação de Materiais'!$H$4:$H$200,MATCH($A567,'Cotação de Materiais'!$A$4:$A$200,0)),IFERROR(INDEX('Mão de Obra e Serviços'!$G$4:$G$200,MATCH($A567,'Mão de Obra e Serviços'!$A$4:$A$200,0)),0)))</f>
        <v/>
      </c>
      <c r="K567" s="30" t="str">
        <f aca="false">IF($A567="","",I567*H567)</f>
        <v/>
      </c>
      <c r="L567" s="58"/>
      <c r="M567" s="54" t="str">
        <f aca="false">IF($A567="","",IF(B567="CÓDIGO?","CÓDIGO NÃO ACHADO",IF($D567="","FALTA ITEM DO ANEXO",IF($D567="INDIRETO","",IF(COUNTIFS('Anexo III'!$B$8:$B$400,$D567,'Anexo III'!$E$8:$E$400,"&gt;0")=0,"ITEM NÃO ACHADO NO ANEXO","")))))</f>
        <v/>
      </c>
    </row>
    <row r="568" customFormat="false" ht="15" hidden="false" customHeight="false" outlineLevel="0" collapsed="false">
      <c r="A568" s="43"/>
      <c r="B568" s="53" t="str">
        <f aca="false">IF($A568="","",IF(ISNUMBER(MATCH($A568,'Cotação de Materiais'!$A$4:$A$200,0)),"MAT",IF(ISNUMBER(MATCH($A568,'Mão de Obra e Serviços'!$A$4:$A$200,0)),"MO","CÓDIGO?")))</f>
        <v/>
      </c>
      <c r="C568" s="54" t="str">
        <f aca="false">IF($A568="","",IFERROR(INDEX('Cotação de Materiais'!$C$4:$C$200,MATCH($A568,'Cotação de Materiais'!$A$4:$A$200,0)),IFERROR(INDEX('Mão de Obra e Serviços'!$B$4:$B$200,MATCH($A568,'Mão de Obra e Serviços'!$A$4:$A$200,0)),"")))</f>
        <v/>
      </c>
      <c r="D568" s="43"/>
      <c r="E568" s="43"/>
      <c r="F568" s="43"/>
      <c r="G568" s="57" t="str">
        <f aca="false">IF($A568="","",E568*IF(F568="",1,F568))</f>
        <v/>
      </c>
      <c r="H568" s="31" t="str">
        <f aca="false">IF($A568="","",IF(SUMIF($A$6:$A$600,$A568,$G$6:$G$600)=0,0,G568/SUMIF($A$6:$A$600,$A568,$G$6:$G$600)))</f>
        <v/>
      </c>
      <c r="I568" s="30" t="str">
        <f aca="false">IF($A568="","",IFERROR(INDEX('Cotação de Materiais'!$H$4:$H$200,MATCH($A568,'Cotação de Materiais'!$A$4:$A$200,0)),IFERROR(INDEX('Mão de Obra e Serviços'!$G$4:$G$200,MATCH($A568,'Mão de Obra e Serviços'!$A$4:$A$200,0)),0)))</f>
        <v/>
      </c>
      <c r="K568" s="30" t="str">
        <f aca="false">IF($A568="","",I568*H568)</f>
        <v/>
      </c>
      <c r="L568" s="58"/>
      <c r="M568" s="54" t="str">
        <f aca="false">IF($A568="","",IF(B568="CÓDIGO?","CÓDIGO NÃO ACHADO",IF($D568="","FALTA ITEM DO ANEXO",IF($D568="INDIRETO","",IF(COUNTIFS('Anexo III'!$B$8:$B$400,$D568,'Anexo III'!$E$8:$E$400,"&gt;0")=0,"ITEM NÃO ACHADO NO ANEXO","")))))</f>
        <v/>
      </c>
    </row>
    <row r="569" customFormat="false" ht="15" hidden="false" customHeight="false" outlineLevel="0" collapsed="false">
      <c r="A569" s="43"/>
      <c r="B569" s="53" t="str">
        <f aca="false">IF($A569="","",IF(ISNUMBER(MATCH($A569,'Cotação de Materiais'!$A$4:$A$200,0)),"MAT",IF(ISNUMBER(MATCH($A569,'Mão de Obra e Serviços'!$A$4:$A$200,0)),"MO","CÓDIGO?")))</f>
        <v/>
      </c>
      <c r="C569" s="54" t="str">
        <f aca="false">IF($A569="","",IFERROR(INDEX('Cotação de Materiais'!$C$4:$C$200,MATCH($A569,'Cotação de Materiais'!$A$4:$A$200,0)),IFERROR(INDEX('Mão de Obra e Serviços'!$B$4:$B$200,MATCH($A569,'Mão de Obra e Serviços'!$A$4:$A$200,0)),"")))</f>
        <v/>
      </c>
      <c r="D569" s="43"/>
      <c r="E569" s="43"/>
      <c r="F569" s="43"/>
      <c r="G569" s="57" t="str">
        <f aca="false">IF($A569="","",E569*IF(F569="",1,F569))</f>
        <v/>
      </c>
      <c r="H569" s="31" t="str">
        <f aca="false">IF($A569="","",IF(SUMIF($A$6:$A$600,$A569,$G$6:$G$600)=0,0,G569/SUMIF($A$6:$A$600,$A569,$G$6:$G$600)))</f>
        <v/>
      </c>
      <c r="I569" s="30" t="str">
        <f aca="false">IF($A569="","",IFERROR(INDEX('Cotação de Materiais'!$H$4:$H$200,MATCH($A569,'Cotação de Materiais'!$A$4:$A$200,0)),IFERROR(INDEX('Mão de Obra e Serviços'!$G$4:$G$200,MATCH($A569,'Mão de Obra e Serviços'!$A$4:$A$200,0)),0)))</f>
        <v/>
      </c>
      <c r="K569" s="30" t="str">
        <f aca="false">IF($A569="","",I569*H569)</f>
        <v/>
      </c>
      <c r="L569" s="58"/>
      <c r="M569" s="54" t="str">
        <f aca="false">IF($A569="","",IF(B569="CÓDIGO?","CÓDIGO NÃO ACHADO",IF($D569="","FALTA ITEM DO ANEXO",IF($D569="INDIRETO","",IF(COUNTIFS('Anexo III'!$B$8:$B$400,$D569,'Anexo III'!$E$8:$E$400,"&gt;0")=0,"ITEM NÃO ACHADO NO ANEXO","")))))</f>
        <v/>
      </c>
    </row>
    <row r="570" customFormat="false" ht="15" hidden="false" customHeight="false" outlineLevel="0" collapsed="false">
      <c r="A570" s="43"/>
      <c r="B570" s="53" t="str">
        <f aca="false">IF($A570="","",IF(ISNUMBER(MATCH($A570,'Cotação de Materiais'!$A$4:$A$200,0)),"MAT",IF(ISNUMBER(MATCH($A570,'Mão de Obra e Serviços'!$A$4:$A$200,0)),"MO","CÓDIGO?")))</f>
        <v/>
      </c>
      <c r="C570" s="54" t="str">
        <f aca="false">IF($A570="","",IFERROR(INDEX('Cotação de Materiais'!$C$4:$C$200,MATCH($A570,'Cotação de Materiais'!$A$4:$A$200,0)),IFERROR(INDEX('Mão de Obra e Serviços'!$B$4:$B$200,MATCH($A570,'Mão de Obra e Serviços'!$A$4:$A$200,0)),"")))</f>
        <v/>
      </c>
      <c r="D570" s="43"/>
      <c r="E570" s="43"/>
      <c r="F570" s="43"/>
      <c r="G570" s="57" t="str">
        <f aca="false">IF($A570="","",E570*IF(F570="",1,F570))</f>
        <v/>
      </c>
      <c r="H570" s="31" t="str">
        <f aca="false">IF($A570="","",IF(SUMIF($A$6:$A$600,$A570,$G$6:$G$600)=0,0,G570/SUMIF($A$6:$A$600,$A570,$G$6:$G$600)))</f>
        <v/>
      </c>
      <c r="I570" s="30" t="str">
        <f aca="false">IF($A570="","",IFERROR(INDEX('Cotação de Materiais'!$H$4:$H$200,MATCH($A570,'Cotação de Materiais'!$A$4:$A$200,0)),IFERROR(INDEX('Mão de Obra e Serviços'!$G$4:$G$200,MATCH($A570,'Mão de Obra e Serviços'!$A$4:$A$200,0)),0)))</f>
        <v/>
      </c>
      <c r="K570" s="30" t="str">
        <f aca="false">IF($A570="","",I570*H570)</f>
        <v/>
      </c>
      <c r="L570" s="58"/>
      <c r="M570" s="54" t="str">
        <f aca="false">IF($A570="","",IF(B570="CÓDIGO?","CÓDIGO NÃO ACHADO",IF($D570="","FALTA ITEM DO ANEXO",IF($D570="INDIRETO","",IF(COUNTIFS('Anexo III'!$B$8:$B$400,$D570,'Anexo III'!$E$8:$E$400,"&gt;0")=0,"ITEM NÃO ACHADO NO ANEXO","")))))</f>
        <v/>
      </c>
    </row>
    <row r="571" customFormat="false" ht="15" hidden="false" customHeight="false" outlineLevel="0" collapsed="false">
      <c r="A571" s="43"/>
      <c r="B571" s="53" t="str">
        <f aca="false">IF($A571="","",IF(ISNUMBER(MATCH($A571,'Cotação de Materiais'!$A$4:$A$200,0)),"MAT",IF(ISNUMBER(MATCH($A571,'Mão de Obra e Serviços'!$A$4:$A$200,0)),"MO","CÓDIGO?")))</f>
        <v/>
      </c>
      <c r="C571" s="54" t="str">
        <f aca="false">IF($A571="","",IFERROR(INDEX('Cotação de Materiais'!$C$4:$C$200,MATCH($A571,'Cotação de Materiais'!$A$4:$A$200,0)),IFERROR(INDEX('Mão de Obra e Serviços'!$B$4:$B$200,MATCH($A571,'Mão de Obra e Serviços'!$A$4:$A$200,0)),"")))</f>
        <v/>
      </c>
      <c r="D571" s="43"/>
      <c r="E571" s="43"/>
      <c r="F571" s="43"/>
      <c r="G571" s="57" t="str">
        <f aca="false">IF($A571="","",E571*IF(F571="",1,F571))</f>
        <v/>
      </c>
      <c r="H571" s="31" t="str">
        <f aca="false">IF($A571="","",IF(SUMIF($A$6:$A$600,$A571,$G$6:$G$600)=0,0,G571/SUMIF($A$6:$A$600,$A571,$G$6:$G$600)))</f>
        <v/>
      </c>
      <c r="I571" s="30" t="str">
        <f aca="false">IF($A571="","",IFERROR(INDEX('Cotação de Materiais'!$H$4:$H$200,MATCH($A571,'Cotação de Materiais'!$A$4:$A$200,0)),IFERROR(INDEX('Mão de Obra e Serviços'!$G$4:$G$200,MATCH($A571,'Mão de Obra e Serviços'!$A$4:$A$200,0)),0)))</f>
        <v/>
      </c>
      <c r="K571" s="30" t="str">
        <f aca="false">IF($A571="","",I571*H571)</f>
        <v/>
      </c>
      <c r="L571" s="58"/>
      <c r="M571" s="54" t="str">
        <f aca="false">IF($A571="","",IF(B571="CÓDIGO?","CÓDIGO NÃO ACHADO",IF($D571="","FALTA ITEM DO ANEXO",IF($D571="INDIRETO","",IF(COUNTIFS('Anexo III'!$B$8:$B$400,$D571,'Anexo III'!$E$8:$E$400,"&gt;0")=0,"ITEM NÃO ACHADO NO ANEXO","")))))</f>
        <v/>
      </c>
    </row>
    <row r="572" customFormat="false" ht="15" hidden="false" customHeight="false" outlineLevel="0" collapsed="false">
      <c r="A572" s="43"/>
      <c r="B572" s="53" t="str">
        <f aca="false">IF($A572="","",IF(ISNUMBER(MATCH($A572,'Cotação de Materiais'!$A$4:$A$200,0)),"MAT",IF(ISNUMBER(MATCH($A572,'Mão de Obra e Serviços'!$A$4:$A$200,0)),"MO","CÓDIGO?")))</f>
        <v/>
      </c>
      <c r="C572" s="54" t="str">
        <f aca="false">IF($A572="","",IFERROR(INDEX('Cotação de Materiais'!$C$4:$C$200,MATCH($A572,'Cotação de Materiais'!$A$4:$A$200,0)),IFERROR(INDEX('Mão de Obra e Serviços'!$B$4:$B$200,MATCH($A572,'Mão de Obra e Serviços'!$A$4:$A$200,0)),"")))</f>
        <v/>
      </c>
      <c r="D572" s="43"/>
      <c r="E572" s="43"/>
      <c r="F572" s="43"/>
      <c r="G572" s="57" t="str">
        <f aca="false">IF($A572="","",E572*IF(F572="",1,F572))</f>
        <v/>
      </c>
      <c r="H572" s="31" t="str">
        <f aca="false">IF($A572="","",IF(SUMIF($A$6:$A$600,$A572,$G$6:$G$600)=0,0,G572/SUMIF($A$6:$A$600,$A572,$G$6:$G$600)))</f>
        <v/>
      </c>
      <c r="I572" s="30" t="str">
        <f aca="false">IF($A572="","",IFERROR(INDEX('Cotação de Materiais'!$H$4:$H$200,MATCH($A572,'Cotação de Materiais'!$A$4:$A$200,0)),IFERROR(INDEX('Mão de Obra e Serviços'!$G$4:$G$200,MATCH($A572,'Mão de Obra e Serviços'!$A$4:$A$200,0)),0)))</f>
        <v/>
      </c>
      <c r="K572" s="30" t="str">
        <f aca="false">IF($A572="","",I572*H572)</f>
        <v/>
      </c>
      <c r="L572" s="58"/>
      <c r="M572" s="54" t="str">
        <f aca="false">IF($A572="","",IF(B572="CÓDIGO?","CÓDIGO NÃO ACHADO",IF($D572="","FALTA ITEM DO ANEXO",IF($D572="INDIRETO","",IF(COUNTIFS('Anexo III'!$B$8:$B$400,$D572,'Anexo III'!$E$8:$E$400,"&gt;0")=0,"ITEM NÃO ACHADO NO ANEXO","")))))</f>
        <v/>
      </c>
    </row>
    <row r="573" customFormat="false" ht="15" hidden="false" customHeight="false" outlineLevel="0" collapsed="false">
      <c r="A573" s="43"/>
      <c r="B573" s="53" t="str">
        <f aca="false">IF($A573="","",IF(ISNUMBER(MATCH($A573,'Cotação de Materiais'!$A$4:$A$200,0)),"MAT",IF(ISNUMBER(MATCH($A573,'Mão de Obra e Serviços'!$A$4:$A$200,0)),"MO","CÓDIGO?")))</f>
        <v/>
      </c>
      <c r="C573" s="54" t="str">
        <f aca="false">IF($A573="","",IFERROR(INDEX('Cotação de Materiais'!$C$4:$C$200,MATCH($A573,'Cotação de Materiais'!$A$4:$A$200,0)),IFERROR(INDEX('Mão de Obra e Serviços'!$B$4:$B$200,MATCH($A573,'Mão de Obra e Serviços'!$A$4:$A$200,0)),"")))</f>
        <v/>
      </c>
      <c r="D573" s="43"/>
      <c r="E573" s="43"/>
      <c r="F573" s="43"/>
      <c r="G573" s="57" t="str">
        <f aca="false">IF($A573="","",E573*IF(F573="",1,F573))</f>
        <v/>
      </c>
      <c r="H573" s="31" t="str">
        <f aca="false">IF($A573="","",IF(SUMIF($A$6:$A$600,$A573,$G$6:$G$600)=0,0,G573/SUMIF($A$6:$A$600,$A573,$G$6:$G$600)))</f>
        <v/>
      </c>
      <c r="I573" s="30" t="str">
        <f aca="false">IF($A573="","",IFERROR(INDEX('Cotação de Materiais'!$H$4:$H$200,MATCH($A573,'Cotação de Materiais'!$A$4:$A$200,0)),IFERROR(INDEX('Mão de Obra e Serviços'!$G$4:$G$200,MATCH($A573,'Mão de Obra e Serviços'!$A$4:$A$200,0)),0)))</f>
        <v/>
      </c>
      <c r="K573" s="30" t="str">
        <f aca="false">IF($A573="","",I573*H573)</f>
        <v/>
      </c>
      <c r="L573" s="58"/>
      <c r="M573" s="54" t="str">
        <f aca="false">IF($A573="","",IF(B573="CÓDIGO?","CÓDIGO NÃO ACHADO",IF($D573="","FALTA ITEM DO ANEXO",IF($D573="INDIRETO","",IF(COUNTIFS('Anexo III'!$B$8:$B$400,$D573,'Anexo III'!$E$8:$E$400,"&gt;0")=0,"ITEM NÃO ACHADO NO ANEXO","")))))</f>
        <v/>
      </c>
    </row>
    <row r="574" customFormat="false" ht="15" hidden="false" customHeight="false" outlineLevel="0" collapsed="false">
      <c r="A574" s="43"/>
      <c r="B574" s="53" t="str">
        <f aca="false">IF($A574="","",IF(ISNUMBER(MATCH($A574,'Cotação de Materiais'!$A$4:$A$200,0)),"MAT",IF(ISNUMBER(MATCH($A574,'Mão de Obra e Serviços'!$A$4:$A$200,0)),"MO","CÓDIGO?")))</f>
        <v/>
      </c>
      <c r="C574" s="54" t="str">
        <f aca="false">IF($A574="","",IFERROR(INDEX('Cotação de Materiais'!$C$4:$C$200,MATCH($A574,'Cotação de Materiais'!$A$4:$A$200,0)),IFERROR(INDEX('Mão de Obra e Serviços'!$B$4:$B$200,MATCH($A574,'Mão de Obra e Serviços'!$A$4:$A$200,0)),"")))</f>
        <v/>
      </c>
      <c r="D574" s="43"/>
      <c r="E574" s="43"/>
      <c r="F574" s="43"/>
      <c r="G574" s="57" t="str">
        <f aca="false">IF($A574="","",E574*IF(F574="",1,F574))</f>
        <v/>
      </c>
      <c r="H574" s="31" t="str">
        <f aca="false">IF($A574="","",IF(SUMIF($A$6:$A$600,$A574,$G$6:$G$600)=0,0,G574/SUMIF($A$6:$A$600,$A574,$G$6:$G$600)))</f>
        <v/>
      </c>
      <c r="I574" s="30" t="str">
        <f aca="false">IF($A574="","",IFERROR(INDEX('Cotação de Materiais'!$H$4:$H$200,MATCH($A574,'Cotação de Materiais'!$A$4:$A$200,0)),IFERROR(INDEX('Mão de Obra e Serviços'!$G$4:$G$200,MATCH($A574,'Mão de Obra e Serviços'!$A$4:$A$200,0)),0)))</f>
        <v/>
      </c>
      <c r="K574" s="30" t="str">
        <f aca="false">IF($A574="","",I574*H574)</f>
        <v/>
      </c>
      <c r="L574" s="58"/>
      <c r="M574" s="54" t="str">
        <f aca="false">IF($A574="","",IF(B574="CÓDIGO?","CÓDIGO NÃO ACHADO",IF($D574="","FALTA ITEM DO ANEXO",IF($D574="INDIRETO","",IF(COUNTIFS('Anexo III'!$B$8:$B$400,$D574,'Anexo III'!$E$8:$E$400,"&gt;0")=0,"ITEM NÃO ACHADO NO ANEXO","")))))</f>
        <v/>
      </c>
    </row>
    <row r="575" customFormat="false" ht="15" hidden="false" customHeight="false" outlineLevel="0" collapsed="false">
      <c r="A575" s="43"/>
      <c r="B575" s="53" t="str">
        <f aca="false">IF($A575="","",IF(ISNUMBER(MATCH($A575,'Cotação de Materiais'!$A$4:$A$200,0)),"MAT",IF(ISNUMBER(MATCH($A575,'Mão de Obra e Serviços'!$A$4:$A$200,0)),"MO","CÓDIGO?")))</f>
        <v/>
      </c>
      <c r="C575" s="54" t="str">
        <f aca="false">IF($A575="","",IFERROR(INDEX('Cotação de Materiais'!$C$4:$C$200,MATCH($A575,'Cotação de Materiais'!$A$4:$A$200,0)),IFERROR(INDEX('Mão de Obra e Serviços'!$B$4:$B$200,MATCH($A575,'Mão de Obra e Serviços'!$A$4:$A$200,0)),"")))</f>
        <v/>
      </c>
      <c r="D575" s="43"/>
      <c r="E575" s="43"/>
      <c r="F575" s="43"/>
      <c r="G575" s="57" t="str">
        <f aca="false">IF($A575="","",E575*IF(F575="",1,F575))</f>
        <v/>
      </c>
      <c r="H575" s="31" t="str">
        <f aca="false">IF($A575="","",IF(SUMIF($A$6:$A$600,$A575,$G$6:$G$600)=0,0,G575/SUMIF($A$6:$A$600,$A575,$G$6:$G$600)))</f>
        <v/>
      </c>
      <c r="I575" s="30" t="str">
        <f aca="false">IF($A575="","",IFERROR(INDEX('Cotação de Materiais'!$H$4:$H$200,MATCH($A575,'Cotação de Materiais'!$A$4:$A$200,0)),IFERROR(INDEX('Mão de Obra e Serviços'!$G$4:$G$200,MATCH($A575,'Mão de Obra e Serviços'!$A$4:$A$200,0)),0)))</f>
        <v/>
      </c>
      <c r="K575" s="30" t="str">
        <f aca="false">IF($A575="","",I575*H575)</f>
        <v/>
      </c>
      <c r="L575" s="58"/>
      <c r="M575" s="54" t="str">
        <f aca="false">IF($A575="","",IF(B575="CÓDIGO?","CÓDIGO NÃO ACHADO",IF($D575="","FALTA ITEM DO ANEXO",IF($D575="INDIRETO","",IF(COUNTIFS('Anexo III'!$B$8:$B$400,$D575,'Anexo III'!$E$8:$E$400,"&gt;0")=0,"ITEM NÃO ACHADO NO ANEXO","")))))</f>
        <v/>
      </c>
    </row>
    <row r="576" customFormat="false" ht="15" hidden="false" customHeight="false" outlineLevel="0" collapsed="false">
      <c r="A576" s="43"/>
      <c r="B576" s="53" t="str">
        <f aca="false">IF($A576="","",IF(ISNUMBER(MATCH($A576,'Cotação de Materiais'!$A$4:$A$200,0)),"MAT",IF(ISNUMBER(MATCH($A576,'Mão de Obra e Serviços'!$A$4:$A$200,0)),"MO","CÓDIGO?")))</f>
        <v/>
      </c>
      <c r="C576" s="54" t="str">
        <f aca="false">IF($A576="","",IFERROR(INDEX('Cotação de Materiais'!$C$4:$C$200,MATCH($A576,'Cotação de Materiais'!$A$4:$A$200,0)),IFERROR(INDEX('Mão de Obra e Serviços'!$B$4:$B$200,MATCH($A576,'Mão de Obra e Serviços'!$A$4:$A$200,0)),"")))</f>
        <v/>
      </c>
      <c r="D576" s="43"/>
      <c r="E576" s="43"/>
      <c r="F576" s="43"/>
      <c r="G576" s="57" t="str">
        <f aca="false">IF($A576="","",E576*IF(F576="",1,F576))</f>
        <v/>
      </c>
      <c r="H576" s="31" t="str">
        <f aca="false">IF($A576="","",IF(SUMIF($A$6:$A$600,$A576,$G$6:$G$600)=0,0,G576/SUMIF($A$6:$A$600,$A576,$G$6:$G$600)))</f>
        <v/>
      </c>
      <c r="I576" s="30" t="str">
        <f aca="false">IF($A576="","",IFERROR(INDEX('Cotação de Materiais'!$H$4:$H$200,MATCH($A576,'Cotação de Materiais'!$A$4:$A$200,0)),IFERROR(INDEX('Mão de Obra e Serviços'!$G$4:$G$200,MATCH($A576,'Mão de Obra e Serviços'!$A$4:$A$200,0)),0)))</f>
        <v/>
      </c>
      <c r="K576" s="30" t="str">
        <f aca="false">IF($A576="","",I576*H576)</f>
        <v/>
      </c>
      <c r="L576" s="58"/>
      <c r="M576" s="54" t="str">
        <f aca="false">IF($A576="","",IF(B576="CÓDIGO?","CÓDIGO NÃO ACHADO",IF($D576="","FALTA ITEM DO ANEXO",IF($D576="INDIRETO","",IF(COUNTIFS('Anexo III'!$B$8:$B$400,$D576,'Anexo III'!$E$8:$E$400,"&gt;0")=0,"ITEM NÃO ACHADO NO ANEXO","")))))</f>
        <v/>
      </c>
    </row>
    <row r="577" customFormat="false" ht="15" hidden="false" customHeight="false" outlineLevel="0" collapsed="false">
      <c r="A577" s="43"/>
      <c r="B577" s="53" t="str">
        <f aca="false">IF($A577="","",IF(ISNUMBER(MATCH($A577,'Cotação de Materiais'!$A$4:$A$200,0)),"MAT",IF(ISNUMBER(MATCH($A577,'Mão de Obra e Serviços'!$A$4:$A$200,0)),"MO","CÓDIGO?")))</f>
        <v/>
      </c>
      <c r="C577" s="54" t="str">
        <f aca="false">IF($A577="","",IFERROR(INDEX('Cotação de Materiais'!$C$4:$C$200,MATCH($A577,'Cotação de Materiais'!$A$4:$A$200,0)),IFERROR(INDEX('Mão de Obra e Serviços'!$B$4:$B$200,MATCH($A577,'Mão de Obra e Serviços'!$A$4:$A$200,0)),"")))</f>
        <v/>
      </c>
      <c r="D577" s="43"/>
      <c r="E577" s="43"/>
      <c r="F577" s="43"/>
      <c r="G577" s="57" t="str">
        <f aca="false">IF($A577="","",E577*IF(F577="",1,F577))</f>
        <v/>
      </c>
      <c r="H577" s="31" t="str">
        <f aca="false">IF($A577="","",IF(SUMIF($A$6:$A$600,$A577,$G$6:$G$600)=0,0,G577/SUMIF($A$6:$A$600,$A577,$G$6:$G$600)))</f>
        <v/>
      </c>
      <c r="I577" s="30" t="str">
        <f aca="false">IF($A577="","",IFERROR(INDEX('Cotação de Materiais'!$H$4:$H$200,MATCH($A577,'Cotação de Materiais'!$A$4:$A$200,0)),IFERROR(INDEX('Mão de Obra e Serviços'!$G$4:$G$200,MATCH($A577,'Mão de Obra e Serviços'!$A$4:$A$200,0)),0)))</f>
        <v/>
      </c>
      <c r="K577" s="30" t="str">
        <f aca="false">IF($A577="","",I577*H577)</f>
        <v/>
      </c>
      <c r="L577" s="58"/>
      <c r="M577" s="54" t="str">
        <f aca="false">IF($A577="","",IF(B577="CÓDIGO?","CÓDIGO NÃO ACHADO",IF($D577="","FALTA ITEM DO ANEXO",IF($D577="INDIRETO","",IF(COUNTIFS('Anexo III'!$B$8:$B$400,$D577,'Anexo III'!$E$8:$E$400,"&gt;0")=0,"ITEM NÃO ACHADO NO ANEXO","")))))</f>
        <v/>
      </c>
    </row>
    <row r="578" customFormat="false" ht="15" hidden="false" customHeight="false" outlineLevel="0" collapsed="false">
      <c r="A578" s="43"/>
      <c r="B578" s="53" t="str">
        <f aca="false">IF($A578="","",IF(ISNUMBER(MATCH($A578,'Cotação de Materiais'!$A$4:$A$200,0)),"MAT",IF(ISNUMBER(MATCH($A578,'Mão de Obra e Serviços'!$A$4:$A$200,0)),"MO","CÓDIGO?")))</f>
        <v/>
      </c>
      <c r="C578" s="54" t="str">
        <f aca="false">IF($A578="","",IFERROR(INDEX('Cotação de Materiais'!$C$4:$C$200,MATCH($A578,'Cotação de Materiais'!$A$4:$A$200,0)),IFERROR(INDEX('Mão de Obra e Serviços'!$B$4:$B$200,MATCH($A578,'Mão de Obra e Serviços'!$A$4:$A$200,0)),"")))</f>
        <v/>
      </c>
      <c r="D578" s="43"/>
      <c r="E578" s="43"/>
      <c r="F578" s="43"/>
      <c r="G578" s="57" t="str">
        <f aca="false">IF($A578="","",E578*IF(F578="",1,F578))</f>
        <v/>
      </c>
      <c r="H578" s="31" t="str">
        <f aca="false">IF($A578="","",IF(SUMIF($A$6:$A$600,$A578,$G$6:$G$600)=0,0,G578/SUMIF($A$6:$A$600,$A578,$G$6:$G$600)))</f>
        <v/>
      </c>
      <c r="I578" s="30" t="str">
        <f aca="false">IF($A578="","",IFERROR(INDEX('Cotação de Materiais'!$H$4:$H$200,MATCH($A578,'Cotação de Materiais'!$A$4:$A$200,0)),IFERROR(INDEX('Mão de Obra e Serviços'!$G$4:$G$200,MATCH($A578,'Mão de Obra e Serviços'!$A$4:$A$200,0)),0)))</f>
        <v/>
      </c>
      <c r="K578" s="30" t="str">
        <f aca="false">IF($A578="","",I578*H578)</f>
        <v/>
      </c>
      <c r="L578" s="58"/>
      <c r="M578" s="54" t="str">
        <f aca="false">IF($A578="","",IF(B578="CÓDIGO?","CÓDIGO NÃO ACHADO",IF($D578="","FALTA ITEM DO ANEXO",IF($D578="INDIRETO","",IF(COUNTIFS('Anexo III'!$B$8:$B$400,$D578,'Anexo III'!$E$8:$E$400,"&gt;0")=0,"ITEM NÃO ACHADO NO ANEXO","")))))</f>
        <v/>
      </c>
    </row>
    <row r="579" customFormat="false" ht="15" hidden="false" customHeight="false" outlineLevel="0" collapsed="false">
      <c r="A579" s="43"/>
      <c r="B579" s="53" t="str">
        <f aca="false">IF($A579="","",IF(ISNUMBER(MATCH($A579,'Cotação de Materiais'!$A$4:$A$200,0)),"MAT",IF(ISNUMBER(MATCH($A579,'Mão de Obra e Serviços'!$A$4:$A$200,0)),"MO","CÓDIGO?")))</f>
        <v/>
      </c>
      <c r="C579" s="54" t="str">
        <f aca="false">IF($A579="","",IFERROR(INDEX('Cotação de Materiais'!$C$4:$C$200,MATCH($A579,'Cotação de Materiais'!$A$4:$A$200,0)),IFERROR(INDEX('Mão de Obra e Serviços'!$B$4:$B$200,MATCH($A579,'Mão de Obra e Serviços'!$A$4:$A$200,0)),"")))</f>
        <v/>
      </c>
      <c r="D579" s="43"/>
      <c r="E579" s="43"/>
      <c r="F579" s="43"/>
      <c r="G579" s="57" t="str">
        <f aca="false">IF($A579="","",E579*IF(F579="",1,F579))</f>
        <v/>
      </c>
      <c r="H579" s="31" t="str">
        <f aca="false">IF($A579="","",IF(SUMIF($A$6:$A$600,$A579,$G$6:$G$600)=0,0,G579/SUMIF($A$6:$A$600,$A579,$G$6:$G$600)))</f>
        <v/>
      </c>
      <c r="I579" s="30" t="str">
        <f aca="false">IF($A579="","",IFERROR(INDEX('Cotação de Materiais'!$H$4:$H$200,MATCH($A579,'Cotação de Materiais'!$A$4:$A$200,0)),IFERROR(INDEX('Mão de Obra e Serviços'!$G$4:$G$200,MATCH($A579,'Mão de Obra e Serviços'!$A$4:$A$200,0)),0)))</f>
        <v/>
      </c>
      <c r="K579" s="30" t="str">
        <f aca="false">IF($A579="","",I579*H579)</f>
        <v/>
      </c>
      <c r="L579" s="58"/>
      <c r="M579" s="54" t="str">
        <f aca="false">IF($A579="","",IF(B579="CÓDIGO?","CÓDIGO NÃO ACHADO",IF($D579="","FALTA ITEM DO ANEXO",IF($D579="INDIRETO","",IF(COUNTIFS('Anexo III'!$B$8:$B$400,$D579,'Anexo III'!$E$8:$E$400,"&gt;0")=0,"ITEM NÃO ACHADO NO ANEXO","")))))</f>
        <v/>
      </c>
    </row>
    <row r="580" customFormat="false" ht="15" hidden="false" customHeight="false" outlineLevel="0" collapsed="false">
      <c r="A580" s="43"/>
      <c r="B580" s="53" t="str">
        <f aca="false">IF($A580="","",IF(ISNUMBER(MATCH($A580,'Cotação de Materiais'!$A$4:$A$200,0)),"MAT",IF(ISNUMBER(MATCH($A580,'Mão de Obra e Serviços'!$A$4:$A$200,0)),"MO","CÓDIGO?")))</f>
        <v/>
      </c>
      <c r="C580" s="54" t="str">
        <f aca="false">IF($A580="","",IFERROR(INDEX('Cotação de Materiais'!$C$4:$C$200,MATCH($A580,'Cotação de Materiais'!$A$4:$A$200,0)),IFERROR(INDEX('Mão de Obra e Serviços'!$B$4:$B$200,MATCH($A580,'Mão de Obra e Serviços'!$A$4:$A$200,0)),"")))</f>
        <v/>
      </c>
      <c r="D580" s="43"/>
      <c r="E580" s="43"/>
      <c r="F580" s="43"/>
      <c r="G580" s="57" t="str">
        <f aca="false">IF($A580="","",E580*IF(F580="",1,F580))</f>
        <v/>
      </c>
      <c r="H580" s="31" t="str">
        <f aca="false">IF($A580="","",IF(SUMIF($A$6:$A$600,$A580,$G$6:$G$600)=0,0,G580/SUMIF($A$6:$A$600,$A580,$G$6:$G$600)))</f>
        <v/>
      </c>
      <c r="I580" s="30" t="str">
        <f aca="false">IF($A580="","",IFERROR(INDEX('Cotação de Materiais'!$H$4:$H$200,MATCH($A580,'Cotação de Materiais'!$A$4:$A$200,0)),IFERROR(INDEX('Mão de Obra e Serviços'!$G$4:$G$200,MATCH($A580,'Mão de Obra e Serviços'!$A$4:$A$200,0)),0)))</f>
        <v/>
      </c>
      <c r="K580" s="30" t="str">
        <f aca="false">IF($A580="","",I580*H580)</f>
        <v/>
      </c>
      <c r="L580" s="58"/>
      <c r="M580" s="54" t="str">
        <f aca="false">IF($A580="","",IF(B580="CÓDIGO?","CÓDIGO NÃO ACHADO",IF($D580="","FALTA ITEM DO ANEXO",IF($D580="INDIRETO","",IF(COUNTIFS('Anexo III'!$B$8:$B$400,$D580,'Anexo III'!$E$8:$E$400,"&gt;0")=0,"ITEM NÃO ACHADO NO ANEXO","")))))</f>
        <v/>
      </c>
    </row>
    <row r="581" customFormat="false" ht="15" hidden="false" customHeight="false" outlineLevel="0" collapsed="false">
      <c r="A581" s="43"/>
      <c r="B581" s="53" t="str">
        <f aca="false">IF($A581="","",IF(ISNUMBER(MATCH($A581,'Cotação de Materiais'!$A$4:$A$200,0)),"MAT",IF(ISNUMBER(MATCH($A581,'Mão de Obra e Serviços'!$A$4:$A$200,0)),"MO","CÓDIGO?")))</f>
        <v/>
      </c>
      <c r="C581" s="54" t="str">
        <f aca="false">IF($A581="","",IFERROR(INDEX('Cotação de Materiais'!$C$4:$C$200,MATCH($A581,'Cotação de Materiais'!$A$4:$A$200,0)),IFERROR(INDEX('Mão de Obra e Serviços'!$B$4:$B$200,MATCH($A581,'Mão de Obra e Serviços'!$A$4:$A$200,0)),"")))</f>
        <v/>
      </c>
      <c r="D581" s="43"/>
      <c r="E581" s="43"/>
      <c r="F581" s="43"/>
      <c r="G581" s="57" t="str">
        <f aca="false">IF($A581="","",E581*IF(F581="",1,F581))</f>
        <v/>
      </c>
      <c r="H581" s="31" t="str">
        <f aca="false">IF($A581="","",IF(SUMIF($A$6:$A$600,$A581,$G$6:$G$600)=0,0,G581/SUMIF($A$6:$A$600,$A581,$G$6:$G$600)))</f>
        <v/>
      </c>
      <c r="I581" s="30" t="str">
        <f aca="false">IF($A581="","",IFERROR(INDEX('Cotação de Materiais'!$H$4:$H$200,MATCH($A581,'Cotação de Materiais'!$A$4:$A$200,0)),IFERROR(INDEX('Mão de Obra e Serviços'!$G$4:$G$200,MATCH($A581,'Mão de Obra e Serviços'!$A$4:$A$200,0)),0)))</f>
        <v/>
      </c>
      <c r="K581" s="30" t="str">
        <f aca="false">IF($A581="","",I581*H581)</f>
        <v/>
      </c>
      <c r="L581" s="58"/>
      <c r="M581" s="54" t="str">
        <f aca="false">IF($A581="","",IF(B581="CÓDIGO?","CÓDIGO NÃO ACHADO",IF($D581="","FALTA ITEM DO ANEXO",IF($D581="INDIRETO","",IF(COUNTIFS('Anexo III'!$B$8:$B$400,$D581,'Anexo III'!$E$8:$E$400,"&gt;0")=0,"ITEM NÃO ACHADO NO ANEXO","")))))</f>
        <v/>
      </c>
    </row>
    <row r="582" customFormat="false" ht="15" hidden="false" customHeight="false" outlineLevel="0" collapsed="false">
      <c r="A582" s="43"/>
      <c r="B582" s="53" t="str">
        <f aca="false">IF($A582="","",IF(ISNUMBER(MATCH($A582,'Cotação de Materiais'!$A$4:$A$200,0)),"MAT",IF(ISNUMBER(MATCH($A582,'Mão de Obra e Serviços'!$A$4:$A$200,0)),"MO","CÓDIGO?")))</f>
        <v/>
      </c>
      <c r="C582" s="54" t="str">
        <f aca="false">IF($A582="","",IFERROR(INDEX('Cotação de Materiais'!$C$4:$C$200,MATCH($A582,'Cotação de Materiais'!$A$4:$A$200,0)),IFERROR(INDEX('Mão de Obra e Serviços'!$B$4:$B$200,MATCH($A582,'Mão de Obra e Serviços'!$A$4:$A$200,0)),"")))</f>
        <v/>
      </c>
      <c r="D582" s="43"/>
      <c r="E582" s="43"/>
      <c r="F582" s="43"/>
      <c r="G582" s="57" t="str">
        <f aca="false">IF($A582="","",E582*IF(F582="",1,F582))</f>
        <v/>
      </c>
      <c r="H582" s="31" t="str">
        <f aca="false">IF($A582="","",IF(SUMIF($A$6:$A$600,$A582,$G$6:$G$600)=0,0,G582/SUMIF($A$6:$A$600,$A582,$G$6:$G$600)))</f>
        <v/>
      </c>
      <c r="I582" s="30" t="str">
        <f aca="false">IF($A582="","",IFERROR(INDEX('Cotação de Materiais'!$H$4:$H$200,MATCH($A582,'Cotação de Materiais'!$A$4:$A$200,0)),IFERROR(INDEX('Mão de Obra e Serviços'!$G$4:$G$200,MATCH($A582,'Mão de Obra e Serviços'!$A$4:$A$200,0)),0)))</f>
        <v/>
      </c>
      <c r="K582" s="30" t="str">
        <f aca="false">IF($A582="","",I582*H582)</f>
        <v/>
      </c>
      <c r="L582" s="58"/>
      <c r="M582" s="54" t="str">
        <f aca="false">IF($A582="","",IF(B582="CÓDIGO?","CÓDIGO NÃO ACHADO",IF($D582="","FALTA ITEM DO ANEXO",IF($D582="INDIRETO","",IF(COUNTIFS('Anexo III'!$B$8:$B$400,$D582,'Anexo III'!$E$8:$E$400,"&gt;0")=0,"ITEM NÃO ACHADO NO ANEXO","")))))</f>
        <v/>
      </c>
    </row>
    <row r="583" customFormat="false" ht="15" hidden="false" customHeight="false" outlineLevel="0" collapsed="false">
      <c r="A583" s="43"/>
      <c r="B583" s="53" t="str">
        <f aca="false">IF($A583="","",IF(ISNUMBER(MATCH($A583,'Cotação de Materiais'!$A$4:$A$200,0)),"MAT",IF(ISNUMBER(MATCH($A583,'Mão de Obra e Serviços'!$A$4:$A$200,0)),"MO","CÓDIGO?")))</f>
        <v/>
      </c>
      <c r="C583" s="54" t="str">
        <f aca="false">IF($A583="","",IFERROR(INDEX('Cotação de Materiais'!$C$4:$C$200,MATCH($A583,'Cotação de Materiais'!$A$4:$A$200,0)),IFERROR(INDEX('Mão de Obra e Serviços'!$B$4:$B$200,MATCH($A583,'Mão de Obra e Serviços'!$A$4:$A$200,0)),"")))</f>
        <v/>
      </c>
      <c r="D583" s="43"/>
      <c r="E583" s="43"/>
      <c r="F583" s="43"/>
      <c r="G583" s="57" t="str">
        <f aca="false">IF($A583="","",E583*IF(F583="",1,F583))</f>
        <v/>
      </c>
      <c r="H583" s="31" t="str">
        <f aca="false">IF($A583="","",IF(SUMIF($A$6:$A$600,$A583,$G$6:$G$600)=0,0,G583/SUMIF($A$6:$A$600,$A583,$G$6:$G$600)))</f>
        <v/>
      </c>
      <c r="I583" s="30" t="str">
        <f aca="false">IF($A583="","",IFERROR(INDEX('Cotação de Materiais'!$H$4:$H$200,MATCH($A583,'Cotação de Materiais'!$A$4:$A$200,0)),IFERROR(INDEX('Mão de Obra e Serviços'!$G$4:$G$200,MATCH($A583,'Mão de Obra e Serviços'!$A$4:$A$200,0)),0)))</f>
        <v/>
      </c>
      <c r="K583" s="30" t="str">
        <f aca="false">IF($A583="","",I583*H583)</f>
        <v/>
      </c>
      <c r="L583" s="58"/>
      <c r="M583" s="54" t="str">
        <f aca="false">IF($A583="","",IF(B583="CÓDIGO?","CÓDIGO NÃO ACHADO",IF($D583="","FALTA ITEM DO ANEXO",IF($D583="INDIRETO","",IF(COUNTIFS('Anexo III'!$B$8:$B$400,$D583,'Anexo III'!$E$8:$E$400,"&gt;0")=0,"ITEM NÃO ACHADO NO ANEXO","")))))</f>
        <v/>
      </c>
    </row>
    <row r="584" customFormat="false" ht="15" hidden="false" customHeight="false" outlineLevel="0" collapsed="false">
      <c r="A584" s="43"/>
      <c r="B584" s="53" t="str">
        <f aca="false">IF($A584="","",IF(ISNUMBER(MATCH($A584,'Cotação de Materiais'!$A$4:$A$200,0)),"MAT",IF(ISNUMBER(MATCH($A584,'Mão de Obra e Serviços'!$A$4:$A$200,0)),"MO","CÓDIGO?")))</f>
        <v/>
      </c>
      <c r="C584" s="54" t="str">
        <f aca="false">IF($A584="","",IFERROR(INDEX('Cotação de Materiais'!$C$4:$C$200,MATCH($A584,'Cotação de Materiais'!$A$4:$A$200,0)),IFERROR(INDEX('Mão de Obra e Serviços'!$B$4:$B$200,MATCH($A584,'Mão de Obra e Serviços'!$A$4:$A$200,0)),"")))</f>
        <v/>
      </c>
      <c r="D584" s="43"/>
      <c r="E584" s="43"/>
      <c r="F584" s="43"/>
      <c r="G584" s="57" t="str">
        <f aca="false">IF($A584="","",E584*IF(F584="",1,F584))</f>
        <v/>
      </c>
      <c r="H584" s="31" t="str">
        <f aca="false">IF($A584="","",IF(SUMIF($A$6:$A$600,$A584,$G$6:$G$600)=0,0,G584/SUMIF($A$6:$A$600,$A584,$G$6:$G$600)))</f>
        <v/>
      </c>
      <c r="I584" s="30" t="str">
        <f aca="false">IF($A584="","",IFERROR(INDEX('Cotação de Materiais'!$H$4:$H$200,MATCH($A584,'Cotação de Materiais'!$A$4:$A$200,0)),IFERROR(INDEX('Mão de Obra e Serviços'!$G$4:$G$200,MATCH($A584,'Mão de Obra e Serviços'!$A$4:$A$200,0)),0)))</f>
        <v/>
      </c>
      <c r="K584" s="30" t="str">
        <f aca="false">IF($A584="","",I584*H584)</f>
        <v/>
      </c>
      <c r="L584" s="58"/>
      <c r="M584" s="54" t="str">
        <f aca="false">IF($A584="","",IF(B584="CÓDIGO?","CÓDIGO NÃO ACHADO",IF($D584="","FALTA ITEM DO ANEXO",IF($D584="INDIRETO","",IF(COUNTIFS('Anexo III'!$B$8:$B$400,$D584,'Anexo III'!$E$8:$E$400,"&gt;0")=0,"ITEM NÃO ACHADO NO ANEXO","")))))</f>
        <v/>
      </c>
    </row>
    <row r="585" customFormat="false" ht="15" hidden="false" customHeight="false" outlineLevel="0" collapsed="false">
      <c r="A585" s="43"/>
      <c r="B585" s="53" t="str">
        <f aca="false">IF($A585="","",IF(ISNUMBER(MATCH($A585,'Cotação de Materiais'!$A$4:$A$200,0)),"MAT",IF(ISNUMBER(MATCH($A585,'Mão de Obra e Serviços'!$A$4:$A$200,0)),"MO","CÓDIGO?")))</f>
        <v/>
      </c>
      <c r="C585" s="54" t="str">
        <f aca="false">IF($A585="","",IFERROR(INDEX('Cotação de Materiais'!$C$4:$C$200,MATCH($A585,'Cotação de Materiais'!$A$4:$A$200,0)),IFERROR(INDEX('Mão de Obra e Serviços'!$B$4:$B$200,MATCH($A585,'Mão de Obra e Serviços'!$A$4:$A$200,0)),"")))</f>
        <v/>
      </c>
      <c r="D585" s="43"/>
      <c r="E585" s="43"/>
      <c r="F585" s="43"/>
      <c r="G585" s="57" t="str">
        <f aca="false">IF($A585="","",E585*IF(F585="",1,F585))</f>
        <v/>
      </c>
      <c r="H585" s="31" t="str">
        <f aca="false">IF($A585="","",IF(SUMIF($A$6:$A$600,$A585,$G$6:$G$600)=0,0,G585/SUMIF($A$6:$A$600,$A585,$G$6:$G$600)))</f>
        <v/>
      </c>
      <c r="I585" s="30" t="str">
        <f aca="false">IF($A585="","",IFERROR(INDEX('Cotação de Materiais'!$H$4:$H$200,MATCH($A585,'Cotação de Materiais'!$A$4:$A$200,0)),IFERROR(INDEX('Mão de Obra e Serviços'!$G$4:$G$200,MATCH($A585,'Mão de Obra e Serviços'!$A$4:$A$200,0)),0)))</f>
        <v/>
      </c>
      <c r="K585" s="30" t="str">
        <f aca="false">IF($A585="","",I585*H585)</f>
        <v/>
      </c>
      <c r="L585" s="58"/>
      <c r="M585" s="54" t="str">
        <f aca="false">IF($A585="","",IF(B585="CÓDIGO?","CÓDIGO NÃO ACHADO",IF($D585="","FALTA ITEM DO ANEXO",IF($D585="INDIRETO","",IF(COUNTIFS('Anexo III'!$B$8:$B$400,$D585,'Anexo III'!$E$8:$E$400,"&gt;0")=0,"ITEM NÃO ACHADO NO ANEXO","")))))</f>
        <v/>
      </c>
    </row>
    <row r="586" customFormat="false" ht="15" hidden="false" customHeight="false" outlineLevel="0" collapsed="false">
      <c r="A586" s="43"/>
      <c r="B586" s="53" t="str">
        <f aca="false">IF($A586="","",IF(ISNUMBER(MATCH($A586,'Cotação de Materiais'!$A$4:$A$200,0)),"MAT",IF(ISNUMBER(MATCH($A586,'Mão de Obra e Serviços'!$A$4:$A$200,0)),"MO","CÓDIGO?")))</f>
        <v/>
      </c>
      <c r="C586" s="54" t="str">
        <f aca="false">IF($A586="","",IFERROR(INDEX('Cotação de Materiais'!$C$4:$C$200,MATCH($A586,'Cotação de Materiais'!$A$4:$A$200,0)),IFERROR(INDEX('Mão de Obra e Serviços'!$B$4:$B$200,MATCH($A586,'Mão de Obra e Serviços'!$A$4:$A$200,0)),"")))</f>
        <v/>
      </c>
      <c r="D586" s="43"/>
      <c r="E586" s="43"/>
      <c r="F586" s="43"/>
      <c r="G586" s="57" t="str">
        <f aca="false">IF($A586="","",E586*IF(F586="",1,F586))</f>
        <v/>
      </c>
      <c r="H586" s="31" t="str">
        <f aca="false">IF($A586="","",IF(SUMIF($A$6:$A$600,$A586,$G$6:$G$600)=0,0,G586/SUMIF($A$6:$A$600,$A586,$G$6:$G$600)))</f>
        <v/>
      </c>
      <c r="I586" s="30" t="str">
        <f aca="false">IF($A586="","",IFERROR(INDEX('Cotação de Materiais'!$H$4:$H$200,MATCH($A586,'Cotação de Materiais'!$A$4:$A$200,0)),IFERROR(INDEX('Mão de Obra e Serviços'!$G$4:$G$200,MATCH($A586,'Mão de Obra e Serviços'!$A$4:$A$200,0)),0)))</f>
        <v/>
      </c>
      <c r="K586" s="30" t="str">
        <f aca="false">IF($A586="","",I586*H586)</f>
        <v/>
      </c>
      <c r="L586" s="58"/>
      <c r="M586" s="54" t="str">
        <f aca="false">IF($A586="","",IF(B586="CÓDIGO?","CÓDIGO NÃO ACHADO",IF($D586="","FALTA ITEM DO ANEXO",IF($D586="INDIRETO","",IF(COUNTIFS('Anexo III'!$B$8:$B$400,$D586,'Anexo III'!$E$8:$E$400,"&gt;0")=0,"ITEM NÃO ACHADO NO ANEXO","")))))</f>
        <v/>
      </c>
    </row>
    <row r="587" customFormat="false" ht="15" hidden="false" customHeight="false" outlineLevel="0" collapsed="false">
      <c r="A587" s="43"/>
      <c r="B587" s="53" t="str">
        <f aca="false">IF($A587="","",IF(ISNUMBER(MATCH($A587,'Cotação de Materiais'!$A$4:$A$200,0)),"MAT",IF(ISNUMBER(MATCH($A587,'Mão de Obra e Serviços'!$A$4:$A$200,0)),"MO","CÓDIGO?")))</f>
        <v/>
      </c>
      <c r="C587" s="54" t="str">
        <f aca="false">IF($A587="","",IFERROR(INDEX('Cotação de Materiais'!$C$4:$C$200,MATCH($A587,'Cotação de Materiais'!$A$4:$A$200,0)),IFERROR(INDEX('Mão de Obra e Serviços'!$B$4:$B$200,MATCH($A587,'Mão de Obra e Serviços'!$A$4:$A$200,0)),"")))</f>
        <v/>
      </c>
      <c r="D587" s="43"/>
      <c r="E587" s="43"/>
      <c r="F587" s="43"/>
      <c r="G587" s="57" t="str">
        <f aca="false">IF($A587="","",E587*IF(F587="",1,F587))</f>
        <v/>
      </c>
      <c r="H587" s="31" t="str">
        <f aca="false">IF($A587="","",IF(SUMIF($A$6:$A$600,$A587,$G$6:$G$600)=0,0,G587/SUMIF($A$6:$A$600,$A587,$G$6:$G$600)))</f>
        <v/>
      </c>
      <c r="I587" s="30" t="str">
        <f aca="false">IF($A587="","",IFERROR(INDEX('Cotação de Materiais'!$H$4:$H$200,MATCH($A587,'Cotação de Materiais'!$A$4:$A$200,0)),IFERROR(INDEX('Mão de Obra e Serviços'!$G$4:$G$200,MATCH($A587,'Mão de Obra e Serviços'!$A$4:$A$200,0)),0)))</f>
        <v/>
      </c>
      <c r="K587" s="30" t="str">
        <f aca="false">IF($A587="","",I587*H587)</f>
        <v/>
      </c>
      <c r="L587" s="58"/>
      <c r="M587" s="54" t="str">
        <f aca="false">IF($A587="","",IF(B587="CÓDIGO?","CÓDIGO NÃO ACHADO",IF($D587="","FALTA ITEM DO ANEXO",IF($D587="INDIRETO","",IF(COUNTIFS('Anexo III'!$B$8:$B$400,$D587,'Anexo III'!$E$8:$E$400,"&gt;0")=0,"ITEM NÃO ACHADO NO ANEXO","")))))</f>
        <v/>
      </c>
    </row>
    <row r="588" customFormat="false" ht="15" hidden="false" customHeight="false" outlineLevel="0" collapsed="false">
      <c r="A588" s="43"/>
      <c r="B588" s="53" t="str">
        <f aca="false">IF($A588="","",IF(ISNUMBER(MATCH($A588,'Cotação de Materiais'!$A$4:$A$200,0)),"MAT",IF(ISNUMBER(MATCH($A588,'Mão de Obra e Serviços'!$A$4:$A$200,0)),"MO","CÓDIGO?")))</f>
        <v/>
      </c>
      <c r="C588" s="54" t="str">
        <f aca="false">IF($A588="","",IFERROR(INDEX('Cotação de Materiais'!$C$4:$C$200,MATCH($A588,'Cotação de Materiais'!$A$4:$A$200,0)),IFERROR(INDEX('Mão de Obra e Serviços'!$B$4:$B$200,MATCH($A588,'Mão de Obra e Serviços'!$A$4:$A$200,0)),"")))</f>
        <v/>
      </c>
      <c r="D588" s="43"/>
      <c r="E588" s="43"/>
      <c r="F588" s="43"/>
      <c r="G588" s="57" t="str">
        <f aca="false">IF($A588="","",E588*IF(F588="",1,F588))</f>
        <v/>
      </c>
      <c r="H588" s="31" t="str">
        <f aca="false">IF($A588="","",IF(SUMIF($A$6:$A$600,$A588,$G$6:$G$600)=0,0,G588/SUMIF($A$6:$A$600,$A588,$G$6:$G$600)))</f>
        <v/>
      </c>
      <c r="I588" s="30" t="str">
        <f aca="false">IF($A588="","",IFERROR(INDEX('Cotação de Materiais'!$H$4:$H$200,MATCH($A588,'Cotação de Materiais'!$A$4:$A$200,0)),IFERROR(INDEX('Mão de Obra e Serviços'!$G$4:$G$200,MATCH($A588,'Mão de Obra e Serviços'!$A$4:$A$200,0)),0)))</f>
        <v/>
      </c>
      <c r="K588" s="30" t="str">
        <f aca="false">IF($A588="","",I588*H588)</f>
        <v/>
      </c>
      <c r="L588" s="58"/>
      <c r="M588" s="54" t="str">
        <f aca="false">IF($A588="","",IF(B588="CÓDIGO?","CÓDIGO NÃO ACHADO",IF($D588="","FALTA ITEM DO ANEXO",IF($D588="INDIRETO","",IF(COUNTIFS('Anexo III'!$B$8:$B$400,$D588,'Anexo III'!$E$8:$E$400,"&gt;0")=0,"ITEM NÃO ACHADO NO ANEXO","")))))</f>
        <v/>
      </c>
    </row>
    <row r="589" customFormat="false" ht="15" hidden="false" customHeight="false" outlineLevel="0" collapsed="false">
      <c r="A589" s="43"/>
      <c r="B589" s="53" t="str">
        <f aca="false">IF($A589="","",IF(ISNUMBER(MATCH($A589,'Cotação de Materiais'!$A$4:$A$200,0)),"MAT",IF(ISNUMBER(MATCH($A589,'Mão de Obra e Serviços'!$A$4:$A$200,0)),"MO","CÓDIGO?")))</f>
        <v/>
      </c>
      <c r="C589" s="54" t="str">
        <f aca="false">IF($A589="","",IFERROR(INDEX('Cotação de Materiais'!$C$4:$C$200,MATCH($A589,'Cotação de Materiais'!$A$4:$A$200,0)),IFERROR(INDEX('Mão de Obra e Serviços'!$B$4:$B$200,MATCH($A589,'Mão de Obra e Serviços'!$A$4:$A$200,0)),"")))</f>
        <v/>
      </c>
      <c r="D589" s="43"/>
      <c r="E589" s="43"/>
      <c r="F589" s="43"/>
      <c r="G589" s="57" t="str">
        <f aca="false">IF($A589="","",E589*IF(F589="",1,F589))</f>
        <v/>
      </c>
      <c r="H589" s="31" t="str">
        <f aca="false">IF($A589="","",IF(SUMIF($A$6:$A$600,$A589,$G$6:$G$600)=0,0,G589/SUMIF($A$6:$A$600,$A589,$G$6:$G$600)))</f>
        <v/>
      </c>
      <c r="I589" s="30" t="str">
        <f aca="false">IF($A589="","",IFERROR(INDEX('Cotação de Materiais'!$H$4:$H$200,MATCH($A589,'Cotação de Materiais'!$A$4:$A$200,0)),IFERROR(INDEX('Mão de Obra e Serviços'!$G$4:$G$200,MATCH($A589,'Mão de Obra e Serviços'!$A$4:$A$200,0)),0)))</f>
        <v/>
      </c>
      <c r="K589" s="30" t="str">
        <f aca="false">IF($A589="","",I589*H589)</f>
        <v/>
      </c>
      <c r="L589" s="58"/>
      <c r="M589" s="54" t="str">
        <f aca="false">IF($A589="","",IF(B589="CÓDIGO?","CÓDIGO NÃO ACHADO",IF($D589="","FALTA ITEM DO ANEXO",IF($D589="INDIRETO","",IF(COUNTIFS('Anexo III'!$B$8:$B$400,$D589,'Anexo III'!$E$8:$E$400,"&gt;0")=0,"ITEM NÃO ACHADO NO ANEXO","")))))</f>
        <v/>
      </c>
    </row>
    <row r="590" customFormat="false" ht="15" hidden="false" customHeight="false" outlineLevel="0" collapsed="false">
      <c r="A590" s="43"/>
      <c r="B590" s="53" t="str">
        <f aca="false">IF($A590="","",IF(ISNUMBER(MATCH($A590,'Cotação de Materiais'!$A$4:$A$200,0)),"MAT",IF(ISNUMBER(MATCH($A590,'Mão de Obra e Serviços'!$A$4:$A$200,0)),"MO","CÓDIGO?")))</f>
        <v/>
      </c>
      <c r="C590" s="54" t="str">
        <f aca="false">IF($A590="","",IFERROR(INDEX('Cotação de Materiais'!$C$4:$C$200,MATCH($A590,'Cotação de Materiais'!$A$4:$A$200,0)),IFERROR(INDEX('Mão de Obra e Serviços'!$B$4:$B$200,MATCH($A590,'Mão de Obra e Serviços'!$A$4:$A$200,0)),"")))</f>
        <v/>
      </c>
      <c r="D590" s="43"/>
      <c r="E590" s="43"/>
      <c r="F590" s="43"/>
      <c r="G590" s="57" t="str">
        <f aca="false">IF($A590="","",E590*IF(F590="",1,F590))</f>
        <v/>
      </c>
      <c r="H590" s="31" t="str">
        <f aca="false">IF($A590="","",IF(SUMIF($A$6:$A$600,$A590,$G$6:$G$600)=0,0,G590/SUMIF($A$6:$A$600,$A590,$G$6:$G$600)))</f>
        <v/>
      </c>
      <c r="I590" s="30" t="str">
        <f aca="false">IF($A590="","",IFERROR(INDEX('Cotação de Materiais'!$H$4:$H$200,MATCH($A590,'Cotação de Materiais'!$A$4:$A$200,0)),IFERROR(INDEX('Mão de Obra e Serviços'!$G$4:$G$200,MATCH($A590,'Mão de Obra e Serviços'!$A$4:$A$200,0)),0)))</f>
        <v/>
      </c>
      <c r="K590" s="30" t="str">
        <f aca="false">IF($A590="","",I590*H590)</f>
        <v/>
      </c>
      <c r="L590" s="58"/>
      <c r="M590" s="54" t="str">
        <f aca="false">IF($A590="","",IF(B590="CÓDIGO?","CÓDIGO NÃO ACHADO",IF($D590="","FALTA ITEM DO ANEXO",IF($D590="INDIRETO","",IF(COUNTIFS('Anexo III'!$B$8:$B$400,$D590,'Anexo III'!$E$8:$E$400,"&gt;0")=0,"ITEM NÃO ACHADO NO ANEXO","")))))</f>
        <v/>
      </c>
    </row>
    <row r="591" customFormat="false" ht="15" hidden="false" customHeight="false" outlineLevel="0" collapsed="false">
      <c r="A591" s="43"/>
      <c r="B591" s="53" t="str">
        <f aca="false">IF($A591="","",IF(ISNUMBER(MATCH($A591,'Cotação de Materiais'!$A$4:$A$200,0)),"MAT",IF(ISNUMBER(MATCH($A591,'Mão de Obra e Serviços'!$A$4:$A$200,0)),"MO","CÓDIGO?")))</f>
        <v/>
      </c>
      <c r="C591" s="54" t="str">
        <f aca="false">IF($A591="","",IFERROR(INDEX('Cotação de Materiais'!$C$4:$C$200,MATCH($A591,'Cotação de Materiais'!$A$4:$A$200,0)),IFERROR(INDEX('Mão de Obra e Serviços'!$B$4:$B$200,MATCH($A591,'Mão de Obra e Serviços'!$A$4:$A$200,0)),"")))</f>
        <v/>
      </c>
      <c r="D591" s="43"/>
      <c r="E591" s="43"/>
      <c r="F591" s="43"/>
      <c r="G591" s="57" t="str">
        <f aca="false">IF($A591="","",E591*IF(F591="",1,F591))</f>
        <v/>
      </c>
      <c r="H591" s="31" t="str">
        <f aca="false">IF($A591="","",IF(SUMIF($A$6:$A$600,$A591,$G$6:$G$600)=0,0,G591/SUMIF($A$6:$A$600,$A591,$G$6:$G$600)))</f>
        <v/>
      </c>
      <c r="I591" s="30" t="str">
        <f aca="false">IF($A591="","",IFERROR(INDEX('Cotação de Materiais'!$H$4:$H$200,MATCH($A591,'Cotação de Materiais'!$A$4:$A$200,0)),IFERROR(INDEX('Mão de Obra e Serviços'!$G$4:$G$200,MATCH($A591,'Mão de Obra e Serviços'!$A$4:$A$200,0)),0)))</f>
        <v/>
      </c>
      <c r="K591" s="30" t="str">
        <f aca="false">IF($A591="","",I591*H591)</f>
        <v/>
      </c>
      <c r="L591" s="58"/>
      <c r="M591" s="54" t="str">
        <f aca="false">IF($A591="","",IF(B591="CÓDIGO?","CÓDIGO NÃO ACHADO",IF($D591="","FALTA ITEM DO ANEXO",IF($D591="INDIRETO","",IF(COUNTIFS('Anexo III'!$B$8:$B$400,$D591,'Anexo III'!$E$8:$E$400,"&gt;0")=0,"ITEM NÃO ACHADO NO ANEXO","")))))</f>
        <v/>
      </c>
    </row>
    <row r="592" customFormat="false" ht="15" hidden="false" customHeight="false" outlineLevel="0" collapsed="false">
      <c r="A592" s="43"/>
      <c r="B592" s="53" t="str">
        <f aca="false">IF($A592="","",IF(ISNUMBER(MATCH($A592,'Cotação de Materiais'!$A$4:$A$200,0)),"MAT",IF(ISNUMBER(MATCH($A592,'Mão de Obra e Serviços'!$A$4:$A$200,0)),"MO","CÓDIGO?")))</f>
        <v/>
      </c>
      <c r="C592" s="54" t="str">
        <f aca="false">IF($A592="","",IFERROR(INDEX('Cotação de Materiais'!$C$4:$C$200,MATCH($A592,'Cotação de Materiais'!$A$4:$A$200,0)),IFERROR(INDEX('Mão de Obra e Serviços'!$B$4:$B$200,MATCH($A592,'Mão de Obra e Serviços'!$A$4:$A$200,0)),"")))</f>
        <v/>
      </c>
      <c r="D592" s="43"/>
      <c r="E592" s="43"/>
      <c r="F592" s="43"/>
      <c r="G592" s="57" t="str">
        <f aca="false">IF($A592="","",E592*IF(F592="",1,F592))</f>
        <v/>
      </c>
      <c r="H592" s="31" t="str">
        <f aca="false">IF($A592="","",IF(SUMIF($A$6:$A$600,$A592,$G$6:$G$600)=0,0,G592/SUMIF($A$6:$A$600,$A592,$G$6:$G$600)))</f>
        <v/>
      </c>
      <c r="I592" s="30" t="str">
        <f aca="false">IF($A592="","",IFERROR(INDEX('Cotação de Materiais'!$H$4:$H$200,MATCH($A592,'Cotação de Materiais'!$A$4:$A$200,0)),IFERROR(INDEX('Mão de Obra e Serviços'!$G$4:$G$200,MATCH($A592,'Mão de Obra e Serviços'!$A$4:$A$200,0)),0)))</f>
        <v/>
      </c>
      <c r="K592" s="30" t="str">
        <f aca="false">IF($A592="","",I592*H592)</f>
        <v/>
      </c>
      <c r="L592" s="58"/>
      <c r="M592" s="54" t="str">
        <f aca="false">IF($A592="","",IF(B592="CÓDIGO?","CÓDIGO NÃO ACHADO",IF($D592="","FALTA ITEM DO ANEXO",IF($D592="INDIRETO","",IF(COUNTIFS('Anexo III'!$B$8:$B$400,$D592,'Anexo III'!$E$8:$E$400,"&gt;0")=0,"ITEM NÃO ACHADO NO ANEXO","")))))</f>
        <v/>
      </c>
    </row>
    <row r="593" customFormat="false" ht="15" hidden="false" customHeight="false" outlineLevel="0" collapsed="false">
      <c r="A593" s="43"/>
      <c r="B593" s="53" t="str">
        <f aca="false">IF($A593="","",IF(ISNUMBER(MATCH($A593,'Cotação de Materiais'!$A$4:$A$200,0)),"MAT",IF(ISNUMBER(MATCH($A593,'Mão de Obra e Serviços'!$A$4:$A$200,0)),"MO","CÓDIGO?")))</f>
        <v/>
      </c>
      <c r="C593" s="54" t="str">
        <f aca="false">IF($A593="","",IFERROR(INDEX('Cotação de Materiais'!$C$4:$C$200,MATCH($A593,'Cotação de Materiais'!$A$4:$A$200,0)),IFERROR(INDEX('Mão de Obra e Serviços'!$B$4:$B$200,MATCH($A593,'Mão de Obra e Serviços'!$A$4:$A$200,0)),"")))</f>
        <v/>
      </c>
      <c r="D593" s="43"/>
      <c r="E593" s="43"/>
      <c r="F593" s="43"/>
      <c r="G593" s="57" t="str">
        <f aca="false">IF($A593="","",E593*IF(F593="",1,F593))</f>
        <v/>
      </c>
      <c r="H593" s="31" t="str">
        <f aca="false">IF($A593="","",IF(SUMIF($A$6:$A$600,$A593,$G$6:$G$600)=0,0,G593/SUMIF($A$6:$A$600,$A593,$G$6:$G$600)))</f>
        <v/>
      </c>
      <c r="I593" s="30" t="str">
        <f aca="false">IF($A593="","",IFERROR(INDEX('Cotação de Materiais'!$H$4:$H$200,MATCH($A593,'Cotação de Materiais'!$A$4:$A$200,0)),IFERROR(INDEX('Mão de Obra e Serviços'!$G$4:$G$200,MATCH($A593,'Mão de Obra e Serviços'!$A$4:$A$200,0)),0)))</f>
        <v/>
      </c>
      <c r="K593" s="30" t="str">
        <f aca="false">IF($A593="","",I593*H593)</f>
        <v/>
      </c>
      <c r="L593" s="58"/>
      <c r="M593" s="54" t="str">
        <f aca="false">IF($A593="","",IF(B593="CÓDIGO?","CÓDIGO NÃO ACHADO",IF($D593="","FALTA ITEM DO ANEXO",IF($D593="INDIRETO","",IF(COUNTIFS('Anexo III'!$B$8:$B$400,$D593,'Anexo III'!$E$8:$E$400,"&gt;0")=0,"ITEM NÃO ACHADO NO ANEXO","")))))</f>
        <v/>
      </c>
    </row>
    <row r="594" customFormat="false" ht="15" hidden="false" customHeight="false" outlineLevel="0" collapsed="false">
      <c r="A594" s="43"/>
      <c r="B594" s="53" t="str">
        <f aca="false">IF($A594="","",IF(ISNUMBER(MATCH($A594,'Cotação de Materiais'!$A$4:$A$200,0)),"MAT",IF(ISNUMBER(MATCH($A594,'Mão de Obra e Serviços'!$A$4:$A$200,0)),"MO","CÓDIGO?")))</f>
        <v/>
      </c>
      <c r="C594" s="54" t="str">
        <f aca="false">IF($A594="","",IFERROR(INDEX('Cotação de Materiais'!$C$4:$C$200,MATCH($A594,'Cotação de Materiais'!$A$4:$A$200,0)),IFERROR(INDEX('Mão de Obra e Serviços'!$B$4:$B$200,MATCH($A594,'Mão de Obra e Serviços'!$A$4:$A$200,0)),"")))</f>
        <v/>
      </c>
      <c r="D594" s="43"/>
      <c r="E594" s="43"/>
      <c r="F594" s="43"/>
      <c r="G594" s="57" t="str">
        <f aca="false">IF($A594="","",E594*IF(F594="",1,F594))</f>
        <v/>
      </c>
      <c r="H594" s="31" t="str">
        <f aca="false">IF($A594="","",IF(SUMIF($A$6:$A$600,$A594,$G$6:$G$600)=0,0,G594/SUMIF($A$6:$A$600,$A594,$G$6:$G$600)))</f>
        <v/>
      </c>
      <c r="I594" s="30" t="str">
        <f aca="false">IF($A594="","",IFERROR(INDEX('Cotação de Materiais'!$H$4:$H$200,MATCH($A594,'Cotação de Materiais'!$A$4:$A$200,0)),IFERROR(INDEX('Mão de Obra e Serviços'!$G$4:$G$200,MATCH($A594,'Mão de Obra e Serviços'!$A$4:$A$200,0)),0)))</f>
        <v/>
      </c>
      <c r="K594" s="30" t="str">
        <f aca="false">IF($A594="","",I594*H594)</f>
        <v/>
      </c>
      <c r="L594" s="58"/>
      <c r="M594" s="54" t="str">
        <f aca="false">IF($A594="","",IF(B594="CÓDIGO?","CÓDIGO NÃO ACHADO",IF($D594="","FALTA ITEM DO ANEXO",IF($D594="INDIRETO","",IF(COUNTIFS('Anexo III'!$B$8:$B$400,$D594,'Anexo III'!$E$8:$E$400,"&gt;0")=0,"ITEM NÃO ACHADO NO ANEXO","")))))</f>
        <v/>
      </c>
    </row>
    <row r="595" customFormat="false" ht="15" hidden="false" customHeight="false" outlineLevel="0" collapsed="false">
      <c r="A595" s="43"/>
      <c r="B595" s="53" t="str">
        <f aca="false">IF($A595="","",IF(ISNUMBER(MATCH($A595,'Cotação de Materiais'!$A$4:$A$200,0)),"MAT",IF(ISNUMBER(MATCH($A595,'Mão de Obra e Serviços'!$A$4:$A$200,0)),"MO","CÓDIGO?")))</f>
        <v/>
      </c>
      <c r="C595" s="54" t="str">
        <f aca="false">IF($A595="","",IFERROR(INDEX('Cotação de Materiais'!$C$4:$C$200,MATCH($A595,'Cotação de Materiais'!$A$4:$A$200,0)),IFERROR(INDEX('Mão de Obra e Serviços'!$B$4:$B$200,MATCH($A595,'Mão de Obra e Serviços'!$A$4:$A$200,0)),"")))</f>
        <v/>
      </c>
      <c r="D595" s="43"/>
      <c r="E595" s="43"/>
      <c r="F595" s="43"/>
      <c r="G595" s="57" t="str">
        <f aca="false">IF($A595="","",E595*IF(F595="",1,F595))</f>
        <v/>
      </c>
      <c r="H595" s="31" t="str">
        <f aca="false">IF($A595="","",IF(SUMIF($A$6:$A$600,$A595,$G$6:$G$600)=0,0,G595/SUMIF($A$6:$A$600,$A595,$G$6:$G$600)))</f>
        <v/>
      </c>
      <c r="I595" s="30" t="str">
        <f aca="false">IF($A595="","",IFERROR(INDEX('Cotação de Materiais'!$H$4:$H$200,MATCH($A595,'Cotação de Materiais'!$A$4:$A$200,0)),IFERROR(INDEX('Mão de Obra e Serviços'!$G$4:$G$200,MATCH($A595,'Mão de Obra e Serviços'!$A$4:$A$200,0)),0)))</f>
        <v/>
      </c>
      <c r="K595" s="30" t="str">
        <f aca="false">IF($A595="","",I595*H595)</f>
        <v/>
      </c>
      <c r="L595" s="58"/>
      <c r="M595" s="54" t="str">
        <f aca="false">IF($A595="","",IF(B595="CÓDIGO?","CÓDIGO NÃO ACHADO",IF($D595="","FALTA ITEM DO ANEXO",IF($D595="INDIRETO","",IF(COUNTIFS('Anexo III'!$B$8:$B$400,$D595,'Anexo III'!$E$8:$E$400,"&gt;0")=0,"ITEM NÃO ACHADO NO ANEXO","")))))</f>
        <v/>
      </c>
    </row>
    <row r="596" customFormat="false" ht="15" hidden="false" customHeight="false" outlineLevel="0" collapsed="false">
      <c r="A596" s="43"/>
      <c r="B596" s="53" t="str">
        <f aca="false">IF($A596="","",IF(ISNUMBER(MATCH($A596,'Cotação de Materiais'!$A$4:$A$200,0)),"MAT",IF(ISNUMBER(MATCH($A596,'Mão de Obra e Serviços'!$A$4:$A$200,0)),"MO","CÓDIGO?")))</f>
        <v/>
      </c>
      <c r="C596" s="54" t="str">
        <f aca="false">IF($A596="","",IFERROR(INDEX('Cotação de Materiais'!$C$4:$C$200,MATCH($A596,'Cotação de Materiais'!$A$4:$A$200,0)),IFERROR(INDEX('Mão de Obra e Serviços'!$B$4:$B$200,MATCH($A596,'Mão de Obra e Serviços'!$A$4:$A$200,0)),"")))</f>
        <v/>
      </c>
      <c r="D596" s="43"/>
      <c r="E596" s="43"/>
      <c r="F596" s="43"/>
      <c r="G596" s="57" t="str">
        <f aca="false">IF($A596="","",E596*IF(F596="",1,F596))</f>
        <v/>
      </c>
      <c r="H596" s="31" t="str">
        <f aca="false">IF($A596="","",IF(SUMIF($A$6:$A$600,$A596,$G$6:$G$600)=0,0,G596/SUMIF($A$6:$A$600,$A596,$G$6:$G$600)))</f>
        <v/>
      </c>
      <c r="I596" s="30" t="str">
        <f aca="false">IF($A596="","",IFERROR(INDEX('Cotação de Materiais'!$H$4:$H$200,MATCH($A596,'Cotação de Materiais'!$A$4:$A$200,0)),IFERROR(INDEX('Mão de Obra e Serviços'!$G$4:$G$200,MATCH($A596,'Mão de Obra e Serviços'!$A$4:$A$200,0)),0)))</f>
        <v/>
      </c>
      <c r="K596" s="30" t="str">
        <f aca="false">IF($A596="","",I596*H596)</f>
        <v/>
      </c>
      <c r="L596" s="58"/>
      <c r="M596" s="54" t="str">
        <f aca="false">IF($A596="","",IF(B596="CÓDIGO?","CÓDIGO NÃO ACHADO",IF($D596="","FALTA ITEM DO ANEXO",IF($D596="INDIRETO","",IF(COUNTIFS('Anexo III'!$B$8:$B$400,$D596,'Anexo III'!$E$8:$E$400,"&gt;0")=0,"ITEM NÃO ACHADO NO ANEXO","")))))</f>
        <v/>
      </c>
    </row>
    <row r="597" customFormat="false" ht="15" hidden="false" customHeight="false" outlineLevel="0" collapsed="false">
      <c r="A597" s="43"/>
      <c r="B597" s="53" t="str">
        <f aca="false">IF($A597="","",IF(ISNUMBER(MATCH($A597,'Cotação de Materiais'!$A$4:$A$200,0)),"MAT",IF(ISNUMBER(MATCH($A597,'Mão de Obra e Serviços'!$A$4:$A$200,0)),"MO","CÓDIGO?")))</f>
        <v/>
      </c>
      <c r="C597" s="54" t="str">
        <f aca="false">IF($A597="","",IFERROR(INDEX('Cotação de Materiais'!$C$4:$C$200,MATCH($A597,'Cotação de Materiais'!$A$4:$A$200,0)),IFERROR(INDEX('Mão de Obra e Serviços'!$B$4:$B$200,MATCH($A597,'Mão de Obra e Serviços'!$A$4:$A$200,0)),"")))</f>
        <v/>
      </c>
      <c r="D597" s="43"/>
      <c r="E597" s="43"/>
      <c r="F597" s="43"/>
      <c r="G597" s="57" t="str">
        <f aca="false">IF($A597="","",E597*IF(F597="",1,F597))</f>
        <v/>
      </c>
      <c r="H597" s="31" t="str">
        <f aca="false">IF($A597="","",IF(SUMIF($A$6:$A$600,$A597,$G$6:$G$600)=0,0,G597/SUMIF($A$6:$A$600,$A597,$G$6:$G$600)))</f>
        <v/>
      </c>
      <c r="I597" s="30" t="str">
        <f aca="false">IF($A597="","",IFERROR(INDEX('Cotação de Materiais'!$H$4:$H$200,MATCH($A597,'Cotação de Materiais'!$A$4:$A$200,0)),IFERROR(INDEX('Mão de Obra e Serviços'!$G$4:$G$200,MATCH($A597,'Mão de Obra e Serviços'!$A$4:$A$200,0)),0)))</f>
        <v/>
      </c>
      <c r="K597" s="30" t="str">
        <f aca="false">IF($A597="","",I597*H597)</f>
        <v/>
      </c>
      <c r="L597" s="58"/>
      <c r="M597" s="54" t="str">
        <f aca="false">IF($A597="","",IF(B597="CÓDIGO?","CÓDIGO NÃO ACHADO",IF($D597="","FALTA ITEM DO ANEXO",IF($D597="INDIRETO","",IF(COUNTIFS('Anexo III'!$B$8:$B$400,$D597,'Anexo III'!$E$8:$E$400,"&gt;0")=0,"ITEM NÃO ACHADO NO ANEXO","")))))</f>
        <v/>
      </c>
    </row>
    <row r="598" customFormat="false" ht="15" hidden="false" customHeight="false" outlineLevel="0" collapsed="false">
      <c r="A598" s="43"/>
      <c r="B598" s="53" t="str">
        <f aca="false">IF($A598="","",IF(ISNUMBER(MATCH($A598,'Cotação de Materiais'!$A$4:$A$200,0)),"MAT",IF(ISNUMBER(MATCH($A598,'Mão de Obra e Serviços'!$A$4:$A$200,0)),"MO","CÓDIGO?")))</f>
        <v/>
      </c>
      <c r="C598" s="54" t="str">
        <f aca="false">IF($A598="","",IFERROR(INDEX('Cotação de Materiais'!$C$4:$C$200,MATCH($A598,'Cotação de Materiais'!$A$4:$A$200,0)),IFERROR(INDEX('Mão de Obra e Serviços'!$B$4:$B$200,MATCH($A598,'Mão de Obra e Serviços'!$A$4:$A$200,0)),"")))</f>
        <v/>
      </c>
      <c r="D598" s="43"/>
      <c r="E598" s="43"/>
      <c r="F598" s="43"/>
      <c r="G598" s="57" t="str">
        <f aca="false">IF($A598="","",E598*IF(F598="",1,F598))</f>
        <v/>
      </c>
      <c r="H598" s="31" t="str">
        <f aca="false">IF($A598="","",IF(SUMIF($A$6:$A$600,$A598,$G$6:$G$600)=0,0,G598/SUMIF($A$6:$A$600,$A598,$G$6:$G$600)))</f>
        <v/>
      </c>
      <c r="I598" s="30" t="str">
        <f aca="false">IF($A598="","",IFERROR(INDEX('Cotação de Materiais'!$H$4:$H$200,MATCH($A598,'Cotação de Materiais'!$A$4:$A$200,0)),IFERROR(INDEX('Mão de Obra e Serviços'!$G$4:$G$200,MATCH($A598,'Mão de Obra e Serviços'!$A$4:$A$200,0)),0)))</f>
        <v/>
      </c>
      <c r="K598" s="30" t="str">
        <f aca="false">IF($A598="","",I598*H598)</f>
        <v/>
      </c>
      <c r="L598" s="58"/>
      <c r="M598" s="54" t="str">
        <f aca="false">IF($A598="","",IF(B598="CÓDIGO?","CÓDIGO NÃO ACHADO",IF($D598="","FALTA ITEM DO ANEXO",IF($D598="INDIRETO","",IF(COUNTIFS('Anexo III'!$B$8:$B$400,$D598,'Anexo III'!$E$8:$E$400,"&gt;0")=0,"ITEM NÃO ACHADO NO ANEXO","")))))</f>
        <v/>
      </c>
    </row>
    <row r="599" customFormat="false" ht="15" hidden="false" customHeight="false" outlineLevel="0" collapsed="false">
      <c r="A599" s="43"/>
      <c r="B599" s="53" t="str">
        <f aca="false">IF($A599="","",IF(ISNUMBER(MATCH($A599,'Cotação de Materiais'!$A$4:$A$200,0)),"MAT",IF(ISNUMBER(MATCH($A599,'Mão de Obra e Serviços'!$A$4:$A$200,0)),"MO","CÓDIGO?")))</f>
        <v/>
      </c>
      <c r="C599" s="54" t="str">
        <f aca="false">IF($A599="","",IFERROR(INDEX('Cotação de Materiais'!$C$4:$C$200,MATCH($A599,'Cotação de Materiais'!$A$4:$A$200,0)),IFERROR(INDEX('Mão de Obra e Serviços'!$B$4:$B$200,MATCH($A599,'Mão de Obra e Serviços'!$A$4:$A$200,0)),"")))</f>
        <v/>
      </c>
      <c r="D599" s="43"/>
      <c r="E599" s="43"/>
      <c r="F599" s="43"/>
      <c r="G599" s="57" t="str">
        <f aca="false">IF($A599="","",E599*IF(F599="",1,F599))</f>
        <v/>
      </c>
      <c r="H599" s="31" t="str">
        <f aca="false">IF($A599="","",IF(SUMIF($A$6:$A$600,$A599,$G$6:$G$600)=0,0,G599/SUMIF($A$6:$A$600,$A599,$G$6:$G$600)))</f>
        <v/>
      </c>
      <c r="I599" s="30" t="str">
        <f aca="false">IF($A599="","",IFERROR(INDEX('Cotação de Materiais'!$H$4:$H$200,MATCH($A599,'Cotação de Materiais'!$A$4:$A$200,0)),IFERROR(INDEX('Mão de Obra e Serviços'!$G$4:$G$200,MATCH($A599,'Mão de Obra e Serviços'!$A$4:$A$200,0)),0)))</f>
        <v/>
      </c>
      <c r="K599" s="30" t="str">
        <f aca="false">IF($A599="","",I599*H599)</f>
        <v/>
      </c>
      <c r="L599" s="58"/>
      <c r="M599" s="54" t="str">
        <f aca="false">IF($A599="","",IF(B599="CÓDIGO?","CÓDIGO NÃO ACHADO",IF($D599="","FALTA ITEM DO ANEXO",IF($D599="INDIRETO","",IF(COUNTIFS('Anexo III'!$B$8:$B$400,$D599,'Anexo III'!$E$8:$E$400,"&gt;0")=0,"ITEM NÃO ACHADO NO ANEXO","")))))</f>
        <v/>
      </c>
    </row>
    <row r="600" customFormat="false" ht="15" hidden="false" customHeight="false" outlineLevel="0" collapsed="false">
      <c r="A600" s="43"/>
      <c r="B600" s="53" t="str">
        <f aca="false">IF($A600="","",IF(ISNUMBER(MATCH($A600,'Cotação de Materiais'!$A$4:$A$200,0)),"MAT",IF(ISNUMBER(MATCH($A600,'Mão de Obra e Serviços'!$A$4:$A$200,0)),"MO","CÓDIGO?")))</f>
        <v/>
      </c>
      <c r="C600" s="54" t="str">
        <f aca="false">IF($A600="","",IFERROR(INDEX('Cotação de Materiais'!$C$4:$C$200,MATCH($A600,'Cotação de Materiais'!$A$4:$A$200,0)),IFERROR(INDEX('Mão de Obra e Serviços'!$B$4:$B$200,MATCH($A600,'Mão de Obra e Serviços'!$A$4:$A$200,0)),"")))</f>
        <v/>
      </c>
      <c r="D600" s="43"/>
      <c r="E600" s="43"/>
      <c r="F600" s="43"/>
      <c r="G600" s="57" t="str">
        <f aca="false">IF($A600="","",E600*IF(F600="",1,F600))</f>
        <v/>
      </c>
      <c r="H600" s="31" t="str">
        <f aca="false">IF($A600="","",IF(SUMIF($A$6:$A$600,$A600,$G$6:$G$600)=0,0,G600/SUMIF($A$6:$A$600,$A600,$G$6:$G$600)))</f>
        <v/>
      </c>
      <c r="I600" s="30" t="str">
        <f aca="false">IF($A600="","",IFERROR(INDEX('Cotação de Materiais'!$H$4:$H$200,MATCH($A600,'Cotação de Materiais'!$A$4:$A$200,0)),IFERROR(INDEX('Mão de Obra e Serviços'!$G$4:$G$200,MATCH($A600,'Mão de Obra e Serviços'!$A$4:$A$200,0)),0)))</f>
        <v/>
      </c>
      <c r="K600" s="30" t="str">
        <f aca="false">IF($A600="","",I600*H600)</f>
        <v/>
      </c>
      <c r="L600" s="58"/>
      <c r="M600" s="54" t="str">
        <f aca="false">IF($A600="","",IF(B600="CÓDIGO?","CÓDIGO NÃO ACHADO",IF($D600="","FALTA ITEM DO ANEXO",IF($D600="INDIRETO","",IF(COUNTIFS('Anexo III'!$B$8:$B$400,$D600,'Anexo III'!$E$8:$E$400,"&gt;0")=0,"ITEM NÃO ACHADO NO ANEXO","")))))</f>
        <v/>
      </c>
    </row>
  </sheetData>
  <conditionalFormatting sqref="M6:M600">
    <cfRule type="expression" priority="2" aboveAverage="0" equalAverage="0" bottom="0" percent="0" rank="0" text="" dxfId="1">
      <formula>LEN($M6)&gt;0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60"/>
    <col collapsed="false" customWidth="true" hidden="false" outlineLevel="0" max="4" min="4" style="0" width="7"/>
    <col collapsed="false" customWidth="true" hidden="false" outlineLevel="0" max="5" min="5" style="0" width="9"/>
    <col collapsed="false" customWidth="true" hidden="false" outlineLevel="0" max="8" min="6" style="0" width="15"/>
    <col collapsed="false" customWidth="true" hidden="false" outlineLevel="0" max="10" min="9" style="0" width="16"/>
    <col collapsed="false" customWidth="true" hidden="false" outlineLevel="0" max="11" min="11" style="0" width="17"/>
    <col collapsed="false" customWidth="true" hidden="false" outlineLevel="0" max="12" min="12" style="0" width="26"/>
    <col collapsed="false" customWidth="true" hidden="false" outlineLevel="0" max="13" min="13" style="0" width="16"/>
    <col collapsed="false" customWidth="true" hidden="false" outlineLevel="0" max="18" min="14" style="0" width="15"/>
    <col collapsed="false" customWidth="true" hidden="false" outlineLevel="0" max="20" min="19" style="0" width="16"/>
    <col collapsed="false" customWidth="true" hidden="false" outlineLevel="0" max="21" min="21" style="0" width="8"/>
    <col collapsed="false" customWidth="true" hidden="false" outlineLevel="0" max="23" min="22" style="0" width="14"/>
    <col collapsed="false" customWidth="true" hidden="false" outlineLevel="0" max="24" min="24" style="0" width="6"/>
  </cols>
  <sheetData>
    <row r="1" customFormat="false" ht="17.35" hidden="false" customHeight="false" outlineLevel="0" collapsed="false">
      <c r="A1" s="12" t="s">
        <v>500</v>
      </c>
    </row>
    <row r="2" customFormat="false" ht="15" hidden="false" customHeight="false" outlineLevel="0" collapsed="false">
      <c r="A2" s="59" t="s">
        <v>501</v>
      </c>
    </row>
    <row r="3" customFormat="false" ht="15" hidden="false" customHeight="false" outlineLevel="0" collapsed="false">
      <c r="C3" s="60" t="s">
        <v>502</v>
      </c>
      <c r="E3" s="61" t="s">
        <v>503</v>
      </c>
      <c r="F3" s="30" t="n">
        <f aca="false">ROUND(Precificação!B8-SUMPRODUCT(E8:E400,V8:V400)-SUMPRODUCT(E8:E400,W8:W400),2)</f>
        <v>-0.42</v>
      </c>
      <c r="I3" s="62" t="n">
        <f aca="false">SUM(I8:I400)</f>
        <v>149738.47</v>
      </c>
      <c r="J3" s="62" t="n">
        <f aca="false">SUM(J8:J400)</f>
        <v>189761.53</v>
      </c>
      <c r="K3" s="62" t="n">
        <f aca="false">SUM(K8:K400)</f>
        <v>339500</v>
      </c>
      <c r="L3" s="63" t="str">
        <f aca="false">IF(AND(ABS(K3-Precificação!B8)&lt;0.005,Precificação!B30=0),"FECHA NO PREÇO","NÃO FECHA / CONFERIR RATEIO")</f>
        <v>FECHA NO PREÇO</v>
      </c>
      <c r="N3" s="50" t="n">
        <f aca="false">SUM(N8:N400)</f>
        <v>78254.4812</v>
      </c>
      <c r="O3" s="50" t="n">
        <f aca="false">SUM(O8:O400)</f>
        <v>98194.3333333333</v>
      </c>
      <c r="P3" s="50" t="n">
        <f aca="false">SUM(P8:P400)</f>
        <v>280</v>
      </c>
      <c r="Q3" s="50" t="n">
        <f aca="false">SUM(Q8:Q400)</f>
        <v>20367.6666666667</v>
      </c>
      <c r="R3" s="50" t="n">
        <f aca="false">SUM(R8:R400)</f>
        <v>197096.4812</v>
      </c>
      <c r="S3" s="50" t="n">
        <f aca="false">SUM(S8:S400)</f>
        <v>149736.2406</v>
      </c>
      <c r="T3" s="50" t="n">
        <f aca="false">SUM(T8:T400)</f>
        <v>189763.7594</v>
      </c>
    </row>
    <row r="4" customFormat="false" ht="15" hidden="false" customHeight="false" outlineLevel="0" collapsed="false">
      <c r="A4" s="14" t="s">
        <v>504</v>
      </c>
      <c r="P4" s="61" t="s">
        <v>505</v>
      </c>
      <c r="R4" s="30" t="n">
        <f aca="false">'Rateio Anexo'!G3</f>
        <v>280</v>
      </c>
      <c r="S4" s="61" t="s">
        <v>506</v>
      </c>
      <c r="T4" s="30" t="n">
        <f aca="false">'Rateio Anexo'!K3</f>
        <v>20367.6666666667</v>
      </c>
    </row>
    <row r="5" customFormat="false" ht="15" hidden="false" customHeight="false" outlineLevel="0" collapsed="false">
      <c r="N5" s="14" t="s">
        <v>507</v>
      </c>
    </row>
    <row r="7" customFormat="false" ht="31.5" hidden="false" customHeight="true" outlineLevel="0" collapsed="false">
      <c r="A7" s="15" t="s">
        <v>508</v>
      </c>
      <c r="B7" s="15" t="s">
        <v>509</v>
      </c>
      <c r="C7" s="15" t="s">
        <v>510</v>
      </c>
      <c r="D7" s="15" t="s">
        <v>511</v>
      </c>
      <c r="E7" s="15" t="s">
        <v>512</v>
      </c>
      <c r="F7" s="15" t="s">
        <v>513</v>
      </c>
      <c r="G7" s="15" t="s">
        <v>514</v>
      </c>
      <c r="H7" s="15" t="s">
        <v>515</v>
      </c>
      <c r="I7" s="15" t="s">
        <v>516</v>
      </c>
      <c r="J7" s="15" t="s">
        <v>517</v>
      </c>
      <c r="K7" s="15" t="s">
        <v>110</v>
      </c>
      <c r="L7" s="15" t="s">
        <v>518</v>
      </c>
      <c r="M7" s="15" t="s">
        <v>519</v>
      </c>
      <c r="N7" s="15" t="s">
        <v>520</v>
      </c>
      <c r="O7" s="15" t="s">
        <v>521</v>
      </c>
      <c r="P7" s="15" t="s">
        <v>522</v>
      </c>
      <c r="Q7" s="15" t="s">
        <v>523</v>
      </c>
      <c r="R7" s="15" t="s">
        <v>92</v>
      </c>
      <c r="S7" s="15" t="s">
        <v>94</v>
      </c>
      <c r="T7" s="15" t="s">
        <v>96</v>
      </c>
      <c r="U7" s="15" t="s">
        <v>524</v>
      </c>
      <c r="V7" s="15" t="s">
        <v>525</v>
      </c>
      <c r="W7" s="15" t="s">
        <v>526</v>
      </c>
      <c r="X7" s="14" t="s">
        <v>527</v>
      </c>
    </row>
    <row r="8" customFormat="false" ht="15" hidden="false" customHeight="false" outlineLevel="0" collapsed="false">
      <c r="A8" s="64"/>
      <c r="B8" s="65" t="s">
        <v>528</v>
      </c>
      <c r="C8" s="18" t="s">
        <v>529</v>
      </c>
      <c r="D8" s="64"/>
      <c r="E8" s="64"/>
      <c r="F8" s="66" t="str">
        <f aca="false">IF($E8="","",V8)</f>
        <v/>
      </c>
      <c r="G8" s="66" t="str">
        <f aca="false">IF($E8="","",ROUND(W8+IF($B8=Precificação!$B$26,$F$3/$E8,0),2))</f>
        <v/>
      </c>
      <c r="H8" s="30" t="str">
        <f aca="false">IF($E8="","",F8+G8)</f>
        <v/>
      </c>
      <c r="I8" s="30" t="str">
        <f aca="false">IF($E8="","",$E8*F8)</f>
        <v/>
      </c>
      <c r="J8" s="30" t="str">
        <f aca="false">IF($E8="","",$E8*G8)</f>
        <v/>
      </c>
      <c r="K8" s="30" t="str">
        <f aca="false">IF($E8="","",I8+J8)</f>
        <v/>
      </c>
      <c r="L8" s="53" t="str">
        <f aca="false">IF($E8="","",IF(R8=0,"SEM CUSTO — falta linha de custo","OK"))</f>
        <v/>
      </c>
      <c r="M8" s="67" t="str">
        <f aca="false">IF(AND(ISNUMBER(E8),NOT(ISNUMBER(E7))),"F"&amp;ROW()&amp;":G"&amp;X8,"")</f>
        <v/>
      </c>
      <c r="N8" s="30" t="str">
        <f aca="false">IF($E8="","",SUMIFS('Rateio Anexo'!$K$6:$K$600,'Rateio Anexo'!$D$6:$D$600,$B8,'Rateio Anexo'!$B$6:$B$600,"MAT"))</f>
        <v/>
      </c>
      <c r="O8" s="30" t="str">
        <f aca="false">IF($E8="","",SUMIFS('Rateio Anexo'!$K$6:$K$600,'Rateio Anexo'!$D$6:$D$600,$B8,'Rateio Anexo'!$B$6:$B$600,"MO"))</f>
        <v/>
      </c>
      <c r="P8" s="30" t="str">
        <f aca="false">IF($E8="","",IF($N$3=0,0,N8/$N$3*$R$4))</f>
        <v/>
      </c>
      <c r="Q8" s="30" t="str">
        <f aca="false">IF($E8="","",IF($O$3=0,0,O8/$O$3*$T$4))</f>
        <v/>
      </c>
      <c r="R8" s="30" t="str">
        <f aca="false">IF($E8="","",N8+O8+P8+Q8)</f>
        <v/>
      </c>
      <c r="S8" s="30" t="str">
        <f aca="false">IF($E8="","",(N8+P8)*Precificação!$B$19)</f>
        <v/>
      </c>
      <c r="T8" s="30" t="str">
        <f aca="false">IF($E8="","",(O8+Q8)*Precificação!$B$20)</f>
        <v/>
      </c>
      <c r="U8" s="68" t="str">
        <f aca="false">IF($E8="","",IF($E8=INT($E8),0.01,IF($E8*2=INT($E8*2),0.02,0.05)))</f>
        <v/>
      </c>
      <c r="V8" s="30" t="str">
        <f aca="false">IF($E8="","",ROUND(S8/$E8/U8,0)*U8)</f>
        <v/>
      </c>
      <c r="W8" s="30" t="str">
        <f aca="false">IF($E8="","",ROUND(T8/$E8/U8,0)*U8)</f>
        <v/>
      </c>
      <c r="X8" s="14" t="str">
        <f aca="false">IF(NOT(ISNUMBER(E8)),"",IF(NOT(ISNUMBER(E9)),ROW(),X9))</f>
        <v/>
      </c>
    </row>
    <row r="9" customFormat="false" ht="15" hidden="false" customHeight="false" outlineLevel="0" collapsed="false">
      <c r="A9" s="65" t="n">
        <v>1</v>
      </c>
      <c r="B9" s="65" t="s">
        <v>530</v>
      </c>
      <c r="C9" s="18" t="s">
        <v>531</v>
      </c>
      <c r="D9" s="64"/>
      <c r="E9" s="64"/>
      <c r="F9" s="66" t="str">
        <f aca="false">IF($E9="","",V9)</f>
        <v/>
      </c>
      <c r="G9" s="66" t="str">
        <f aca="false">IF($E9="","",ROUND(W9+IF($B9=Precificação!$B$26,$F$3/$E9,0),2))</f>
        <v/>
      </c>
      <c r="H9" s="30" t="str">
        <f aca="false">IF($E9="","",F9+G9)</f>
        <v/>
      </c>
      <c r="I9" s="30" t="str">
        <f aca="false">IF($E9="","",$E9*F9)</f>
        <v/>
      </c>
      <c r="J9" s="30" t="str">
        <f aca="false">IF($E9="","",$E9*G9)</f>
        <v/>
      </c>
      <c r="K9" s="30" t="str">
        <f aca="false">IF($E9="","",I9+J9)</f>
        <v/>
      </c>
      <c r="L9" s="53" t="str">
        <f aca="false">IF($E9="","",IF(R9=0,"SEM CUSTO — falta linha de custo","OK"))</f>
        <v/>
      </c>
      <c r="M9" s="67" t="str">
        <f aca="false">IF(AND(ISNUMBER(E9),NOT(ISNUMBER(E8))),"F"&amp;ROW()&amp;":G"&amp;X9,"")</f>
        <v/>
      </c>
      <c r="N9" s="30" t="str">
        <f aca="false">IF($E9="","",SUMIFS('Rateio Anexo'!$K$6:$K$600,'Rateio Anexo'!$D$6:$D$600,$B9,'Rateio Anexo'!$B$6:$B$600,"MAT"))</f>
        <v/>
      </c>
      <c r="O9" s="30" t="str">
        <f aca="false">IF($E9="","",SUMIFS('Rateio Anexo'!$K$6:$K$600,'Rateio Anexo'!$D$6:$D$600,$B9,'Rateio Anexo'!$B$6:$B$600,"MO"))</f>
        <v/>
      </c>
      <c r="P9" s="30" t="str">
        <f aca="false">IF($E9="","",IF($N$3=0,0,N9/$N$3*$R$4))</f>
        <v/>
      </c>
      <c r="Q9" s="30" t="str">
        <f aca="false">IF($E9="","",IF($O$3=0,0,O9/$O$3*$T$4))</f>
        <v/>
      </c>
      <c r="R9" s="30" t="str">
        <f aca="false">IF($E9="","",N9+O9+P9+Q9)</f>
        <v/>
      </c>
      <c r="S9" s="30" t="str">
        <f aca="false">IF($E9="","",(N9+P9)*Precificação!$B$19)</f>
        <v/>
      </c>
      <c r="T9" s="30" t="str">
        <f aca="false">IF($E9="","",(O9+Q9)*Precificação!$B$20)</f>
        <v/>
      </c>
      <c r="U9" s="68" t="str">
        <f aca="false">IF($E9="","",IF($E9=INT($E9),0.01,IF($E9*2=INT($E9*2),0.02,0.05)))</f>
        <v/>
      </c>
      <c r="V9" s="30" t="str">
        <f aca="false">IF($E9="","",ROUND(S9/$E9/U9,0)*U9)</f>
        <v/>
      </c>
      <c r="W9" s="30" t="str">
        <f aca="false">IF($E9="","",ROUND(T9/$E9/U9,0)*U9)</f>
        <v/>
      </c>
      <c r="X9" s="14" t="str">
        <f aca="false">IF(NOT(ISNUMBER(E9)),"",IF(NOT(ISNUMBER(E10)),ROW(),X10))</f>
        <v/>
      </c>
    </row>
    <row r="10" customFormat="false" ht="15" hidden="false" customHeight="false" outlineLevel="0" collapsed="false">
      <c r="A10" s="64" t="n">
        <v>2</v>
      </c>
      <c r="B10" s="64" t="s">
        <v>435</v>
      </c>
      <c r="C10" s="16" t="s">
        <v>532</v>
      </c>
      <c r="D10" s="64" t="s">
        <v>533</v>
      </c>
      <c r="E10" s="64" t="n">
        <v>2</v>
      </c>
      <c r="F10" s="66" t="n">
        <f aca="false">IF($E10="","",V10)</f>
        <v>3836.47</v>
      </c>
      <c r="G10" s="66" t="n">
        <f aca="false">IF($E10="","",ROUND(W10+IF($B10=Precificação!$B$26,$F$3/$E10,0),2))</f>
        <v>1240.75</v>
      </c>
      <c r="H10" s="30" t="n">
        <f aca="false">IF($E10="","",F10+G10)</f>
        <v>5077.22</v>
      </c>
      <c r="I10" s="30" t="n">
        <f aca="false">IF($E10="","",$E10*F10)</f>
        <v>7672.94</v>
      </c>
      <c r="J10" s="30" t="n">
        <f aca="false">IF($E10="","",$E10*G10)</f>
        <v>2481.5</v>
      </c>
      <c r="K10" s="30" t="n">
        <f aca="false">IF($E10="","",I10+J10)</f>
        <v>10154.44</v>
      </c>
      <c r="L10" s="53" t="str">
        <f aca="false">IF($E10="","",IF(R10=0,"SEM CUSTO — falta linha de custo","OK"))</f>
        <v>OK</v>
      </c>
      <c r="M10" s="67" t="str">
        <f aca="false">IF(AND(ISNUMBER(E10),NOT(ISNUMBER(E9))),"F"&amp;ROW()&amp;":G"&amp;X10,"")</f>
        <v>F10:G13</v>
      </c>
      <c r="N10" s="30" t="n">
        <f aca="false">IF($E10="","",SUMIFS('Rateio Anexo'!$K$6:$K$600,'Rateio Anexo'!$D$6:$D$600,$B10,'Rateio Anexo'!$B$6:$B$600,"MAT"))</f>
        <v>4010</v>
      </c>
      <c r="O10" s="30" t="n">
        <f aca="false">IF($E10="","",SUMIFS('Rateio Anexo'!$K$6:$K$600,'Rateio Anexo'!$D$6:$D$600,$B10,'Rateio Anexo'!$B$6:$B$600,"MO"))</f>
        <v>1284.06350097858</v>
      </c>
      <c r="P10" s="30" t="n">
        <f aca="false">IF($E10="","",IF($N$3=0,0,N10/$N$3*$R$4))</f>
        <v>14.3480601082817</v>
      </c>
      <c r="Q10" s="30" t="n">
        <f aca="false">IF($E10="","",IF($O$3=0,0,O10/$O$3*$T$4))</f>
        <v>266.343041181244</v>
      </c>
      <c r="R10" s="30" t="n">
        <f aca="false">IF($E10="","",N10+O10+P10+Q10)</f>
        <v>5574.75460226811</v>
      </c>
      <c r="S10" s="30" t="n">
        <f aca="false">IF($E10="","",(N10+P10)*Precificação!$B$19)</f>
        <v>7672.94493041761</v>
      </c>
      <c r="T10" s="30" t="n">
        <f aca="false">IF($E10="","",(O10+Q10)*Precificação!$B$20)</f>
        <v>2481.49469508445</v>
      </c>
      <c r="U10" s="68" t="n">
        <f aca="false">IF($E10="","",IF($E10=INT($E10),0.01,IF($E10*2=INT($E10*2),0.02,0.05)))</f>
        <v>0.01</v>
      </c>
      <c r="V10" s="30" t="n">
        <f aca="false">IF($E10="","",ROUND(S10/$E10/U10,0)*U10)</f>
        <v>3836.47</v>
      </c>
      <c r="W10" s="30" t="n">
        <f aca="false">IF($E10="","",ROUND(T10/$E10/U10,0)*U10)</f>
        <v>1240.75</v>
      </c>
      <c r="X10" s="14" t="n">
        <f aca="false">IF(NOT(ISNUMBER(E10)),"",IF(NOT(ISNUMBER(E11)),ROW(),X11))</f>
        <v>13</v>
      </c>
    </row>
    <row r="11" customFormat="false" ht="15" hidden="false" customHeight="false" outlineLevel="0" collapsed="false">
      <c r="A11" s="64" t="n">
        <v>3</v>
      </c>
      <c r="B11" s="64" t="s">
        <v>433</v>
      </c>
      <c r="C11" s="16" t="s">
        <v>534</v>
      </c>
      <c r="D11" s="64" t="s">
        <v>533</v>
      </c>
      <c r="E11" s="64" t="n">
        <v>4</v>
      </c>
      <c r="F11" s="66" t="n">
        <f aca="false">IF($E11="","",V11)</f>
        <v>797.07</v>
      </c>
      <c r="G11" s="66" t="n">
        <f aca="false">IF($E11="","",ROUND(W11+IF($B11=Precificação!$B$26,$F$3/$E11,0),2))</f>
        <v>627.33</v>
      </c>
      <c r="H11" s="30" t="n">
        <f aca="false">IF($E11="","",F11+G11)</f>
        <v>1424.4</v>
      </c>
      <c r="I11" s="30" t="n">
        <f aca="false">IF($E11="","",$E11*F11)</f>
        <v>3188.28</v>
      </c>
      <c r="J11" s="30" t="n">
        <f aca="false">IF($E11="","",$E11*G11)</f>
        <v>2509.32</v>
      </c>
      <c r="K11" s="30" t="n">
        <f aca="false">IF($E11="","",I11+J11)</f>
        <v>5697.6</v>
      </c>
      <c r="L11" s="53" t="str">
        <f aca="false">IF($E11="","",IF(R11=0,"SEM CUSTO — falta linha de custo","OK"))</f>
        <v>OK</v>
      </c>
      <c r="M11" s="67" t="str">
        <f aca="false">IF(AND(ISNUMBER(E11),NOT(ISNUMBER(E10))),"F"&amp;ROW()&amp;":G"&amp;X11,"")</f>
        <v/>
      </c>
      <c r="N11" s="30" t="n">
        <f aca="false">IF($E11="","",SUMIFS('Rateio Anexo'!$K$6:$K$600,'Rateio Anexo'!$D$6:$D$600,$B11,'Rateio Anexo'!$B$6:$B$600,"MAT"))</f>
        <v>1666.25</v>
      </c>
      <c r="O11" s="30" t="n">
        <f aca="false">IF($E11="","",SUMIFS('Rateio Anexo'!$K$6:$K$600,'Rateio Anexo'!$D$6:$D$600,$B11,'Rateio Anexo'!$B$6:$B$600,"MO"))</f>
        <v>1298.46093902201</v>
      </c>
      <c r="P11" s="30" t="n">
        <f aca="false">IF($E11="","",IF($N$3=0,0,N11/$N$3*$R$4))</f>
        <v>5.96195889162703</v>
      </c>
      <c r="Q11" s="30" t="n">
        <f aca="false">IF($E11="","",IF($O$3=0,0,O11/$O$3*$T$4))</f>
        <v>269.329386818188</v>
      </c>
      <c r="R11" s="30" t="n">
        <f aca="false">IF($E11="","",N11+O11+P11+Q11)</f>
        <v>3240.00228473183</v>
      </c>
      <c r="S11" s="30" t="n">
        <f aca="false">IF($E11="","",(N11+P11)*Precificação!$B$19)</f>
        <v>3188.29039658562</v>
      </c>
      <c r="T11" s="30" t="n">
        <f aca="false">IF($E11="","",(O11+Q11)*Precificação!$B$20)</f>
        <v>2509.31821479384</v>
      </c>
      <c r="U11" s="68" t="n">
        <f aca="false">IF($E11="","",IF($E11=INT($E11),0.01,IF($E11*2=INT($E11*2),0.02,0.05)))</f>
        <v>0.01</v>
      </c>
      <c r="V11" s="30" t="n">
        <f aca="false">IF($E11="","",ROUND(S11/$E11/U11,0)*U11)</f>
        <v>797.07</v>
      </c>
      <c r="W11" s="30" t="n">
        <f aca="false">IF($E11="","",ROUND(T11/$E11/U11,0)*U11)</f>
        <v>627.33</v>
      </c>
      <c r="X11" s="14" t="n">
        <f aca="false">IF(NOT(ISNUMBER(E11)),"",IF(NOT(ISNUMBER(E12)),ROW(),X12))</f>
        <v>13</v>
      </c>
    </row>
    <row r="12" customFormat="false" ht="15" hidden="false" customHeight="false" outlineLevel="0" collapsed="false">
      <c r="A12" s="64" t="n">
        <v>4</v>
      </c>
      <c r="B12" s="64" t="s">
        <v>437</v>
      </c>
      <c r="C12" s="16" t="s">
        <v>535</v>
      </c>
      <c r="D12" s="64" t="s">
        <v>533</v>
      </c>
      <c r="E12" s="64" t="n">
        <v>2</v>
      </c>
      <c r="F12" s="66" t="n">
        <f aca="false">IF($E12="","",V12)</f>
        <v>535.77</v>
      </c>
      <c r="G12" s="66" t="n">
        <f aca="false">IF($E12="","",ROUND(W12+IF($B12=Precificação!$B$26,$F$3/$E12,0),2))</f>
        <v>421.67</v>
      </c>
      <c r="H12" s="30" t="n">
        <f aca="false">IF($E12="","",F12+G12)</f>
        <v>957.44</v>
      </c>
      <c r="I12" s="30" t="n">
        <f aca="false">IF($E12="","",$E12*F12)</f>
        <v>1071.54</v>
      </c>
      <c r="J12" s="30" t="n">
        <f aca="false">IF($E12="","",$E12*G12)</f>
        <v>843.34</v>
      </c>
      <c r="K12" s="30" t="n">
        <f aca="false">IF($E12="","",I12+J12)</f>
        <v>1914.88</v>
      </c>
      <c r="L12" s="53" t="str">
        <f aca="false">IF($E12="","",IF(R12=0,"SEM CUSTO — falta linha de custo","OK"))</f>
        <v>OK</v>
      </c>
      <c r="M12" s="67" t="str">
        <f aca="false">IF(AND(ISNUMBER(E12),NOT(ISNUMBER(E11))),"F"&amp;ROW()&amp;":G"&amp;X12,"")</f>
        <v/>
      </c>
      <c r="N12" s="30" t="n">
        <f aca="false">IF($E12="","",SUMIFS('Rateio Anexo'!$K$6:$K$600,'Rateio Anexo'!$D$6:$D$600,$B12,'Rateio Anexo'!$B$6:$B$600,"MAT"))</f>
        <v>560</v>
      </c>
      <c r="O12" s="30" t="n">
        <f aca="false">IF($E12="","",SUMIFS('Rateio Anexo'!$K$6:$K$600,'Rateio Anexo'!$D$6:$D$600,$B12,'Rateio Anexo'!$B$6:$B$600,"MO"))</f>
        <v>436.391973504773</v>
      </c>
      <c r="P12" s="30" t="n">
        <f aca="false">IF($E12="","",IF($N$3=0,0,N12/$N$3*$R$4))</f>
        <v>2.00371911736602</v>
      </c>
      <c r="Q12" s="30" t="n">
        <f aca="false">IF($E12="","",IF($O$3=0,0,O12/$O$3*$T$4))</f>
        <v>90.5173032967352</v>
      </c>
      <c r="R12" s="30" t="n">
        <f aca="false">IF($E12="","",N12+O12+P12+Q12)</f>
        <v>1088.91299591887</v>
      </c>
      <c r="S12" s="30" t="n">
        <f aca="false">IF($E12="","",(N12+P12)*Precificação!$B$19)</f>
        <v>1071.53345661692</v>
      </c>
      <c r="T12" s="30" t="n">
        <f aca="false">IF($E12="","",(O12+Q12)*Precificação!$B$20)</f>
        <v>843.341755609634</v>
      </c>
      <c r="U12" s="68" t="n">
        <f aca="false">IF($E12="","",IF($E12=INT($E12),0.01,IF($E12*2=INT($E12*2),0.02,0.05)))</f>
        <v>0.01</v>
      </c>
      <c r="V12" s="30" t="n">
        <f aca="false">IF($E12="","",ROUND(S12/$E12/U12,0)*U12)</f>
        <v>535.77</v>
      </c>
      <c r="W12" s="30" t="n">
        <f aca="false">IF($E12="","",ROUND(T12/$E12/U12,0)*U12)</f>
        <v>421.67</v>
      </c>
      <c r="X12" s="14" t="n">
        <f aca="false">IF(NOT(ISNUMBER(E12)),"",IF(NOT(ISNUMBER(E13)),ROW(),X13))</f>
        <v>13</v>
      </c>
    </row>
    <row r="13" customFormat="false" ht="15" hidden="false" customHeight="false" outlineLevel="0" collapsed="false">
      <c r="A13" s="64" t="n">
        <v>5</v>
      </c>
      <c r="B13" s="64" t="s">
        <v>431</v>
      </c>
      <c r="C13" s="16" t="s">
        <v>536</v>
      </c>
      <c r="D13" s="64" t="s">
        <v>533</v>
      </c>
      <c r="E13" s="64" t="n">
        <v>1</v>
      </c>
      <c r="F13" s="66" t="n">
        <f aca="false">IF($E13="","",V13)</f>
        <v>6295.26</v>
      </c>
      <c r="G13" s="66" t="n">
        <f aca="false">IF($E13="","",ROUND(W13+IF($B13=Precificação!$B$26,$F$3/$E13,0),2))</f>
        <v>4954.63</v>
      </c>
      <c r="H13" s="30" t="n">
        <f aca="false">IF($E13="","",F13+G13)</f>
        <v>11249.89</v>
      </c>
      <c r="I13" s="30" t="n">
        <f aca="false">IF($E13="","",$E13*F13)</f>
        <v>6295.26</v>
      </c>
      <c r="J13" s="30" t="n">
        <f aca="false">IF($E13="","",$E13*G13)</f>
        <v>4954.63</v>
      </c>
      <c r="K13" s="30" t="n">
        <f aca="false">IF($E13="","",I13+J13)</f>
        <v>11249.89</v>
      </c>
      <c r="L13" s="53" t="str">
        <f aca="false">IF($E13="","",IF(R13=0,"SEM CUSTO — falta linha de custo","OK"))</f>
        <v>OK</v>
      </c>
      <c r="M13" s="67" t="str">
        <f aca="false">IF(AND(ISNUMBER(E13),NOT(ISNUMBER(E12))),"F"&amp;ROW()&amp;":G"&amp;X13,"")</f>
        <v/>
      </c>
      <c r="N13" s="30" t="n">
        <f aca="false">IF($E13="","",SUMIFS('Rateio Anexo'!$K$6:$K$600,'Rateio Anexo'!$D$6:$D$600,$B13,'Rateio Anexo'!$B$6:$B$600,"MAT"))</f>
        <v>3290</v>
      </c>
      <c r="O13" s="30" t="n">
        <f aca="false">IF($E13="","",SUMIFS('Rateio Anexo'!$K$6:$K$600,'Rateio Anexo'!$D$6:$D$600,$B13,'Rateio Anexo'!$B$6:$B$600,"MO"))</f>
        <v>2563.80284434054</v>
      </c>
      <c r="P13" s="30" t="n">
        <f aca="false">IF($E13="","",IF($N$3=0,0,N13/$N$3*$R$4))</f>
        <v>11.7718498145254</v>
      </c>
      <c r="Q13" s="30" t="n">
        <f aca="false">IF($E13="","",IF($O$3=0,0,O13/$O$3*$T$4))</f>
        <v>531.789156868319</v>
      </c>
      <c r="R13" s="30" t="n">
        <f aca="false">IF($E13="","",N13+O13+P13+Q13)</f>
        <v>6397.36385102339</v>
      </c>
      <c r="S13" s="30" t="n">
        <f aca="false">IF($E13="","",(N13+P13)*Precificação!$B$19)</f>
        <v>6295.25905762442</v>
      </c>
      <c r="T13" s="30" t="n">
        <f aca="false">IF($E13="","",(O13+Q13)*Precificação!$B$20)</f>
        <v>4954.6328142066</v>
      </c>
      <c r="U13" s="68" t="n">
        <f aca="false">IF($E13="","",IF($E13=INT($E13),0.01,IF($E13*2=INT($E13*2),0.02,0.05)))</f>
        <v>0.01</v>
      </c>
      <c r="V13" s="30" t="n">
        <f aca="false">IF($E13="","",ROUND(S13/$E13/U13,0)*U13)</f>
        <v>6295.26</v>
      </c>
      <c r="W13" s="30" t="n">
        <f aca="false">IF($E13="","",ROUND(T13/$E13/U13,0)*U13)</f>
        <v>4954.63</v>
      </c>
      <c r="X13" s="14" t="n">
        <f aca="false">IF(NOT(ISNUMBER(E13)),"",IF(NOT(ISNUMBER(E14)),ROW(),X14))</f>
        <v>13</v>
      </c>
    </row>
    <row r="14" customFormat="false" ht="15" hidden="false" customHeight="false" outlineLevel="0" collapsed="false">
      <c r="A14" s="65" t="n">
        <v>6</v>
      </c>
      <c r="B14" s="65" t="s">
        <v>537</v>
      </c>
      <c r="C14" s="18" t="s">
        <v>538</v>
      </c>
      <c r="D14" s="64"/>
      <c r="E14" s="64"/>
      <c r="F14" s="66" t="str">
        <f aca="false">IF($E14="","",V14)</f>
        <v/>
      </c>
      <c r="G14" s="66" t="str">
        <f aca="false">IF($E14="","",ROUND(W14+IF($B14=Precificação!$B$26,$F$3/$E14,0),2))</f>
        <v/>
      </c>
      <c r="H14" s="30" t="str">
        <f aca="false">IF($E14="","",F14+G14)</f>
        <v/>
      </c>
      <c r="I14" s="30" t="str">
        <f aca="false">IF($E14="","",$E14*F14)</f>
        <v/>
      </c>
      <c r="J14" s="30" t="str">
        <f aca="false">IF($E14="","",$E14*G14)</f>
        <v/>
      </c>
      <c r="K14" s="30" t="str">
        <f aca="false">IF($E14="","",I14+J14)</f>
        <v/>
      </c>
      <c r="L14" s="53" t="str">
        <f aca="false">IF($E14="","",IF(R14=0,"SEM CUSTO — falta linha de custo","OK"))</f>
        <v/>
      </c>
      <c r="M14" s="67" t="str">
        <f aca="false">IF(AND(ISNUMBER(E14),NOT(ISNUMBER(E13))),"F"&amp;ROW()&amp;":G"&amp;X14,"")</f>
        <v/>
      </c>
      <c r="N14" s="30" t="str">
        <f aca="false">IF($E14="","",SUMIFS('Rateio Anexo'!$K$6:$K$600,'Rateio Anexo'!$D$6:$D$600,$B14,'Rateio Anexo'!$B$6:$B$600,"MAT"))</f>
        <v/>
      </c>
      <c r="O14" s="30" t="str">
        <f aca="false">IF($E14="","",SUMIFS('Rateio Anexo'!$K$6:$K$600,'Rateio Anexo'!$D$6:$D$600,$B14,'Rateio Anexo'!$B$6:$B$600,"MO"))</f>
        <v/>
      </c>
      <c r="P14" s="30" t="str">
        <f aca="false">IF($E14="","",IF($N$3=0,0,N14/$N$3*$R$4))</f>
        <v/>
      </c>
      <c r="Q14" s="30" t="str">
        <f aca="false">IF($E14="","",IF($O$3=0,0,O14/$O$3*$T$4))</f>
        <v/>
      </c>
      <c r="R14" s="30" t="str">
        <f aca="false">IF($E14="","",N14+O14+P14+Q14)</f>
        <v/>
      </c>
      <c r="S14" s="30" t="str">
        <f aca="false">IF($E14="","",(N14+P14)*Precificação!$B$19)</f>
        <v/>
      </c>
      <c r="T14" s="30" t="str">
        <f aca="false">IF($E14="","",(O14+Q14)*Precificação!$B$20)</f>
        <v/>
      </c>
      <c r="U14" s="68" t="str">
        <f aca="false">IF($E14="","",IF($E14=INT($E14),0.01,IF($E14*2=INT($E14*2),0.02,0.05)))</f>
        <v/>
      </c>
      <c r="V14" s="30" t="str">
        <f aca="false">IF($E14="","",ROUND(S14/$E14/U14,0)*U14)</f>
        <v/>
      </c>
      <c r="W14" s="30" t="str">
        <f aca="false">IF($E14="","",ROUND(T14/$E14/U14,0)*U14)</f>
        <v/>
      </c>
      <c r="X14" s="14" t="str">
        <f aca="false">IF(NOT(ISNUMBER(E14)),"",IF(NOT(ISNUMBER(E15)),ROW(),X15))</f>
        <v/>
      </c>
    </row>
    <row r="15" customFormat="false" ht="15" hidden="false" customHeight="false" outlineLevel="0" collapsed="false">
      <c r="A15" s="64" t="n">
        <v>7</v>
      </c>
      <c r="B15" s="64" t="s">
        <v>397</v>
      </c>
      <c r="C15" s="16" t="s">
        <v>539</v>
      </c>
      <c r="D15" s="64" t="s">
        <v>540</v>
      </c>
      <c r="E15" s="64" t="n">
        <v>14</v>
      </c>
      <c r="F15" s="66" t="n">
        <f aca="false">IF($E15="","",V15)</f>
        <v>145.01</v>
      </c>
      <c r="G15" s="66" t="n">
        <f aca="false">IF($E15="","",ROUND(W15+IF($B15=Precificação!$B$26,$F$3/$E15,0),2))</f>
        <v>228.71</v>
      </c>
      <c r="H15" s="30" t="n">
        <f aca="false">IF($E15="","",F15+G15)</f>
        <v>373.72</v>
      </c>
      <c r="I15" s="30" t="n">
        <f aca="false">IF($E15="","",$E15*F15)</f>
        <v>2030.14</v>
      </c>
      <c r="J15" s="30" t="n">
        <f aca="false">IF($E15="","",$E15*G15)</f>
        <v>3201.94</v>
      </c>
      <c r="K15" s="30" t="n">
        <f aca="false">IF($E15="","",I15+J15)</f>
        <v>5232.08</v>
      </c>
      <c r="L15" s="53" t="str">
        <f aca="false">IF($E15="","",IF(R15=0,"SEM CUSTO — falta linha de custo","OK"))</f>
        <v>OK</v>
      </c>
      <c r="M15" s="67" t="str">
        <f aca="false">IF(AND(ISNUMBER(E15),NOT(ISNUMBER(E14))),"F"&amp;ROW()&amp;":G"&amp;X15,"")</f>
        <v>F15:G23</v>
      </c>
      <c r="N15" s="30" t="n">
        <f aca="false">IF($E15="","",SUMIFS('Rateio Anexo'!$K$6:$K$600,'Rateio Anexo'!$D$6:$D$600,$B15,'Rateio Anexo'!$B$6:$B$600,"MAT"))</f>
        <v>1060.95027958224</v>
      </c>
      <c r="O15" s="30" t="n">
        <f aca="false">IF($E15="","",SUMIFS('Rateio Anexo'!$K$6:$K$600,'Rateio Anexo'!$D$6:$D$600,$B15,'Rateio Anexo'!$B$6:$B$600,"MO"))</f>
        <v>1656.84058709566</v>
      </c>
      <c r="P15" s="30" t="n">
        <f aca="false">IF($E15="","",IF($N$3=0,0,N15/$N$3*$R$4))</f>
        <v>3.7961542103103</v>
      </c>
      <c r="Q15" s="30" t="n">
        <f aca="false">IF($E15="","",IF($O$3=0,0,O15/$O$3*$T$4))</f>
        <v>343.665216232119</v>
      </c>
      <c r="R15" s="30" t="n">
        <f aca="false">IF($E15="","",N15+O15+P15+Q15)</f>
        <v>3065.25223712034</v>
      </c>
      <c r="S15" s="30" t="n">
        <f aca="false">IF($E15="","",(N15+P15)*Precificação!$B$19)</f>
        <v>2030.07807210617</v>
      </c>
      <c r="T15" s="30" t="n">
        <f aca="false">IF($E15="","",(O15+Q15)*Precificação!$B$20)</f>
        <v>3201.89860107789</v>
      </c>
      <c r="U15" s="68" t="n">
        <f aca="false">IF($E15="","",IF($E15=INT($E15),0.01,IF($E15*2=INT($E15*2),0.02,0.05)))</f>
        <v>0.01</v>
      </c>
      <c r="V15" s="30" t="n">
        <f aca="false">IF($E15="","",ROUND(S15/$E15/U15,0)*U15)</f>
        <v>145.01</v>
      </c>
      <c r="W15" s="30" t="n">
        <f aca="false">IF($E15="","",ROUND(T15/$E15/U15,0)*U15)</f>
        <v>228.71</v>
      </c>
      <c r="X15" s="14" t="n">
        <f aca="false">IF(NOT(ISNUMBER(E15)),"",IF(NOT(ISNUMBER(E16)),ROW(),X16))</f>
        <v>23</v>
      </c>
    </row>
    <row r="16" customFormat="false" ht="15" hidden="false" customHeight="false" outlineLevel="0" collapsed="false">
      <c r="A16" s="64" t="n">
        <v>8</v>
      </c>
      <c r="B16" s="64" t="s">
        <v>399</v>
      </c>
      <c r="C16" s="16" t="s">
        <v>541</v>
      </c>
      <c r="D16" s="64" t="s">
        <v>540</v>
      </c>
      <c r="E16" s="64" t="n">
        <v>11.8</v>
      </c>
      <c r="F16" s="66" t="n">
        <f aca="false">IF($E16="","",V16)</f>
        <v>145</v>
      </c>
      <c r="G16" s="66" t="n">
        <f aca="false">IF($E16="","",ROUND(W16+IF($B16=Precificação!$B$26,$F$3/$E16,0),2))</f>
        <v>228.7</v>
      </c>
      <c r="H16" s="30" t="n">
        <f aca="false">IF($E16="","",F16+G16)</f>
        <v>373.7</v>
      </c>
      <c r="I16" s="30" t="n">
        <f aca="false">IF($E16="","",$E16*F16)</f>
        <v>1711</v>
      </c>
      <c r="J16" s="30" t="n">
        <f aca="false">IF($E16="","",$E16*G16)</f>
        <v>2698.66</v>
      </c>
      <c r="K16" s="30" t="n">
        <f aca="false">IF($E16="","",I16+J16)</f>
        <v>4409.66</v>
      </c>
      <c r="L16" s="53" t="str">
        <f aca="false">IF($E16="","",IF(R16=0,"SEM CUSTO — falta linha de custo","OK"))</f>
        <v>OK</v>
      </c>
      <c r="M16" s="67" t="str">
        <f aca="false">IF(AND(ISNUMBER(E16),NOT(ISNUMBER(E15))),"F"&amp;ROW()&amp;":G"&amp;X16,"")</f>
        <v/>
      </c>
      <c r="N16" s="30" t="n">
        <f aca="false">IF($E16="","",SUMIFS('Rateio Anexo'!$K$6:$K$600,'Rateio Anexo'!$D$6:$D$600,$B16,'Rateio Anexo'!$B$6:$B$600,"MAT"))</f>
        <v>894.229521362177</v>
      </c>
      <c r="O16" s="30" t="n">
        <f aca="false">IF($E16="","",SUMIFS('Rateio Anexo'!$K$6:$K$600,'Rateio Anexo'!$D$6:$D$600,$B16,'Rateio Anexo'!$B$6:$B$600,"MO"))</f>
        <v>1396.4799234092</v>
      </c>
      <c r="P16" s="30" t="n">
        <f aca="false">IF($E16="","",IF($N$3=0,0,N16/$N$3*$R$4))</f>
        <v>3.19961569154725</v>
      </c>
      <c r="Q16" s="30" t="n">
        <f aca="false">IF($E16="","",IF($O$3=0,0,O16/$O$3*$T$4))</f>
        <v>289.660682252786</v>
      </c>
      <c r="R16" s="30" t="n">
        <f aca="false">IF($E16="","",N16+O16+P16+Q16)</f>
        <v>2583.56974271571</v>
      </c>
      <c r="S16" s="30" t="n">
        <f aca="false">IF($E16="","",(N16+P16)*Precificação!$B$19)</f>
        <v>1711.06580363234</v>
      </c>
      <c r="T16" s="30" t="n">
        <f aca="false">IF($E16="","",(O16+Q16)*Precificação!$B$20)</f>
        <v>2698.74310662279</v>
      </c>
      <c r="U16" s="68" t="n">
        <f aca="false">IF($E16="","",IF($E16=INT($E16),0.01,IF($E16*2=INT($E16*2),0.02,0.05)))</f>
        <v>0.05</v>
      </c>
      <c r="V16" s="30" t="n">
        <f aca="false">IF($E16="","",ROUND(S16/$E16/U16,0)*U16)</f>
        <v>145</v>
      </c>
      <c r="W16" s="30" t="n">
        <f aca="false">IF($E16="","",ROUND(T16/$E16/U16,0)*U16)</f>
        <v>228.7</v>
      </c>
      <c r="X16" s="14" t="n">
        <f aca="false">IF(NOT(ISNUMBER(E16)),"",IF(NOT(ISNUMBER(E17)),ROW(),X17))</f>
        <v>23</v>
      </c>
    </row>
    <row r="17" customFormat="false" ht="15" hidden="false" customHeight="false" outlineLevel="0" collapsed="false">
      <c r="A17" s="64" t="n">
        <v>9</v>
      </c>
      <c r="B17" s="64" t="s">
        <v>400</v>
      </c>
      <c r="C17" s="16" t="s">
        <v>542</v>
      </c>
      <c r="D17" s="64" t="s">
        <v>540</v>
      </c>
      <c r="E17" s="64" t="n">
        <v>32</v>
      </c>
      <c r="F17" s="66" t="n">
        <f aca="false">IF($E17="","",V17)</f>
        <v>145.01</v>
      </c>
      <c r="G17" s="66" t="n">
        <f aca="false">IF($E17="","",ROUND(W17+IF($B17=Precificação!$B$26,$F$3/$E17,0),2))</f>
        <v>228.71</v>
      </c>
      <c r="H17" s="30" t="n">
        <f aca="false">IF($E17="","",F17+G17)</f>
        <v>373.72</v>
      </c>
      <c r="I17" s="30" t="n">
        <f aca="false">IF($E17="","",$E17*F17)</f>
        <v>4640.32</v>
      </c>
      <c r="J17" s="30" t="n">
        <f aca="false">IF($E17="","",$E17*G17)</f>
        <v>7318.72</v>
      </c>
      <c r="K17" s="30" t="n">
        <f aca="false">IF($E17="","",I17+J17)</f>
        <v>11959.04</v>
      </c>
      <c r="L17" s="53" t="str">
        <f aca="false">IF($E17="","",IF(R17=0,"SEM CUSTO — falta linha de custo","OK"))</f>
        <v>OK</v>
      </c>
      <c r="M17" s="67" t="str">
        <f aca="false">IF(AND(ISNUMBER(E17),NOT(ISNUMBER(E16))),"F"&amp;ROW()&amp;":G"&amp;X17,"")</f>
        <v/>
      </c>
      <c r="N17" s="30" t="n">
        <f aca="false">IF($E17="","",SUMIFS('Rateio Anexo'!$K$6:$K$600,'Rateio Anexo'!$D$6:$D$600,$B17,'Rateio Anexo'!$B$6:$B$600,"MAT"))</f>
        <v>2425.0292104737</v>
      </c>
      <c r="O17" s="30" t="n">
        <f aca="false">IF($E17="","",SUMIFS('Rateio Anexo'!$K$6:$K$600,'Rateio Anexo'!$D$6:$D$600,$B17,'Rateio Anexo'!$B$6:$B$600,"MO"))</f>
        <v>3787.0641990758</v>
      </c>
      <c r="P17" s="30" t="n">
        <f aca="false">IF($E17="","",IF($N$3=0,0,N17/$N$3*$R$4))</f>
        <v>8.67692390928069</v>
      </c>
      <c r="Q17" s="30" t="n">
        <f aca="false">IF($E17="","",IF($O$3=0,0,O17/$O$3*$T$4))</f>
        <v>785.520494244843</v>
      </c>
      <c r="R17" s="30" t="n">
        <f aca="false">IF($E17="","",N17+O17+P17+Q17)</f>
        <v>7006.29082770362</v>
      </c>
      <c r="S17" s="30" t="n">
        <f aca="false">IF($E17="","",(N17+P17)*Precificação!$B$19)</f>
        <v>4640.17845052838</v>
      </c>
      <c r="T17" s="30" t="n">
        <f aca="false">IF($E17="","",(O17+Q17)*Precificação!$B$20)</f>
        <v>7318.62537389232</v>
      </c>
      <c r="U17" s="68" t="n">
        <f aca="false">IF($E17="","",IF($E17=INT($E17),0.01,IF($E17*2=INT($E17*2),0.02,0.05)))</f>
        <v>0.01</v>
      </c>
      <c r="V17" s="30" t="n">
        <f aca="false">IF($E17="","",ROUND(S17/$E17/U17,0)*U17)</f>
        <v>145.01</v>
      </c>
      <c r="W17" s="30" t="n">
        <f aca="false">IF($E17="","",ROUND(T17/$E17/U17,0)*U17)</f>
        <v>228.71</v>
      </c>
      <c r="X17" s="14" t="n">
        <f aca="false">IF(NOT(ISNUMBER(E17)),"",IF(NOT(ISNUMBER(E18)),ROW(),X18))</f>
        <v>23</v>
      </c>
    </row>
    <row r="18" customFormat="false" ht="15" hidden="false" customHeight="false" outlineLevel="0" collapsed="false">
      <c r="A18" s="64" t="n">
        <v>10</v>
      </c>
      <c r="B18" s="64" t="s">
        <v>401</v>
      </c>
      <c r="C18" s="16" t="s">
        <v>543</v>
      </c>
      <c r="D18" s="64" t="s">
        <v>540</v>
      </c>
      <c r="E18" s="64" t="n">
        <v>25</v>
      </c>
      <c r="F18" s="66" t="n">
        <f aca="false">IF($E18="","",V18)</f>
        <v>145.01</v>
      </c>
      <c r="G18" s="66" t="n">
        <f aca="false">IF($E18="","",ROUND(W18+IF($B18=Precificação!$B$26,$F$3/$E18,0),2))</f>
        <v>228.71</v>
      </c>
      <c r="H18" s="30" t="n">
        <f aca="false">IF($E18="","",F18+G18)</f>
        <v>373.72</v>
      </c>
      <c r="I18" s="30" t="n">
        <f aca="false">IF($E18="","",$E18*F18)</f>
        <v>3625.25</v>
      </c>
      <c r="J18" s="30" t="n">
        <f aca="false">IF($E18="","",$E18*G18)</f>
        <v>5717.75</v>
      </c>
      <c r="K18" s="30" t="n">
        <f aca="false">IF($E18="","",I18+J18)</f>
        <v>9343</v>
      </c>
      <c r="L18" s="53" t="str">
        <f aca="false">IF($E18="","",IF(R18=0,"SEM CUSTO — falta linha de custo","OK"))</f>
        <v>OK</v>
      </c>
      <c r="M18" s="67" t="str">
        <f aca="false">IF(AND(ISNUMBER(E18),NOT(ISNUMBER(E17))),"F"&amp;ROW()&amp;":G"&amp;X18,"")</f>
        <v/>
      </c>
      <c r="N18" s="30" t="n">
        <f aca="false">IF($E18="","",SUMIFS('Rateio Anexo'!$K$6:$K$600,'Rateio Anexo'!$D$6:$D$600,$B18,'Rateio Anexo'!$B$6:$B$600,"MAT"))</f>
        <v>1894.55407068258</v>
      </c>
      <c r="O18" s="30" t="n">
        <f aca="false">IF($E18="","",SUMIFS('Rateio Anexo'!$K$6:$K$600,'Rateio Anexo'!$D$6:$D$600,$B18,'Rateio Anexo'!$B$6:$B$600,"MO"))</f>
        <v>2958.64390552797</v>
      </c>
      <c r="P18" s="30" t="n">
        <f aca="false">IF($E18="","",IF($N$3=0,0,N18/$N$3*$R$4))</f>
        <v>6.77884680412554</v>
      </c>
      <c r="Q18" s="30" t="n">
        <f aca="false">IF($E18="","",IF($O$3=0,0,O18/$O$3*$T$4))</f>
        <v>613.687886128784</v>
      </c>
      <c r="R18" s="30" t="n">
        <f aca="false">IF($E18="","",N18+O18+P18+Q18)</f>
        <v>5473.66470914346</v>
      </c>
      <c r="S18" s="30" t="n">
        <f aca="false">IF($E18="","",(N18+P18)*Precificação!$B$19)</f>
        <v>3625.1394144753</v>
      </c>
      <c r="T18" s="30" t="n">
        <f aca="false">IF($E18="","",(O18+Q18)*Precificação!$B$20)</f>
        <v>5717.67607335338</v>
      </c>
      <c r="U18" s="68" t="n">
        <f aca="false">IF($E18="","",IF($E18=INT($E18),0.01,IF($E18*2=INT($E18*2),0.02,0.05)))</f>
        <v>0.01</v>
      </c>
      <c r="V18" s="30" t="n">
        <f aca="false">IF($E18="","",ROUND(S18/$E18/U18,0)*U18)</f>
        <v>145.01</v>
      </c>
      <c r="W18" s="30" t="n">
        <f aca="false">IF($E18="","",ROUND(T18/$E18/U18,0)*U18)</f>
        <v>228.71</v>
      </c>
      <c r="X18" s="14" t="n">
        <f aca="false">IF(NOT(ISNUMBER(E18)),"",IF(NOT(ISNUMBER(E19)),ROW(),X19))</f>
        <v>23</v>
      </c>
    </row>
    <row r="19" customFormat="false" ht="15" hidden="false" customHeight="false" outlineLevel="0" collapsed="false">
      <c r="A19" s="64" t="n">
        <v>11</v>
      </c>
      <c r="B19" s="64" t="s">
        <v>402</v>
      </c>
      <c r="C19" s="16" t="s">
        <v>544</v>
      </c>
      <c r="D19" s="64" t="s">
        <v>540</v>
      </c>
      <c r="E19" s="64" t="n">
        <v>16.5</v>
      </c>
      <c r="F19" s="66" t="n">
        <f aca="false">IF($E19="","",V19)</f>
        <v>145</v>
      </c>
      <c r="G19" s="66" t="n">
        <f aca="false">IF($E19="","",ROUND(W19+IF($B19=Precificação!$B$26,$F$3/$E19,0),2))</f>
        <v>305.32</v>
      </c>
      <c r="H19" s="30" t="n">
        <f aca="false">IF($E19="","",F19+G19)</f>
        <v>450.32</v>
      </c>
      <c r="I19" s="30" t="n">
        <f aca="false">IF($E19="","",$E19*F19)</f>
        <v>2392.5</v>
      </c>
      <c r="J19" s="30" t="n">
        <f aca="false">IF($E19="","",$E19*G19)</f>
        <v>5037.78</v>
      </c>
      <c r="K19" s="30" t="n">
        <f aca="false">IF($E19="","",I19+J19)</f>
        <v>7430.28</v>
      </c>
      <c r="L19" s="53" t="str">
        <f aca="false">IF($E19="","",IF(R19=0,"SEM CUSTO — falta linha de custo","OK"))</f>
        <v>OK</v>
      </c>
      <c r="M19" s="67" t="str">
        <f aca="false">IF(AND(ISNUMBER(E19),NOT(ISNUMBER(E18))),"F"&amp;ROW()&amp;":G"&amp;X19,"")</f>
        <v/>
      </c>
      <c r="N19" s="30" t="n">
        <f aca="false">IF($E19="","",SUMIFS('Rateio Anexo'!$K$6:$K$600,'Rateio Anexo'!$D$6:$D$600,$B19,'Rateio Anexo'!$B$6:$B$600,"MAT"))</f>
        <v>1250.4056866505</v>
      </c>
      <c r="O19" s="30" t="n">
        <f aca="false">IF($E19="","",SUMIFS('Rateio Anexo'!$K$6:$K$600,'Rateio Anexo'!$D$6:$D$600,$B19,'Rateio Anexo'!$B$6:$B$600,"MO"))</f>
        <v>2606.77761400611</v>
      </c>
      <c r="P19" s="30" t="n">
        <f aca="false">IF($E19="","",IF($N$3=0,0,N19/$N$3*$R$4))</f>
        <v>4.47403889072285</v>
      </c>
      <c r="Q19" s="30" t="n">
        <f aca="false">IF($E19="","",IF($O$3=0,0,O19/$O$3*$T$4))</f>
        <v>540.703070267516</v>
      </c>
      <c r="R19" s="30" t="n">
        <f aca="false">IF($E19="","",N19+O19+P19+Q19)</f>
        <v>4402.36040981485</v>
      </c>
      <c r="S19" s="30" t="n">
        <f aca="false">IF($E19="","",(N19+P19)*Precificação!$B$19)</f>
        <v>2392.59201355369</v>
      </c>
      <c r="T19" s="30" t="n">
        <f aca="false">IF($E19="","",(O19+Q19)*Precificação!$B$20)</f>
        <v>5037.68296154458</v>
      </c>
      <c r="U19" s="68" t="n">
        <f aca="false">IF($E19="","",IF($E19=INT($E19),0.01,IF($E19*2=INT($E19*2),0.02,0.05)))</f>
        <v>0.02</v>
      </c>
      <c r="V19" s="30" t="n">
        <f aca="false">IF($E19="","",ROUND(S19/$E19/U19,0)*U19)</f>
        <v>145</v>
      </c>
      <c r="W19" s="30" t="n">
        <f aca="false">IF($E19="","",ROUND(T19/$E19/U19,0)*U19)</f>
        <v>305.32</v>
      </c>
      <c r="X19" s="14" t="n">
        <f aca="false">IF(NOT(ISNUMBER(E19)),"",IF(NOT(ISNUMBER(E20)),ROW(),X20))</f>
        <v>23</v>
      </c>
    </row>
    <row r="20" customFormat="false" ht="15" hidden="false" customHeight="false" outlineLevel="0" collapsed="false">
      <c r="A20" s="64" t="n">
        <v>12</v>
      </c>
      <c r="B20" s="64" t="s">
        <v>403</v>
      </c>
      <c r="C20" s="16" t="s">
        <v>545</v>
      </c>
      <c r="D20" s="64" t="s">
        <v>540</v>
      </c>
      <c r="E20" s="64" t="n">
        <v>3.8</v>
      </c>
      <c r="F20" s="66" t="n">
        <f aca="false">IF($E20="","",V20)</f>
        <v>148.3</v>
      </c>
      <c r="G20" s="66" t="n">
        <f aca="false">IF($E20="","",ROUND(W20+IF($B20=Precificação!$B$26,$F$3/$E20,0),2))</f>
        <v>228.7</v>
      </c>
      <c r="H20" s="30" t="n">
        <f aca="false">IF($E20="","",F20+G20)</f>
        <v>377</v>
      </c>
      <c r="I20" s="30" t="n">
        <f aca="false">IF($E20="","",$E20*F20)</f>
        <v>563.54</v>
      </c>
      <c r="J20" s="30" t="n">
        <f aca="false">IF($E20="","",$E20*G20)</f>
        <v>869.06</v>
      </c>
      <c r="K20" s="30" t="n">
        <f aca="false">IF($E20="","",I20+J20)</f>
        <v>1432.6</v>
      </c>
      <c r="L20" s="53" t="str">
        <f aca="false">IF($E20="","",IF(R20=0,"SEM CUSTO — falta linha de custo","OK"))</f>
        <v>OK</v>
      </c>
      <c r="M20" s="67" t="str">
        <f aca="false">IF(AND(ISNUMBER(E20),NOT(ISNUMBER(E19))),"F"&amp;ROW()&amp;":G"&amp;X20,"")</f>
        <v/>
      </c>
      <c r="N20" s="30" t="n">
        <f aca="false">IF($E20="","",SUMIFS('Rateio Anexo'!$K$6:$K$600,'Rateio Anexo'!$D$6:$D$600,$B20,'Rateio Anexo'!$B$6:$B$600,"MAT"))</f>
        <v>294.491636639203</v>
      </c>
      <c r="O20" s="30" t="n">
        <f aca="false">IF($E20="","",SUMIFS('Rateio Anexo'!$K$6:$K$600,'Rateio Anexo'!$D$6:$D$600,$B20,'Rateio Anexo'!$B$6:$B$600,"MO"))</f>
        <v>449.713873640251</v>
      </c>
      <c r="P20" s="30" t="n">
        <f aca="false">IF($E20="","",IF($N$3=0,0,N20/$N$3*$R$4))</f>
        <v>1.05371164685425</v>
      </c>
      <c r="Q20" s="30" t="n">
        <f aca="false">IF($E20="","",IF($O$3=0,0,O20/$O$3*$T$4))</f>
        <v>93.2805586915751</v>
      </c>
      <c r="R20" s="30" t="n">
        <f aca="false">IF($E20="","",N20+O20+P20+Q20)</f>
        <v>838.539780617883</v>
      </c>
      <c r="S20" s="30" t="n">
        <f aca="false">IF($E20="","",(N20+P20)*Precificação!$B$19)</f>
        <v>563.495788129964</v>
      </c>
      <c r="T20" s="30" t="n">
        <f aca="false">IF($E20="","",(O20+Q20)*Precificação!$B$20)</f>
        <v>869.086763149713</v>
      </c>
      <c r="U20" s="68" t="n">
        <f aca="false">IF($E20="","",IF($E20=INT($E20),0.01,IF($E20*2=INT($E20*2),0.02,0.05)))</f>
        <v>0.05</v>
      </c>
      <c r="V20" s="30" t="n">
        <f aca="false">IF($E20="","",ROUND(S20/$E20/U20,0)*U20)</f>
        <v>148.3</v>
      </c>
      <c r="W20" s="30" t="n">
        <f aca="false">IF($E20="","",ROUND(T20/$E20/U20,0)*U20)</f>
        <v>228.7</v>
      </c>
      <c r="X20" s="14" t="n">
        <f aca="false">IF(NOT(ISNUMBER(E20)),"",IF(NOT(ISNUMBER(E21)),ROW(),X21))</f>
        <v>23</v>
      </c>
    </row>
    <row r="21" customFormat="false" ht="15" hidden="false" customHeight="false" outlineLevel="0" collapsed="false">
      <c r="A21" s="64" t="n">
        <v>13</v>
      </c>
      <c r="B21" s="64" t="s">
        <v>404</v>
      </c>
      <c r="C21" s="16" t="s">
        <v>546</v>
      </c>
      <c r="D21" s="64" t="s">
        <v>540</v>
      </c>
      <c r="E21" s="64" t="n">
        <v>5.2</v>
      </c>
      <c r="F21" s="66" t="n">
        <f aca="false">IF($E21="","",V21)</f>
        <v>139.2</v>
      </c>
      <c r="G21" s="66" t="n">
        <f aca="false">IF($E21="","",ROUND(W21+IF($B21=Precificação!$B$26,$F$3/$E21,0),2))</f>
        <v>152.1</v>
      </c>
      <c r="H21" s="30" t="n">
        <f aca="false">IF($E21="","",F21+G21)</f>
        <v>291.3</v>
      </c>
      <c r="I21" s="30" t="n">
        <f aca="false">IF($E21="","",$E21*F21)</f>
        <v>723.84</v>
      </c>
      <c r="J21" s="30" t="n">
        <f aca="false">IF($E21="","",$E21*G21)</f>
        <v>790.92</v>
      </c>
      <c r="K21" s="30" t="n">
        <f aca="false">IF($E21="","",I21+J21)</f>
        <v>1514.76</v>
      </c>
      <c r="L21" s="53" t="str">
        <f aca="false">IF($E21="","",IF(R21=0,"SEM CUSTO — falta linha de custo","OK"))</f>
        <v>OK</v>
      </c>
      <c r="M21" s="67" t="str">
        <f aca="false">IF(AND(ISNUMBER(E21),NOT(ISNUMBER(E20))),"F"&amp;ROW()&amp;":G"&amp;X21,"")</f>
        <v/>
      </c>
      <c r="N21" s="30" t="n">
        <f aca="false">IF($E21="","",SUMIFS('Rateio Anexo'!$K$6:$K$600,'Rateio Anexo'!$D$6:$D$600,$B21,'Rateio Anexo'!$B$6:$B$600,"MAT"))</f>
        <v>378.256030192</v>
      </c>
      <c r="O21" s="30" t="n">
        <f aca="false">IF($E21="","",SUMIFS('Rateio Anexo'!$K$6:$K$600,'Rateio Anexo'!$D$6:$D$600,$B21,'Rateio Anexo'!$B$6:$B$600,"MO"))</f>
        <v>409.265949982556</v>
      </c>
      <c r="P21" s="30" t="n">
        <f aca="false">IF($E21="","",IF($N$3=0,0,N21/$N$3*$R$4))</f>
        <v>1.35342649813337</v>
      </c>
      <c r="Q21" s="30" t="n">
        <f aca="false">IF($E21="","",IF($O$3=0,0,O21/$O$3*$T$4))</f>
        <v>84.8907687876902</v>
      </c>
      <c r="R21" s="30" t="n">
        <f aca="false">IF($E21="","",N21+O21+P21+Q21)</f>
        <v>873.76617546038</v>
      </c>
      <c r="S21" s="30" t="n">
        <f aca="false">IF($E21="","",(N21+P21)*Precificação!$B$19)</f>
        <v>723.774984853265</v>
      </c>
      <c r="T21" s="30" t="n">
        <f aca="false">IF($E21="","",(O21+Q21)*Precificação!$B$20)</f>
        <v>790.919828331258</v>
      </c>
      <c r="U21" s="68" t="n">
        <f aca="false">IF($E21="","",IF($E21=INT($E21),0.01,IF($E21*2=INT($E21*2),0.02,0.05)))</f>
        <v>0.05</v>
      </c>
      <c r="V21" s="30" t="n">
        <f aca="false">IF($E21="","",ROUND(S21/$E21/U21,0)*U21)</f>
        <v>139.2</v>
      </c>
      <c r="W21" s="30" t="n">
        <f aca="false">IF($E21="","",ROUND(T21/$E21/U21,0)*U21)</f>
        <v>152.1</v>
      </c>
      <c r="X21" s="14" t="n">
        <f aca="false">IF(NOT(ISNUMBER(E21)),"",IF(NOT(ISNUMBER(E22)),ROW(),X22))</f>
        <v>23</v>
      </c>
    </row>
    <row r="22" customFormat="false" ht="15" hidden="false" customHeight="false" outlineLevel="0" collapsed="false">
      <c r="A22" s="64" t="n">
        <v>14</v>
      </c>
      <c r="B22" s="64" t="s">
        <v>405</v>
      </c>
      <c r="C22" s="16" t="s">
        <v>547</v>
      </c>
      <c r="D22" s="64" t="s">
        <v>540</v>
      </c>
      <c r="E22" s="64" t="n">
        <v>35</v>
      </c>
      <c r="F22" s="66" t="n">
        <f aca="false">IF($E22="","",V22)</f>
        <v>148.29</v>
      </c>
      <c r="G22" s="66" t="n">
        <f aca="false">IF($E22="","",ROUND(W22+IF($B22=Precificação!$B$26,$F$3/$E22,0),2))</f>
        <v>228.71</v>
      </c>
      <c r="H22" s="30" t="n">
        <f aca="false">IF($E22="","",F22+G22)</f>
        <v>377</v>
      </c>
      <c r="I22" s="30" t="n">
        <f aca="false">IF($E22="","",$E22*F22)</f>
        <v>5190.15</v>
      </c>
      <c r="J22" s="30" t="n">
        <f aca="false">IF($E22="","",$E22*G22)</f>
        <v>8004.85</v>
      </c>
      <c r="K22" s="30" t="n">
        <f aca="false">IF($E22="","",I22+J22)</f>
        <v>13195</v>
      </c>
      <c r="L22" s="53" t="str">
        <f aca="false">IF($E22="","",IF(R22=0,"SEM CUSTO — falta linha de custo","OK"))</f>
        <v>OK</v>
      </c>
      <c r="M22" s="67" t="str">
        <f aca="false">IF(AND(ISNUMBER(E22),NOT(ISNUMBER(E21))),"F"&amp;ROW()&amp;":G"&amp;X22,"")</f>
        <v/>
      </c>
      <c r="N22" s="30" t="n">
        <f aca="false">IF($E22="","",SUMIFS('Rateio Anexo'!$K$6:$K$600,'Rateio Anexo'!$D$6:$D$600,$B22,'Rateio Anexo'!$B$6:$B$600,"MAT"))</f>
        <v>2712.42296904529</v>
      </c>
      <c r="O22" s="30" t="n">
        <f aca="false">IF($E22="","",SUMIFS('Rateio Anexo'!$K$6:$K$600,'Rateio Anexo'!$D$6:$D$600,$B22,'Rateio Anexo'!$B$6:$B$600,"MO"))</f>
        <v>4142.10146773916</v>
      </c>
      <c r="P22" s="30" t="n">
        <f aca="false">IF($E22="","",IF($N$3=0,0,N22/$N$3*$R$4))</f>
        <v>9.70523885260491</v>
      </c>
      <c r="Q22" s="30" t="n">
        <f aca="false">IF($E22="","",IF($O$3=0,0,O22/$O$3*$T$4))</f>
        <v>859.163040580297</v>
      </c>
      <c r="R22" s="30" t="n">
        <f aca="false">IF($E22="","",N22+O22+P22+Q22)</f>
        <v>7723.39271621735</v>
      </c>
      <c r="S22" s="30" t="n">
        <f aca="false">IF($E22="","",(N22+P22)*Precificação!$B$19)</f>
        <v>5190.09278540756</v>
      </c>
      <c r="T22" s="30" t="n">
        <f aca="false">IF($E22="","",(O22+Q22)*Precificação!$B$20)</f>
        <v>8004.74650269473</v>
      </c>
      <c r="U22" s="68" t="n">
        <f aca="false">IF($E22="","",IF($E22=INT($E22),0.01,IF($E22*2=INT($E22*2),0.02,0.05)))</f>
        <v>0.01</v>
      </c>
      <c r="V22" s="30" t="n">
        <f aca="false">IF($E22="","",ROUND(S22/$E22/U22,0)*U22)</f>
        <v>148.29</v>
      </c>
      <c r="W22" s="30" t="n">
        <f aca="false">IF($E22="","",ROUND(T22/$E22/U22,0)*U22)</f>
        <v>228.71</v>
      </c>
      <c r="X22" s="14" t="n">
        <f aca="false">IF(NOT(ISNUMBER(E22)),"",IF(NOT(ISNUMBER(E23)),ROW(),X23))</f>
        <v>23</v>
      </c>
    </row>
    <row r="23" customFormat="false" ht="15" hidden="false" customHeight="false" outlineLevel="0" collapsed="false">
      <c r="A23" s="64" t="n">
        <v>15</v>
      </c>
      <c r="B23" s="64" t="s">
        <v>406</v>
      </c>
      <c r="C23" s="16" t="s">
        <v>548</v>
      </c>
      <c r="D23" s="64" t="s">
        <v>540</v>
      </c>
      <c r="E23" s="64" t="n">
        <v>97</v>
      </c>
      <c r="F23" s="66" t="n">
        <f aca="false">IF($E23="","",V23)</f>
        <v>175.98</v>
      </c>
      <c r="G23" s="66" t="n">
        <f aca="false">IF($E23="","",ROUND(W23+IF($B23=Precificação!$B$26,$F$3/$E23,0),2))</f>
        <v>228.71</v>
      </c>
      <c r="H23" s="30" t="n">
        <f aca="false">IF($E23="","",F23+G23)</f>
        <v>404.69</v>
      </c>
      <c r="I23" s="30" t="n">
        <f aca="false">IF($E23="","",$E23*F23)</f>
        <v>17070.06</v>
      </c>
      <c r="J23" s="30" t="n">
        <f aca="false">IF($E23="","",$E23*G23)</f>
        <v>22184.87</v>
      </c>
      <c r="K23" s="30" t="n">
        <f aca="false">IF($E23="","",I23+J23)</f>
        <v>39254.93</v>
      </c>
      <c r="L23" s="53" t="str">
        <f aca="false">IF($E23="","",IF(R23=0,"SEM CUSTO — falta linha de custo","OK"))</f>
        <v>OK</v>
      </c>
      <c r="M23" s="67" t="str">
        <f aca="false">IF(AND(ISNUMBER(E23),NOT(ISNUMBER(E22))),"F"&amp;ROW()&amp;":G"&amp;X23,"")</f>
        <v/>
      </c>
      <c r="N23" s="30" t="n">
        <f aca="false">IF($E23="","",SUMIFS('Rateio Anexo'!$K$6:$K$600,'Rateio Anexo'!$D$6:$D$600,$B23,'Rateio Anexo'!$B$6:$B$600,"MAT"))</f>
        <v>8921.28651421123</v>
      </c>
      <c r="O23" s="30" t="n">
        <f aca="false">IF($E23="","",SUMIFS('Rateio Anexo'!$K$6:$K$600,'Rateio Anexo'!$D$6:$D$600,$B23,'Rateio Anexo'!$B$6:$B$600,"MO"))</f>
        <v>11479.5383534485</v>
      </c>
      <c r="P23" s="30" t="n">
        <f aca="false">IF($E23="","",IF($N$3=0,0,N23/$N$3*$R$4))</f>
        <v>31.9209863214727</v>
      </c>
      <c r="Q23" s="30" t="n">
        <f aca="false">IF($E23="","",IF($O$3=0,0,O23/$O$3*$T$4))</f>
        <v>2381.10899817968</v>
      </c>
      <c r="R23" s="30" t="n">
        <f aca="false">IF($E23="","",N23+O23+P23+Q23)</f>
        <v>22813.8548521609</v>
      </c>
      <c r="S23" s="30" t="n">
        <f aca="false">IF($E23="","",(N23+P23)*Precificação!$B$19)</f>
        <v>17070.4588857905</v>
      </c>
      <c r="T23" s="30" t="n">
        <f aca="false">IF($E23="","",(O23+Q23)*Precificação!$B$20)</f>
        <v>22184.5831646111</v>
      </c>
      <c r="U23" s="68" t="n">
        <f aca="false">IF($E23="","",IF($E23=INT($E23),0.01,IF($E23*2=INT($E23*2),0.02,0.05)))</f>
        <v>0.01</v>
      </c>
      <c r="V23" s="30" t="n">
        <f aca="false">IF($E23="","",ROUND(S23/$E23/U23,0)*U23)</f>
        <v>175.98</v>
      </c>
      <c r="W23" s="30" t="n">
        <f aca="false">IF($E23="","",ROUND(T23/$E23/U23,0)*U23)</f>
        <v>228.71</v>
      </c>
      <c r="X23" s="14" t="n">
        <f aca="false">IF(NOT(ISNUMBER(E23)),"",IF(NOT(ISNUMBER(E24)),ROW(),X24))</f>
        <v>23</v>
      </c>
    </row>
    <row r="24" customFormat="false" ht="15" hidden="false" customHeight="false" outlineLevel="0" collapsed="false">
      <c r="A24" s="65" t="n">
        <v>16</v>
      </c>
      <c r="B24" s="65" t="s">
        <v>549</v>
      </c>
      <c r="C24" s="18" t="s">
        <v>550</v>
      </c>
      <c r="D24" s="64"/>
      <c r="E24" s="64"/>
      <c r="F24" s="66" t="str">
        <f aca="false">IF($E24="","",V24)</f>
        <v/>
      </c>
      <c r="G24" s="66" t="str">
        <f aca="false">IF($E24="","",ROUND(W24+IF($B24=Precificação!$B$26,$F$3/$E24,0),2))</f>
        <v/>
      </c>
      <c r="H24" s="30" t="str">
        <f aca="false">IF($E24="","",F24+G24)</f>
        <v/>
      </c>
      <c r="I24" s="30" t="str">
        <f aca="false">IF($E24="","",$E24*F24)</f>
        <v/>
      </c>
      <c r="J24" s="30" t="str">
        <f aca="false">IF($E24="","",$E24*G24)</f>
        <v/>
      </c>
      <c r="K24" s="30" t="str">
        <f aca="false">IF($E24="","",I24+J24)</f>
        <v/>
      </c>
      <c r="L24" s="53" t="str">
        <f aca="false">IF($E24="","",IF(R24=0,"SEM CUSTO — falta linha de custo","OK"))</f>
        <v/>
      </c>
      <c r="M24" s="67" t="str">
        <f aca="false">IF(AND(ISNUMBER(E24),NOT(ISNUMBER(E23))),"F"&amp;ROW()&amp;":G"&amp;X24,"")</f>
        <v/>
      </c>
      <c r="N24" s="30" t="str">
        <f aca="false">IF($E24="","",SUMIFS('Rateio Anexo'!$K$6:$K$600,'Rateio Anexo'!$D$6:$D$600,$B24,'Rateio Anexo'!$B$6:$B$600,"MAT"))</f>
        <v/>
      </c>
      <c r="O24" s="30" t="str">
        <f aca="false">IF($E24="","",SUMIFS('Rateio Anexo'!$K$6:$K$600,'Rateio Anexo'!$D$6:$D$600,$B24,'Rateio Anexo'!$B$6:$B$600,"MO"))</f>
        <v/>
      </c>
      <c r="P24" s="30" t="str">
        <f aca="false">IF($E24="","",IF($N$3=0,0,N24/$N$3*$R$4))</f>
        <v/>
      </c>
      <c r="Q24" s="30" t="str">
        <f aca="false">IF($E24="","",IF($O$3=0,0,O24/$O$3*$T$4))</f>
        <v/>
      </c>
      <c r="R24" s="30" t="str">
        <f aca="false">IF($E24="","",N24+O24+P24+Q24)</f>
        <v/>
      </c>
      <c r="S24" s="30" t="str">
        <f aca="false">IF($E24="","",(N24+P24)*Precificação!$B$19)</f>
        <v/>
      </c>
      <c r="T24" s="30" t="str">
        <f aca="false">IF($E24="","",(O24+Q24)*Precificação!$B$20)</f>
        <v/>
      </c>
      <c r="U24" s="68" t="str">
        <f aca="false">IF($E24="","",IF($E24=INT($E24),0.01,IF($E24*2=INT($E24*2),0.02,0.05)))</f>
        <v/>
      </c>
      <c r="V24" s="30" t="str">
        <f aca="false">IF($E24="","",ROUND(S24/$E24/U24,0)*U24)</f>
        <v/>
      </c>
      <c r="W24" s="30" t="str">
        <f aca="false">IF($E24="","",ROUND(T24/$E24/U24,0)*U24)</f>
        <v/>
      </c>
      <c r="X24" s="14" t="str">
        <f aca="false">IF(NOT(ISNUMBER(E24)),"",IF(NOT(ISNUMBER(E25)),ROW(),X25))</f>
        <v/>
      </c>
    </row>
    <row r="25" customFormat="false" ht="15" hidden="false" customHeight="false" outlineLevel="0" collapsed="false">
      <c r="A25" s="64" t="n">
        <v>17</v>
      </c>
      <c r="B25" s="64" t="s">
        <v>461</v>
      </c>
      <c r="C25" s="16" t="s">
        <v>551</v>
      </c>
      <c r="D25" s="64" t="s">
        <v>540</v>
      </c>
      <c r="E25" s="64" t="n">
        <v>250</v>
      </c>
      <c r="F25" s="66" t="n">
        <f aca="false">IF($E25="","",V25)</f>
        <v>27.58</v>
      </c>
      <c r="G25" s="66" t="n">
        <f aca="false">IF($E25="","",ROUND(W25+IF($B25=Precificação!$B$26,$F$3/$E25,0),2))</f>
        <v>75.49</v>
      </c>
      <c r="H25" s="30" t="n">
        <f aca="false">IF($E25="","",F25+G25)</f>
        <v>103.07</v>
      </c>
      <c r="I25" s="30" t="n">
        <f aca="false">IF($E25="","",$E25*F25)</f>
        <v>6895</v>
      </c>
      <c r="J25" s="30" t="n">
        <f aca="false">IF($E25="","",$E25*G25)</f>
        <v>18872.5</v>
      </c>
      <c r="K25" s="30" t="n">
        <f aca="false">IF($E25="","",I25+J25)</f>
        <v>25767.5</v>
      </c>
      <c r="L25" s="53" t="str">
        <f aca="false">IF($E25="","",IF(R25=0,"SEM CUSTO — falta linha de custo","OK"))</f>
        <v>OK</v>
      </c>
      <c r="M25" s="67" t="str">
        <f aca="false">IF(AND(ISNUMBER(E25),NOT(ISNUMBER(E24))),"F"&amp;ROW()&amp;":G"&amp;X25,"")</f>
        <v>F25:G25</v>
      </c>
      <c r="N25" s="30" t="n">
        <f aca="false">IF($E25="","",SUMIFS('Rateio Anexo'!$K$6:$K$600,'Rateio Anexo'!$D$6:$D$600,$B25,'Rateio Anexo'!$B$6:$B$600,"MAT"))</f>
        <v>3602.85458019732</v>
      </c>
      <c r="O25" s="30" t="n">
        <f aca="false">IF($E25="","",SUMIFS('Rateio Anexo'!$K$6:$K$600,'Rateio Anexo'!$D$6:$D$600,$B25,'Rateio Anexo'!$B$6:$B$600,"MO"))</f>
        <v>9766.05613535074</v>
      </c>
      <c r="P25" s="30" t="n">
        <f aca="false">IF($E25="","",IF($N$3=0,0,N25/$N$3*$R$4))</f>
        <v>12.891265356127</v>
      </c>
      <c r="Q25" s="30" t="n">
        <f aca="false">IF($E25="","",IF($O$3=0,0,O25/$O$3*$T$4))</f>
        <v>2025.69506060545</v>
      </c>
      <c r="R25" s="30" t="n">
        <f aca="false">IF($E25="","",N25+O25+P25+Q25)</f>
        <v>15407.4970415096</v>
      </c>
      <c r="S25" s="30" t="n">
        <f aca="false">IF($E25="","",(N25+P25)*Precificação!$B$19)</f>
        <v>6893.89146786956</v>
      </c>
      <c r="T25" s="30" t="n">
        <f aca="false">IF($E25="","",(O25+Q25)*Precificação!$B$20)</f>
        <v>18873.2227598564</v>
      </c>
      <c r="U25" s="68" t="n">
        <f aca="false">IF($E25="","",IF($E25=INT($E25),0.01,IF($E25*2=INT($E25*2),0.02,0.05)))</f>
        <v>0.01</v>
      </c>
      <c r="V25" s="30" t="n">
        <f aca="false">IF($E25="","",ROUND(S25/$E25/U25,0)*U25)</f>
        <v>27.58</v>
      </c>
      <c r="W25" s="30" t="n">
        <f aca="false">IF($E25="","",ROUND(T25/$E25/U25,0)*U25)</f>
        <v>75.49</v>
      </c>
      <c r="X25" s="14" t="n">
        <f aca="false">IF(NOT(ISNUMBER(E25)),"",IF(NOT(ISNUMBER(E26)),ROW(),X26))</f>
        <v>25</v>
      </c>
    </row>
    <row r="26" customFormat="false" ht="15" hidden="false" customHeight="false" outlineLevel="0" collapsed="false">
      <c r="A26" s="65" t="n">
        <v>18</v>
      </c>
      <c r="B26" s="65" t="s">
        <v>552</v>
      </c>
      <c r="C26" s="18" t="s">
        <v>553</v>
      </c>
      <c r="D26" s="64"/>
      <c r="E26" s="64"/>
      <c r="F26" s="66" t="str">
        <f aca="false">IF($E26="","",V26)</f>
        <v/>
      </c>
      <c r="G26" s="66" t="str">
        <f aca="false">IF($E26="","",ROUND(W26+IF($B26=Precificação!$B$26,$F$3/$E26,0),2))</f>
        <v/>
      </c>
      <c r="H26" s="30" t="str">
        <f aca="false">IF($E26="","",F26+G26)</f>
        <v/>
      </c>
      <c r="I26" s="30" t="str">
        <f aca="false">IF($E26="","",$E26*F26)</f>
        <v/>
      </c>
      <c r="J26" s="30" t="str">
        <f aca="false">IF($E26="","",$E26*G26)</f>
        <v/>
      </c>
      <c r="K26" s="30" t="str">
        <f aca="false">IF($E26="","",I26+J26)</f>
        <v/>
      </c>
      <c r="L26" s="53" t="str">
        <f aca="false">IF($E26="","",IF(R26=0,"SEM CUSTO — falta linha de custo","OK"))</f>
        <v/>
      </c>
      <c r="M26" s="67" t="str">
        <f aca="false">IF(AND(ISNUMBER(E26),NOT(ISNUMBER(E25))),"F"&amp;ROW()&amp;":G"&amp;X26,"")</f>
        <v/>
      </c>
      <c r="N26" s="30" t="str">
        <f aca="false">IF($E26="","",SUMIFS('Rateio Anexo'!$K$6:$K$600,'Rateio Anexo'!$D$6:$D$600,$B26,'Rateio Anexo'!$B$6:$B$600,"MAT"))</f>
        <v/>
      </c>
      <c r="O26" s="30" t="str">
        <f aca="false">IF($E26="","",SUMIFS('Rateio Anexo'!$K$6:$K$600,'Rateio Anexo'!$D$6:$D$600,$B26,'Rateio Anexo'!$B$6:$B$600,"MO"))</f>
        <v/>
      </c>
      <c r="P26" s="30" t="str">
        <f aca="false">IF($E26="","",IF($N$3=0,0,N26/$N$3*$R$4))</f>
        <v/>
      </c>
      <c r="Q26" s="30" t="str">
        <f aca="false">IF($E26="","",IF($O$3=0,0,O26/$O$3*$T$4))</f>
        <v/>
      </c>
      <c r="R26" s="30" t="str">
        <f aca="false">IF($E26="","",N26+O26+P26+Q26)</f>
        <v/>
      </c>
      <c r="S26" s="30" t="str">
        <f aca="false">IF($E26="","",(N26+P26)*Precificação!$B$19)</f>
        <v/>
      </c>
      <c r="T26" s="30" t="str">
        <f aca="false">IF($E26="","",(O26+Q26)*Precificação!$B$20)</f>
        <v/>
      </c>
      <c r="U26" s="68" t="str">
        <f aca="false">IF($E26="","",IF($E26=INT($E26),0.01,IF($E26*2=INT($E26*2),0.02,0.05)))</f>
        <v/>
      </c>
      <c r="V26" s="30" t="str">
        <f aca="false">IF($E26="","",ROUND(S26/$E26/U26,0)*U26)</f>
        <v/>
      </c>
      <c r="W26" s="30" t="str">
        <f aca="false">IF($E26="","",ROUND(T26/$E26/U26,0)*U26)</f>
        <v/>
      </c>
      <c r="X26" s="14" t="str">
        <f aca="false">IF(NOT(ISNUMBER(E26)),"",IF(NOT(ISNUMBER(E27)),ROW(),X27))</f>
        <v/>
      </c>
    </row>
    <row r="27" customFormat="false" ht="15" hidden="false" customHeight="false" outlineLevel="0" collapsed="false">
      <c r="A27" s="64" t="n">
        <v>19</v>
      </c>
      <c r="B27" s="64" t="s">
        <v>426</v>
      </c>
      <c r="C27" s="16" t="s">
        <v>554</v>
      </c>
      <c r="D27" s="64" t="s">
        <v>533</v>
      </c>
      <c r="E27" s="64" t="n">
        <v>1</v>
      </c>
      <c r="F27" s="66" t="n">
        <f aca="false">IF($E27="","",V27)</f>
        <v>5084.89</v>
      </c>
      <c r="G27" s="66" t="n">
        <f aca="false">IF($E27="","",ROUND(W27+IF($B27=Precificação!$B$26,$F$3/$E27,0),2))</f>
        <v>2433.73</v>
      </c>
      <c r="H27" s="30" t="n">
        <f aca="false">IF($E27="","",F27+G27)</f>
        <v>7518.62</v>
      </c>
      <c r="I27" s="30" t="n">
        <f aca="false">IF($E27="","",$E27*F27)</f>
        <v>5084.89</v>
      </c>
      <c r="J27" s="30" t="n">
        <f aca="false">IF($E27="","",$E27*G27)</f>
        <v>2433.73</v>
      </c>
      <c r="K27" s="30" t="n">
        <f aca="false">IF($E27="","",I27+J27)</f>
        <v>7518.62</v>
      </c>
      <c r="L27" s="53" t="str">
        <f aca="false">IF($E27="","",IF(R27=0,"SEM CUSTO — falta linha de custo","OK"))</f>
        <v>OK</v>
      </c>
      <c r="M27" s="67" t="str">
        <f aca="false">IF(AND(ISNUMBER(E27),NOT(ISNUMBER(E26))),"F"&amp;ROW()&amp;":G"&amp;X27,"")</f>
        <v>F27:G47</v>
      </c>
      <c r="N27" s="30" t="n">
        <f aca="false">IF($E27="","",SUMIFS('Rateio Anexo'!$K$6:$K$600,'Rateio Anexo'!$D$6:$D$600,$B27,'Rateio Anexo'!$B$6:$B$600,"MAT"))</f>
        <v>2657.44091991015</v>
      </c>
      <c r="O27" s="30" t="n">
        <f aca="false">IF($E27="","",SUMIFS('Rateio Anexo'!$K$6:$K$600,'Rateio Anexo'!$D$6:$D$600,$B27,'Rateio Anexo'!$B$6:$B$600,"MO"))</f>
        <v>1259.34590035671</v>
      </c>
      <c r="P27" s="30" t="n">
        <f aca="false">IF($E27="","",IF($N$3=0,0,N27/$N$3*$R$4))</f>
        <v>9.50850924016913</v>
      </c>
      <c r="Q27" s="30" t="n">
        <f aca="false">IF($E27="","",IF($O$3=0,0,O27/$O$3*$T$4))</f>
        <v>261.2160666077</v>
      </c>
      <c r="R27" s="30" t="n">
        <f aca="false">IF($E27="","",N27+O27+P27+Q27)</f>
        <v>4187.51139611473</v>
      </c>
      <c r="S27" s="30" t="n">
        <f aca="false">IF($E27="","",(N27+P27)*Precificação!$B$19)</f>
        <v>5084.88724047603</v>
      </c>
      <c r="T27" s="30" t="n">
        <f aca="false">IF($E27="","",(O27+Q27)*Precificação!$B$20)</f>
        <v>2433.72712379873</v>
      </c>
      <c r="U27" s="68" t="n">
        <f aca="false">IF($E27="","",IF($E27=INT($E27),0.01,IF($E27*2=INT($E27*2),0.02,0.05)))</f>
        <v>0.01</v>
      </c>
      <c r="V27" s="30" t="n">
        <f aca="false">IF($E27="","",ROUND(S27/$E27/U27,0)*U27)</f>
        <v>5084.89</v>
      </c>
      <c r="W27" s="30" t="n">
        <f aca="false">IF($E27="","",ROUND(T27/$E27/U27,0)*U27)</f>
        <v>2433.73</v>
      </c>
      <c r="X27" s="14" t="n">
        <f aca="false">IF(NOT(ISNUMBER(E27)),"",IF(NOT(ISNUMBER(E28)),ROW(),X28))</f>
        <v>47</v>
      </c>
    </row>
    <row r="28" customFormat="false" ht="15" hidden="false" customHeight="false" outlineLevel="0" collapsed="false">
      <c r="A28" s="64" t="n">
        <v>20</v>
      </c>
      <c r="B28" s="64" t="s">
        <v>428</v>
      </c>
      <c r="C28" s="16" t="s">
        <v>555</v>
      </c>
      <c r="D28" s="64" t="s">
        <v>533</v>
      </c>
      <c r="E28" s="64" t="n">
        <v>2</v>
      </c>
      <c r="F28" s="66" t="n">
        <f aca="false">IF($E28="","",V28)</f>
        <v>200.28</v>
      </c>
      <c r="G28" s="66" t="n">
        <f aca="false">IF($E28="","",ROUND(W28+IF($B28=Precificação!$B$26,$F$3/$E28,0),2))</f>
        <v>494.61</v>
      </c>
      <c r="H28" s="30" t="n">
        <f aca="false">IF($E28="","",F28+G28)</f>
        <v>694.89</v>
      </c>
      <c r="I28" s="30" t="n">
        <f aca="false">IF($E28="","",$E28*F28)</f>
        <v>400.56</v>
      </c>
      <c r="J28" s="30" t="n">
        <f aca="false">IF($E28="","",$E28*G28)</f>
        <v>989.22</v>
      </c>
      <c r="K28" s="30" t="n">
        <f aca="false">IF($E28="","",I28+J28)</f>
        <v>1389.78</v>
      </c>
      <c r="L28" s="53" t="str">
        <f aca="false">IF($E28="","",IF(R28=0,"SEM CUSTO — falta linha de custo","OK"))</f>
        <v>OK</v>
      </c>
      <c r="M28" s="67" t="str">
        <f aca="false">IF(AND(ISNUMBER(E28),NOT(ISNUMBER(E27))),"F"&amp;ROW()&amp;":G"&amp;X28,"")</f>
        <v/>
      </c>
      <c r="N28" s="30" t="n">
        <f aca="false">IF($E28="","",SUMIFS('Rateio Anexo'!$K$6:$K$600,'Rateio Anexo'!$D$6:$D$600,$B28,'Rateio Anexo'!$B$6:$B$600,"MAT"))</f>
        <v>209.342332850078</v>
      </c>
      <c r="O28" s="30" t="n">
        <f aca="false">IF($E28="","",SUMIFS('Rateio Anexo'!$K$6:$K$600,'Rateio Anexo'!$D$6:$D$600,$B28,'Rateio Anexo'!$B$6:$B$600,"MO"))</f>
        <v>511.876331477564</v>
      </c>
      <c r="P28" s="30" t="n">
        <f aca="false">IF($E28="","",IF($N$3=0,0,N28/$N$3*$R$4))</f>
        <v>0.749041490010184</v>
      </c>
      <c r="Q28" s="30" t="n">
        <f aca="false">IF($E28="","",IF($O$3=0,0,O28/$O$3*$T$4))</f>
        <v>106.174421070712</v>
      </c>
      <c r="R28" s="30" t="n">
        <f aca="false">IF($E28="","",N28+O28+P28+Q28)</f>
        <v>828.142126888365</v>
      </c>
      <c r="S28" s="30" t="n">
        <f aca="false">IF($E28="","",(N28+P28)*Precificação!$B$19)</f>
        <v>400.566631312669</v>
      </c>
      <c r="T28" s="30" t="n">
        <f aca="false">IF($E28="","",(O28+Q28)*Precificação!$B$20)</f>
        <v>989.217745176027</v>
      </c>
      <c r="U28" s="68" t="n">
        <f aca="false">IF($E28="","",IF($E28=INT($E28),0.01,IF($E28*2=INT($E28*2),0.02,0.05)))</f>
        <v>0.01</v>
      </c>
      <c r="V28" s="30" t="n">
        <f aca="false">IF($E28="","",ROUND(S28/$E28/U28,0)*U28)</f>
        <v>200.28</v>
      </c>
      <c r="W28" s="30" t="n">
        <f aca="false">IF($E28="","",ROUND(T28/$E28/U28,0)*U28)</f>
        <v>494.61</v>
      </c>
      <c r="X28" s="14" t="n">
        <f aca="false">IF(NOT(ISNUMBER(E28)),"",IF(NOT(ISNUMBER(E29)),ROW(),X29))</f>
        <v>47</v>
      </c>
    </row>
    <row r="29" customFormat="false" ht="15" hidden="false" customHeight="false" outlineLevel="0" collapsed="false">
      <c r="A29" s="64" t="n">
        <v>21</v>
      </c>
      <c r="B29" s="64" t="s">
        <v>429</v>
      </c>
      <c r="C29" s="16" t="s">
        <v>556</v>
      </c>
      <c r="D29" s="64" t="s">
        <v>533</v>
      </c>
      <c r="E29" s="64" t="n">
        <v>2</v>
      </c>
      <c r="F29" s="66" t="n">
        <f aca="false">IF($E29="","",V29)</f>
        <v>1901.46</v>
      </c>
      <c r="G29" s="66" t="n">
        <f aca="false">IF($E29="","",ROUND(W29+IF($B29=Precificação!$B$26,$F$3/$E29,0),2))</f>
        <v>4695.73</v>
      </c>
      <c r="H29" s="30" t="n">
        <f aca="false">IF($E29="","",F29+G29)</f>
        <v>6597.19</v>
      </c>
      <c r="I29" s="30" t="n">
        <f aca="false">IF($E29="","",$E29*F29)</f>
        <v>3802.92</v>
      </c>
      <c r="J29" s="30" t="n">
        <f aca="false">IF($E29="","",$E29*G29)</f>
        <v>9391.46</v>
      </c>
      <c r="K29" s="30" t="n">
        <f aca="false">IF($E29="","",I29+J29)</f>
        <v>13194.38</v>
      </c>
      <c r="L29" s="53" t="str">
        <f aca="false">IF($E29="","",IF(R29=0,"SEM CUSTO — falta linha de custo","OK"))</f>
        <v>OK</v>
      </c>
      <c r="M29" s="67" t="str">
        <f aca="false">IF(AND(ISNUMBER(E29),NOT(ISNUMBER(E28))),"F"&amp;ROW()&amp;":G"&amp;X29,"")</f>
        <v/>
      </c>
      <c r="N29" s="30" t="n">
        <f aca="false">IF($E29="","",SUMIFS('Rateio Anexo'!$K$6:$K$600,'Rateio Anexo'!$D$6:$D$600,$B29,'Rateio Anexo'!$B$6:$B$600,"MAT"))</f>
        <v>1987.45992545321</v>
      </c>
      <c r="O29" s="30" t="n">
        <f aca="false">IF($E29="","",SUMIFS('Rateio Anexo'!$K$6:$K$600,'Rateio Anexo'!$D$6:$D$600,$B29,'Rateio Anexo'!$B$6:$B$600,"MO"))</f>
        <v>4859.66541859564</v>
      </c>
      <c r="P29" s="30" t="n">
        <f aca="false">IF($E29="","",IF($N$3=0,0,N29/$N$3*$R$4))</f>
        <v>7.11127044219545</v>
      </c>
      <c r="Q29" s="30" t="n">
        <f aca="false">IF($E29="","",IF($O$3=0,0,O29/$O$3*$T$4))</f>
        <v>1008.00160251084</v>
      </c>
      <c r="R29" s="30" t="n">
        <f aca="false">IF($E29="","",N29+O29+P29+Q29)</f>
        <v>7862.23821700189</v>
      </c>
      <c r="S29" s="30" t="n">
        <f aca="false">IF($E29="","",(N29+P29)*Precificação!$B$19)</f>
        <v>3802.91036394374</v>
      </c>
      <c r="T29" s="30" t="n">
        <f aca="false">IF($E29="","",(O29+Q29)*Precificação!$B$20)</f>
        <v>9391.46229679463</v>
      </c>
      <c r="U29" s="68" t="n">
        <f aca="false">IF($E29="","",IF($E29=INT($E29),0.01,IF($E29*2=INT($E29*2),0.02,0.05)))</f>
        <v>0.01</v>
      </c>
      <c r="V29" s="30" t="n">
        <f aca="false">IF($E29="","",ROUND(S29/$E29/U29,0)*U29)</f>
        <v>1901.46</v>
      </c>
      <c r="W29" s="30" t="n">
        <f aca="false">IF($E29="","",ROUND(T29/$E29/U29,0)*U29)</f>
        <v>4695.73</v>
      </c>
      <c r="X29" s="14" t="n">
        <f aca="false">IF(NOT(ISNUMBER(E29)),"",IF(NOT(ISNUMBER(E30)),ROW(),X30))</f>
        <v>47</v>
      </c>
    </row>
    <row r="30" customFormat="false" ht="15" hidden="false" customHeight="false" outlineLevel="0" collapsed="false">
      <c r="A30" s="64" t="n">
        <v>22</v>
      </c>
      <c r="B30" s="64" t="s">
        <v>407</v>
      </c>
      <c r="C30" s="16" t="s">
        <v>557</v>
      </c>
      <c r="D30" s="64" t="s">
        <v>533</v>
      </c>
      <c r="E30" s="64" t="n">
        <v>2</v>
      </c>
      <c r="F30" s="66" t="n">
        <f aca="false">IF($E30="","",V30)</f>
        <v>2363.8</v>
      </c>
      <c r="G30" s="66" t="n">
        <f aca="false">IF($E30="","",ROUND(W30+IF($B30=Precificação!$B$26,$F$3/$E30,0),2))</f>
        <v>5889.51</v>
      </c>
      <c r="H30" s="30" t="n">
        <f aca="false">IF($E30="","",F30+G30)</f>
        <v>8253.31</v>
      </c>
      <c r="I30" s="30" t="n">
        <f aca="false">IF($E30="","",$E30*F30)</f>
        <v>4727.6</v>
      </c>
      <c r="J30" s="30" t="n">
        <f aca="false">IF($E30="","",$E30*G30)</f>
        <v>11779.02</v>
      </c>
      <c r="K30" s="30" t="n">
        <f aca="false">IF($E30="","",I30+J30)</f>
        <v>16506.62</v>
      </c>
      <c r="L30" s="53" t="str">
        <f aca="false">IF($E30="","",IF(R30=0,"SEM CUSTO — falta linha de custo","OK"))</f>
        <v>OK</v>
      </c>
      <c r="M30" s="67" t="str">
        <f aca="false">IF(AND(ISNUMBER(E30),NOT(ISNUMBER(E29))),"F"&amp;ROW()&amp;":G"&amp;X30,"")</f>
        <v/>
      </c>
      <c r="N30" s="30" t="n">
        <f aca="false">IF($E30="","",SUMIFS('Rateio Anexo'!$K$6:$K$600,'Rateio Anexo'!$D$6:$D$600,$B30,'Rateio Anexo'!$B$6:$B$600,"MAT"))</f>
        <v>2470.71454313841</v>
      </c>
      <c r="O30" s="30" t="n">
        <f aca="false">IF($E30="","",SUMIFS('Rateio Anexo'!$K$6:$K$600,'Rateio Anexo'!$D$6:$D$600,$B30,'Rateio Anexo'!$B$6:$B$600,"MO"))</f>
        <v>6095.12002111248</v>
      </c>
      <c r="P30" s="30" t="n">
        <f aca="false">IF($E30="","",IF($N$3=0,0,N30/$N$3*$R$4))</f>
        <v>8.84038922078694</v>
      </c>
      <c r="Q30" s="30" t="n">
        <f aca="false">IF($E30="","",IF($O$3=0,0,O30/$O$3*$T$4))</f>
        <v>1264.26208793459</v>
      </c>
      <c r="R30" s="30" t="n">
        <f aca="false">IF($E30="","",N30+O30+P30+Q30)</f>
        <v>9838.93704140626</v>
      </c>
      <c r="S30" s="30" t="n">
        <f aca="false">IF($E30="","",(N30+P30)*Precificação!$B$19)</f>
        <v>4727.59516914786</v>
      </c>
      <c r="T30" s="30" t="n">
        <f aca="false">IF($E30="","",(O30+Q30)*Precificação!$B$20)</f>
        <v>11779.0187064479</v>
      </c>
      <c r="U30" s="68" t="n">
        <f aca="false">IF($E30="","",IF($E30=INT($E30),0.01,IF($E30*2=INT($E30*2),0.02,0.05)))</f>
        <v>0.01</v>
      </c>
      <c r="V30" s="30" t="n">
        <f aca="false">IF($E30="","",ROUND(S30/$E30/U30,0)*U30)</f>
        <v>2363.8</v>
      </c>
      <c r="W30" s="30" t="n">
        <f aca="false">IF($E30="","",ROUND(T30/$E30/U30,0)*U30)</f>
        <v>5889.51</v>
      </c>
      <c r="X30" s="14" t="n">
        <f aca="false">IF(NOT(ISNUMBER(E30)),"",IF(NOT(ISNUMBER(E31)),ROW(),X31))</f>
        <v>47</v>
      </c>
    </row>
    <row r="31" customFormat="false" ht="15" hidden="false" customHeight="false" outlineLevel="0" collapsed="false">
      <c r="A31" s="64" t="n">
        <v>23</v>
      </c>
      <c r="B31" s="64" t="s">
        <v>408</v>
      </c>
      <c r="C31" s="16" t="s">
        <v>558</v>
      </c>
      <c r="D31" s="64" t="s">
        <v>533</v>
      </c>
      <c r="E31" s="64" t="n">
        <v>1</v>
      </c>
      <c r="F31" s="66" t="n">
        <f aca="false">IF($E31="","",V31)</f>
        <v>1531.75</v>
      </c>
      <c r="G31" s="66" t="n">
        <f aca="false">IF($E31="","",ROUND(W31+IF($B31=Precificação!$B$26,$F$3/$E31,0),2))</f>
        <v>3816.43</v>
      </c>
      <c r="H31" s="30" t="n">
        <f aca="false">IF($E31="","",F31+G31)</f>
        <v>5348.18</v>
      </c>
      <c r="I31" s="30" t="n">
        <f aca="false">IF($E31="","",$E31*F31)</f>
        <v>1531.75</v>
      </c>
      <c r="J31" s="30" t="n">
        <f aca="false">IF($E31="","",$E31*G31)</f>
        <v>3816.43</v>
      </c>
      <c r="K31" s="30" t="n">
        <f aca="false">IF($E31="","",I31+J31)</f>
        <v>5348.18</v>
      </c>
      <c r="L31" s="53" t="str">
        <f aca="false">IF($E31="","",IF(R31=0,"SEM CUSTO — falta linha de custo","OK"))</f>
        <v>OK</v>
      </c>
      <c r="M31" s="67" t="str">
        <f aca="false">IF(AND(ISNUMBER(E31),NOT(ISNUMBER(E30))),"F"&amp;ROW()&amp;":G"&amp;X31,"")</f>
        <v/>
      </c>
      <c r="N31" s="30" t="n">
        <f aca="false">IF($E31="","",SUMIFS('Rateio Anexo'!$K$6:$K$600,'Rateio Anexo'!$D$6:$D$600,$B31,'Rateio Anexo'!$B$6:$B$600,"MAT"))</f>
        <v>800.51663528331</v>
      </c>
      <c r="O31" s="30" t="n">
        <f aca="false">IF($E31="","",SUMIFS('Rateio Anexo'!$K$6:$K$600,'Rateio Anexo'!$D$6:$D$600,$B31,'Rateio Anexo'!$B$6:$B$600,"MO"))</f>
        <v>1974.83152576221</v>
      </c>
      <c r="P31" s="30" t="n">
        <f aca="false">IF($E31="","",IF($N$3=0,0,N31/$N$3*$R$4))</f>
        <v>2.86430443908338</v>
      </c>
      <c r="Q31" s="30" t="n">
        <f aca="false">IF($E31="","",IF($O$3=0,0,O31/$O$3*$T$4))</f>
        <v>409.623538081451</v>
      </c>
      <c r="R31" s="30" t="n">
        <f aca="false">IF($E31="","",N31+O31+P31+Q31)</f>
        <v>3187.83600356605</v>
      </c>
      <c r="S31" s="30" t="n">
        <f aca="false">IF($E31="","",(N31+P31)*Precificação!$B$19)</f>
        <v>1531.75063800799</v>
      </c>
      <c r="T31" s="30" t="n">
        <f aca="false">IF($E31="","",(O31+Q31)*Precificação!$B$20)</f>
        <v>3816.42648601862</v>
      </c>
      <c r="U31" s="68" t="n">
        <f aca="false">IF($E31="","",IF($E31=INT($E31),0.01,IF($E31*2=INT($E31*2),0.02,0.05)))</f>
        <v>0.01</v>
      </c>
      <c r="V31" s="30" t="n">
        <f aca="false">IF($E31="","",ROUND(S31/$E31/U31,0)*U31)</f>
        <v>1531.75</v>
      </c>
      <c r="W31" s="30" t="n">
        <f aca="false">IF($E31="","",ROUND(T31/$E31/U31,0)*U31)</f>
        <v>3816.43</v>
      </c>
      <c r="X31" s="14" t="n">
        <f aca="false">IF(NOT(ISNUMBER(E31)),"",IF(NOT(ISNUMBER(E32)),ROW(),X32))</f>
        <v>47</v>
      </c>
    </row>
    <row r="32" customFormat="false" ht="15" hidden="false" customHeight="false" outlineLevel="0" collapsed="false">
      <c r="A32" s="64" t="n">
        <v>24</v>
      </c>
      <c r="B32" s="64" t="s">
        <v>409</v>
      </c>
      <c r="C32" s="16" t="s">
        <v>559</v>
      </c>
      <c r="D32" s="64" t="s">
        <v>533</v>
      </c>
      <c r="E32" s="64" t="n">
        <v>1</v>
      </c>
      <c r="F32" s="66" t="n">
        <f aca="false">IF($E32="","",V32)</f>
        <v>258.56</v>
      </c>
      <c r="G32" s="66" t="n">
        <f aca="false">IF($E32="","",ROUND(W32+IF($B32=Precificação!$B$26,$F$3/$E32,0),2))</f>
        <v>644.21</v>
      </c>
      <c r="H32" s="30" t="n">
        <f aca="false">IF($E32="","",F32+G32)</f>
        <v>902.77</v>
      </c>
      <c r="I32" s="30" t="n">
        <f aca="false">IF($E32="","",$E32*F32)</f>
        <v>258.56</v>
      </c>
      <c r="J32" s="30" t="n">
        <f aca="false">IF($E32="","",$E32*G32)</f>
        <v>644.21</v>
      </c>
      <c r="K32" s="30" t="n">
        <f aca="false">IF($E32="","",I32+J32)</f>
        <v>902.77</v>
      </c>
      <c r="L32" s="53" t="str">
        <f aca="false">IF($E32="","",IF(R32=0,"SEM CUSTO — falta linha de custo","OK"))</f>
        <v>OK</v>
      </c>
      <c r="M32" s="67" t="str">
        <f aca="false">IF(AND(ISNUMBER(E32),NOT(ISNUMBER(E31))),"F"&amp;ROW()&amp;":G"&amp;X32,"")</f>
        <v/>
      </c>
      <c r="N32" s="30" t="n">
        <f aca="false">IF($E32="","",SUMIFS('Rateio Anexo'!$K$6:$K$600,'Rateio Anexo'!$D$6:$D$600,$B32,'Rateio Anexo'!$B$6:$B$600,"MAT"))</f>
        <v>135.127208035823</v>
      </c>
      <c r="O32" s="30" t="n">
        <f aca="false">IF($E32="","",SUMIFS('Rateio Anexo'!$K$6:$K$600,'Rateio Anexo'!$D$6:$D$600,$B32,'Rateio Anexo'!$B$6:$B$600,"MO"))</f>
        <v>333.351561548661</v>
      </c>
      <c r="P32" s="30" t="n">
        <f aca="false">IF($E32="","",IF($N$3=0,0,N32/$N$3*$R$4))</f>
        <v>0.483494589317274</v>
      </c>
      <c r="Q32" s="30" t="n">
        <f aca="false">IF($E32="","",IF($O$3=0,0,O32/$O$3*$T$4))</f>
        <v>69.144453228149</v>
      </c>
      <c r="R32" s="30" t="n">
        <f aca="false">IF($E32="","",N32+O32+P32+Q32)</f>
        <v>538.10671740195</v>
      </c>
      <c r="S32" s="30" t="n">
        <f aca="false">IF($E32="","",(N32+P32)*Precificação!$B$19)</f>
        <v>258.559507695748</v>
      </c>
      <c r="T32" s="30" t="n">
        <f aca="false">IF($E32="","",(O32+Q32)*Precificação!$B$20)</f>
        <v>644.212790839943</v>
      </c>
      <c r="U32" s="68" t="n">
        <f aca="false">IF($E32="","",IF($E32=INT($E32),0.01,IF($E32*2=INT($E32*2),0.02,0.05)))</f>
        <v>0.01</v>
      </c>
      <c r="V32" s="30" t="n">
        <f aca="false">IF($E32="","",ROUND(S32/$E32/U32,0)*U32)</f>
        <v>258.56</v>
      </c>
      <c r="W32" s="30" t="n">
        <f aca="false">IF($E32="","",ROUND(T32/$E32/U32,0)*U32)</f>
        <v>644.21</v>
      </c>
      <c r="X32" s="14" t="n">
        <f aca="false">IF(NOT(ISNUMBER(E32)),"",IF(NOT(ISNUMBER(E33)),ROW(),X33))</f>
        <v>47</v>
      </c>
    </row>
    <row r="33" customFormat="false" ht="15" hidden="false" customHeight="false" outlineLevel="0" collapsed="false">
      <c r="A33" s="64" t="n">
        <v>25</v>
      </c>
      <c r="B33" s="64" t="s">
        <v>410</v>
      </c>
      <c r="C33" s="16" t="s">
        <v>560</v>
      </c>
      <c r="D33" s="64" t="s">
        <v>533</v>
      </c>
      <c r="E33" s="64" t="n">
        <v>1</v>
      </c>
      <c r="F33" s="66" t="n">
        <f aca="false">IF($E33="","",V33)</f>
        <v>1868.47</v>
      </c>
      <c r="G33" s="66" t="n">
        <f aca="false">IF($E33="","",ROUND(W33+IF($B33=Precificação!$B$26,$F$3/$E33,0),2))</f>
        <v>4533.91</v>
      </c>
      <c r="H33" s="30" t="n">
        <f aca="false">IF($E33="","",F33+G33)</f>
        <v>6402.38</v>
      </c>
      <c r="I33" s="30" t="n">
        <f aca="false">IF($E33="","",$E33*F33)</f>
        <v>1868.47</v>
      </c>
      <c r="J33" s="30" t="n">
        <f aca="false">IF($E33="","",$E33*G33)</f>
        <v>4533.91</v>
      </c>
      <c r="K33" s="30" t="n">
        <f aca="false">IF($E33="","",I33+J33)</f>
        <v>6402.38</v>
      </c>
      <c r="L33" s="53" t="str">
        <f aca="false">IF($E33="","",IF(R33=0,"SEM CUSTO — falta linha de custo","OK"))</f>
        <v>OK</v>
      </c>
      <c r="M33" s="67" t="str">
        <f aca="false">IF(AND(ISNUMBER(E33),NOT(ISNUMBER(E32))),"F"&amp;ROW()&amp;":G"&amp;X33,"")</f>
        <v/>
      </c>
      <c r="N33" s="30" t="n">
        <f aca="false">IF($E33="","",SUMIFS('Rateio Anexo'!$K$6:$K$600,'Rateio Anexo'!$D$6:$D$600,$B33,'Rateio Anexo'!$B$6:$B$600,"MAT"))</f>
        <v>976.490961597478</v>
      </c>
      <c r="O33" s="30" t="n">
        <f aca="false">IF($E33="","",SUMIFS('Rateio Anexo'!$K$6:$K$600,'Rateio Anexo'!$D$6:$D$600,$B33,'Rateio Anexo'!$B$6:$B$600,"MO"))</f>
        <v>2346.0998526055</v>
      </c>
      <c r="P33" s="30" t="n">
        <f aca="false">IF($E33="","",IF($N$3=0,0,N33/$N$3*$R$4))</f>
        <v>3.49395287087143</v>
      </c>
      <c r="Q33" s="30" t="n">
        <f aca="false">IF($E33="","",IF($O$3=0,0,O33/$O$3*$T$4))</f>
        <v>486.632763240764</v>
      </c>
      <c r="R33" s="30" t="n">
        <f aca="false">IF($E33="","",N33+O33+P33+Q33)</f>
        <v>3812.71753031462</v>
      </c>
      <c r="S33" s="30" t="n">
        <f aca="false">IF($E33="","",(N33+P33)*Precificação!$B$19)</f>
        <v>1868.46917042094</v>
      </c>
      <c r="T33" s="30" t="n">
        <f aca="false">IF($E33="","",(O33+Q33)*Precificação!$B$20)</f>
        <v>4533.91466539012</v>
      </c>
      <c r="U33" s="68" t="n">
        <f aca="false">IF($E33="","",IF($E33=INT($E33),0.01,IF($E33*2=INT($E33*2),0.02,0.05)))</f>
        <v>0.01</v>
      </c>
      <c r="V33" s="30" t="n">
        <f aca="false">IF($E33="","",ROUND(S33/$E33/U33,0)*U33)</f>
        <v>1868.47</v>
      </c>
      <c r="W33" s="30" t="n">
        <f aca="false">IF($E33="","",ROUND(T33/$E33/U33,0)*U33)</f>
        <v>4533.91</v>
      </c>
      <c r="X33" s="14" t="n">
        <f aca="false">IF(NOT(ISNUMBER(E33)),"",IF(NOT(ISNUMBER(E34)),ROW(),X34))</f>
        <v>47</v>
      </c>
    </row>
    <row r="34" customFormat="false" ht="15" hidden="false" customHeight="false" outlineLevel="0" collapsed="false">
      <c r="A34" s="64" t="n">
        <v>26</v>
      </c>
      <c r="B34" s="64" t="s">
        <v>411</v>
      </c>
      <c r="C34" s="16" t="s">
        <v>561</v>
      </c>
      <c r="D34" s="64" t="s">
        <v>533</v>
      </c>
      <c r="E34" s="64" t="n">
        <v>1</v>
      </c>
      <c r="F34" s="66" t="n">
        <f aca="false">IF($E34="","",V34)</f>
        <v>1017.26</v>
      </c>
      <c r="G34" s="66" t="n">
        <f aca="false">IF($E34="","",ROUND(W34+IF($B34=Precificação!$B$26,$F$3/$E34,0),2))</f>
        <v>2094.45</v>
      </c>
      <c r="H34" s="30" t="n">
        <f aca="false">IF($E34="","",F34+G34)</f>
        <v>3111.71</v>
      </c>
      <c r="I34" s="30" t="n">
        <f aca="false">IF($E34="","",$E34*F34)</f>
        <v>1017.26</v>
      </c>
      <c r="J34" s="30" t="n">
        <f aca="false">IF($E34="","",$E34*G34)</f>
        <v>2094.45</v>
      </c>
      <c r="K34" s="30" t="n">
        <f aca="false">IF($E34="","",I34+J34)</f>
        <v>3111.71</v>
      </c>
      <c r="L34" s="53" t="str">
        <f aca="false">IF($E34="","",IF(R34=0,"SEM CUSTO — falta linha de custo","OK"))</f>
        <v>OK</v>
      </c>
      <c r="M34" s="67" t="str">
        <f aca="false">IF(AND(ISNUMBER(E34),NOT(ISNUMBER(E33))),"F"&amp;ROW()&amp;":G"&amp;X34,"")</f>
        <v/>
      </c>
      <c r="N34" s="30" t="n">
        <f aca="false">IF($E34="","",SUMIFS('Rateio Anexo'!$K$6:$K$600,'Rateio Anexo'!$D$6:$D$600,$B34,'Rateio Anexo'!$B$6:$B$600,"MAT"))</f>
        <v>531.634901932877</v>
      </c>
      <c r="O34" s="30" t="n">
        <f aca="false">IF($E34="","",SUMIFS('Rateio Anexo'!$K$6:$K$600,'Rateio Anexo'!$D$6:$D$600,$B34,'Rateio Anexo'!$B$6:$B$600,"MO"))</f>
        <v>1083.7875413383</v>
      </c>
      <c r="P34" s="30" t="n">
        <f aca="false">IF($E34="","",IF($N$3=0,0,N34/$N$3*$R$4))</f>
        <v>1.90222681511056</v>
      </c>
      <c r="Q34" s="30" t="n">
        <f aca="false">IF($E34="","",IF($O$3=0,0,O34/$O$3*$T$4))</f>
        <v>224.801397699101</v>
      </c>
      <c r="R34" s="30" t="n">
        <f aca="false">IF($E34="","",N34+O34+P34+Q34)</f>
        <v>1842.12606778539</v>
      </c>
      <c r="S34" s="30" t="n">
        <f aca="false">IF($E34="","",(N34+P34)*Precificação!$B$19)</f>
        <v>1017.25818593988</v>
      </c>
      <c r="T34" s="30" t="n">
        <f aca="false">IF($E34="","",(O34+Q34)*Precificação!$B$20)</f>
        <v>2094.45485552702</v>
      </c>
      <c r="U34" s="68" t="n">
        <f aca="false">IF($E34="","",IF($E34=INT($E34),0.01,IF($E34*2=INT($E34*2),0.02,0.05)))</f>
        <v>0.01</v>
      </c>
      <c r="V34" s="30" t="n">
        <f aca="false">IF($E34="","",ROUND(S34/$E34/U34,0)*U34)</f>
        <v>1017.26</v>
      </c>
      <c r="W34" s="30" t="n">
        <f aca="false">IF($E34="","",ROUND(T34/$E34/U34,0)*U34)</f>
        <v>2094.45</v>
      </c>
      <c r="X34" s="14" t="n">
        <f aca="false">IF(NOT(ISNUMBER(E34)),"",IF(NOT(ISNUMBER(E35)),ROW(),X35))</f>
        <v>47</v>
      </c>
    </row>
    <row r="35" customFormat="false" ht="15" hidden="false" customHeight="false" outlineLevel="0" collapsed="false">
      <c r="A35" s="64" t="n">
        <v>27</v>
      </c>
      <c r="B35" s="64" t="s">
        <v>412</v>
      </c>
      <c r="C35" s="16" t="s">
        <v>562</v>
      </c>
      <c r="D35" s="64" t="s">
        <v>533</v>
      </c>
      <c r="E35" s="64" t="n">
        <v>1</v>
      </c>
      <c r="F35" s="66" t="n">
        <f aca="false">IF($E35="","",V35)</f>
        <v>685.73</v>
      </c>
      <c r="G35" s="66" t="n">
        <f aca="false">IF($E35="","",ROUND(W35+IF($B35=Precificação!$B$26,$F$3/$E35,0),2))</f>
        <v>1663.96</v>
      </c>
      <c r="H35" s="30" t="n">
        <f aca="false">IF($E35="","",F35+G35)</f>
        <v>2349.69</v>
      </c>
      <c r="I35" s="30" t="n">
        <f aca="false">IF($E35="","",$E35*F35)</f>
        <v>685.73</v>
      </c>
      <c r="J35" s="30" t="n">
        <f aca="false">IF($E35="","",$E35*G35)</f>
        <v>1663.96</v>
      </c>
      <c r="K35" s="30" t="n">
        <f aca="false">IF($E35="","",I35+J35)</f>
        <v>2349.69</v>
      </c>
      <c r="L35" s="53" t="str">
        <f aca="false">IF($E35="","",IF(R35=0,"SEM CUSTO — falta linha de custo","OK"))</f>
        <v>OK</v>
      </c>
      <c r="M35" s="67" t="str">
        <f aca="false">IF(AND(ISNUMBER(E35),NOT(ISNUMBER(E34))),"F"&amp;ROW()&amp;":G"&amp;X35,"")</f>
        <v/>
      </c>
      <c r="N35" s="30" t="n">
        <f aca="false">IF($E35="","",SUMIFS('Rateio Anexo'!$K$6:$K$600,'Rateio Anexo'!$D$6:$D$600,$B35,'Rateio Anexo'!$B$6:$B$600,"MAT"))</f>
        <v>358.37547075463</v>
      </c>
      <c r="O35" s="30" t="n">
        <f aca="false">IF($E35="","",SUMIFS('Rateio Anexo'!$K$6:$K$600,'Rateio Anexo'!$D$6:$D$600,$B35,'Rateio Anexo'!$B$6:$B$600,"MO"))</f>
        <v>861.026545232323</v>
      </c>
      <c r="P35" s="30" t="n">
        <f aca="false">IF($E35="","",IF($N$3=0,0,N35/$N$3*$R$4))</f>
        <v>1.28229246776089</v>
      </c>
      <c r="Q35" s="30" t="n">
        <f aca="false">IF($E35="","",IF($O$3=0,0,O35/$O$3*$T$4))</f>
        <v>178.595862603513</v>
      </c>
      <c r="R35" s="30" t="n">
        <f aca="false">IF($E35="","",N35+O35+P35+Q35)</f>
        <v>1399.28017105823</v>
      </c>
      <c r="S35" s="30" t="n">
        <f aca="false">IF($E35="","",(N35+P35)*Precificação!$B$19)</f>
        <v>685.734476686475</v>
      </c>
      <c r="T35" s="30" t="n">
        <f aca="false">IF($E35="","",(O35+Q35)*Precificação!$B$20)</f>
        <v>1663.96194790412</v>
      </c>
      <c r="U35" s="68" t="n">
        <f aca="false">IF($E35="","",IF($E35=INT($E35),0.01,IF($E35*2=INT($E35*2),0.02,0.05)))</f>
        <v>0.01</v>
      </c>
      <c r="V35" s="30" t="n">
        <f aca="false">IF($E35="","",ROUND(S35/$E35/U35,0)*U35)</f>
        <v>685.73</v>
      </c>
      <c r="W35" s="30" t="n">
        <f aca="false">IF($E35="","",ROUND(T35/$E35/U35,0)*U35)</f>
        <v>1663.96</v>
      </c>
      <c r="X35" s="14" t="n">
        <f aca="false">IF(NOT(ISNUMBER(E35)),"",IF(NOT(ISNUMBER(E36)),ROW(),X36))</f>
        <v>47</v>
      </c>
    </row>
    <row r="36" customFormat="false" ht="15" hidden="false" customHeight="false" outlineLevel="0" collapsed="false">
      <c r="A36" s="64" t="n">
        <v>28</v>
      </c>
      <c r="B36" s="64" t="s">
        <v>413</v>
      </c>
      <c r="C36" s="16" t="s">
        <v>563</v>
      </c>
      <c r="D36" s="64" t="s">
        <v>533</v>
      </c>
      <c r="E36" s="64" t="n">
        <v>1</v>
      </c>
      <c r="F36" s="66" t="n">
        <f aca="false">IF($E36="","",V36)</f>
        <v>359.85</v>
      </c>
      <c r="G36" s="66" t="n">
        <f aca="false">IF($E36="","",ROUND(W36+IF($B36=Precificação!$B$26,$F$3/$E36,0),2))</f>
        <v>873.2</v>
      </c>
      <c r="H36" s="30" t="n">
        <f aca="false">IF($E36="","",F36+G36)</f>
        <v>1233.05</v>
      </c>
      <c r="I36" s="30" t="n">
        <f aca="false">IF($E36="","",$E36*F36)</f>
        <v>359.85</v>
      </c>
      <c r="J36" s="30" t="n">
        <f aca="false">IF($E36="","",$E36*G36)</f>
        <v>873.2</v>
      </c>
      <c r="K36" s="30" t="n">
        <f aca="false">IF($E36="","",I36+J36)</f>
        <v>1233.05</v>
      </c>
      <c r="L36" s="53" t="str">
        <f aca="false">IF($E36="","",IF(R36=0,"SEM CUSTO — falta linha de custo","OK"))</f>
        <v>OK</v>
      </c>
      <c r="M36" s="67" t="str">
        <f aca="false">IF(AND(ISNUMBER(E36),NOT(ISNUMBER(E35))),"F"&amp;ROW()&amp;":G"&amp;X36,"")</f>
        <v/>
      </c>
      <c r="N36" s="30" t="n">
        <f aca="false">IF($E36="","",SUMIFS('Rateio Anexo'!$K$6:$K$600,'Rateio Anexo'!$D$6:$D$600,$B36,'Rateio Anexo'!$B$6:$B$600,"MAT"))</f>
        <v>188.064925937292</v>
      </c>
      <c r="O36" s="30" t="n">
        <f aca="false">IF($E36="","",SUMIFS('Rateio Anexo'!$K$6:$K$600,'Rateio Anexo'!$D$6:$D$600,$B36,'Rateio Anexo'!$B$6:$B$600,"MO"))</f>
        <v>451.841453094393</v>
      </c>
      <c r="P36" s="30" t="n">
        <f aca="false">IF($E36="","",IF($N$3=0,0,N36/$N$3*$R$4))</f>
        <v>0.67290944179746</v>
      </c>
      <c r="Q36" s="30" t="n">
        <f aca="false">IF($E36="","",IF($O$3=0,0,O36/$O$3*$T$4))</f>
        <v>93.7218655130361</v>
      </c>
      <c r="R36" s="30" t="n">
        <f aca="false">IF($E36="","",N36+O36+P36+Q36)</f>
        <v>734.301153986519</v>
      </c>
      <c r="S36" s="30" t="n">
        <f aca="false">IF($E36="","",(N36+P36)*Precificação!$B$19)</f>
        <v>359.8533217107</v>
      </c>
      <c r="T36" s="30" t="n">
        <f aca="false">IF($E36="","",(O36+Q36)*Precificação!$B$20)</f>
        <v>873.198380001061</v>
      </c>
      <c r="U36" s="68" t="n">
        <f aca="false">IF($E36="","",IF($E36=INT($E36),0.01,IF($E36*2=INT($E36*2),0.02,0.05)))</f>
        <v>0.01</v>
      </c>
      <c r="V36" s="30" t="n">
        <f aca="false">IF($E36="","",ROUND(S36/$E36/U36,0)*U36)</f>
        <v>359.85</v>
      </c>
      <c r="W36" s="30" t="n">
        <f aca="false">IF($E36="","",ROUND(T36/$E36/U36,0)*U36)</f>
        <v>873.2</v>
      </c>
      <c r="X36" s="14" t="n">
        <f aca="false">IF(NOT(ISNUMBER(E36)),"",IF(NOT(ISNUMBER(E37)),ROW(),X37))</f>
        <v>47</v>
      </c>
    </row>
    <row r="37" customFormat="false" ht="15" hidden="false" customHeight="false" outlineLevel="0" collapsed="false">
      <c r="A37" s="64" t="n">
        <v>29</v>
      </c>
      <c r="B37" s="64" t="s">
        <v>414</v>
      </c>
      <c r="C37" s="16" t="s">
        <v>564</v>
      </c>
      <c r="D37" s="64" t="s">
        <v>533</v>
      </c>
      <c r="E37" s="64" t="n">
        <v>2</v>
      </c>
      <c r="F37" s="66" t="n">
        <f aca="false">IF($E37="","",V37)</f>
        <v>250.39</v>
      </c>
      <c r="G37" s="66" t="n">
        <f aca="false">IF($E37="","",ROUND(W37+IF($B37=Precificação!$B$26,$F$3/$E37,0),2))</f>
        <v>607.58</v>
      </c>
      <c r="H37" s="30" t="n">
        <f aca="false">IF($E37="","",F37+G37)</f>
        <v>857.97</v>
      </c>
      <c r="I37" s="30" t="n">
        <f aca="false">IF($E37="","",$E37*F37)</f>
        <v>500.78</v>
      </c>
      <c r="J37" s="30" t="n">
        <f aca="false">IF($E37="","",$E37*G37)</f>
        <v>1215.16</v>
      </c>
      <c r="K37" s="30" t="n">
        <f aca="false">IF($E37="","",I37+J37)</f>
        <v>1715.94</v>
      </c>
      <c r="L37" s="53" t="str">
        <f aca="false">IF($E37="","",IF(R37=0,"SEM CUSTO — falta linha de custo","OK"))</f>
        <v>OK</v>
      </c>
      <c r="M37" s="67" t="str">
        <f aca="false">IF(AND(ISNUMBER(E37),NOT(ISNUMBER(E36))),"F"&amp;ROW()&amp;":G"&amp;X37,"")</f>
        <v/>
      </c>
      <c r="N37" s="30" t="n">
        <f aca="false">IF($E37="","",SUMIFS('Rateio Anexo'!$K$6:$K$600,'Rateio Anexo'!$D$6:$D$600,$B37,'Rateio Anexo'!$B$6:$B$600,"MAT"))</f>
        <v>261.712729101546</v>
      </c>
      <c r="O37" s="30" t="n">
        <f aca="false">IF($E37="","",SUMIFS('Rateio Anexo'!$K$6:$K$600,'Rateio Anexo'!$D$6:$D$600,$B37,'Rateio Anexo'!$B$6:$B$600,"MO"))</f>
        <v>628.786357802687</v>
      </c>
      <c r="P37" s="30" t="n">
        <f aca="false">IF($E37="","",IF($N$3=0,0,N37/$N$3*$R$4))</f>
        <v>0.936426425997864</v>
      </c>
      <c r="Q37" s="30" t="n">
        <f aca="false">IF($E37="","",IF($O$3=0,0,O37/$O$3*$T$4))</f>
        <v>130.424134525134</v>
      </c>
      <c r="R37" s="30" t="n">
        <f aca="false">IF($E37="","",N37+O37+P37+Q37)</f>
        <v>1021.85964785537</v>
      </c>
      <c r="S37" s="30" t="n">
        <f aca="false">IF($E37="","",(N37+P37)*Precificação!$B$19)</f>
        <v>500.774902240765</v>
      </c>
      <c r="T37" s="30" t="n">
        <f aca="false">IF($E37="","",(O37+Q37)*Precificação!$B$20)</f>
        <v>1215.15019314833</v>
      </c>
      <c r="U37" s="68" t="n">
        <f aca="false">IF($E37="","",IF($E37=INT($E37),0.01,IF($E37*2=INT($E37*2),0.02,0.05)))</f>
        <v>0.01</v>
      </c>
      <c r="V37" s="30" t="n">
        <f aca="false">IF($E37="","",ROUND(S37/$E37/U37,0)*U37)</f>
        <v>250.39</v>
      </c>
      <c r="W37" s="30" t="n">
        <f aca="false">IF($E37="","",ROUND(T37/$E37/U37,0)*U37)</f>
        <v>607.58</v>
      </c>
      <c r="X37" s="14" t="n">
        <f aca="false">IF(NOT(ISNUMBER(E37)),"",IF(NOT(ISNUMBER(E38)),ROW(),X38))</f>
        <v>47</v>
      </c>
    </row>
    <row r="38" customFormat="false" ht="15" hidden="false" customHeight="false" outlineLevel="0" collapsed="false">
      <c r="A38" s="64" t="n">
        <v>30</v>
      </c>
      <c r="B38" s="64" t="s">
        <v>415</v>
      </c>
      <c r="C38" s="16" t="s">
        <v>565</v>
      </c>
      <c r="D38" s="64" t="s">
        <v>533</v>
      </c>
      <c r="E38" s="64" t="n">
        <v>2</v>
      </c>
      <c r="F38" s="66" t="n">
        <f aca="false">IF($E38="","",V38)</f>
        <v>181.18</v>
      </c>
      <c r="G38" s="66" t="n">
        <f aca="false">IF($E38="","",ROUND(W38+IF($B38=Precificação!$B$26,$F$3/$E38,0),2))</f>
        <v>439.65</v>
      </c>
      <c r="H38" s="30" t="n">
        <f aca="false">IF($E38="","",F38+G38)</f>
        <v>620.83</v>
      </c>
      <c r="I38" s="30" t="n">
        <f aca="false">IF($E38="","",$E38*F38)</f>
        <v>362.36</v>
      </c>
      <c r="J38" s="30" t="n">
        <f aca="false">IF($E38="","",$E38*G38)</f>
        <v>879.3</v>
      </c>
      <c r="K38" s="30" t="n">
        <f aca="false">IF($E38="","",I38+J38)</f>
        <v>1241.66</v>
      </c>
      <c r="L38" s="53" t="str">
        <f aca="false">IF($E38="","",IF(R38=0,"SEM CUSTO — falta linha de custo","OK"))</f>
        <v>OK</v>
      </c>
      <c r="M38" s="67" t="str">
        <f aca="false">IF(AND(ISNUMBER(E38),NOT(ISNUMBER(E37))),"F"&amp;ROW()&amp;":G"&amp;X38,"")</f>
        <v/>
      </c>
      <c r="N38" s="30" t="n">
        <f aca="false">IF($E38="","",SUMIFS('Rateio Anexo'!$K$6:$K$600,'Rateio Anexo'!$D$6:$D$600,$B38,'Rateio Anexo'!$B$6:$B$600,"MAT"))</f>
        <v>189.380065279511</v>
      </c>
      <c r="O38" s="30" t="n">
        <f aca="false">IF($E38="","",SUMIFS('Rateio Anexo'!$K$6:$K$600,'Rateio Anexo'!$D$6:$D$600,$B38,'Rateio Anexo'!$B$6:$B$600,"MO"))</f>
        <v>455.001183535613</v>
      </c>
      <c r="P38" s="30" t="n">
        <f aca="false">IF($E38="","",IF($N$3=0,0,N38/$N$3*$R$4))</f>
        <v>0.67761510222961</v>
      </c>
      <c r="Q38" s="30" t="n">
        <f aca="false">IF($E38="","",IF($O$3=0,0,O38/$O$3*$T$4))</f>
        <v>94.3772631739664</v>
      </c>
      <c r="R38" s="30" t="n">
        <f aca="false">IF($E38="","",N38+O38+P38+Q38)</f>
        <v>739.43612709132</v>
      </c>
      <c r="S38" s="30" t="n">
        <f aca="false">IF($E38="","",(N38+P38)*Precificação!$B$19)</f>
        <v>362.36977850588</v>
      </c>
      <c r="T38" s="30" t="n">
        <f aca="false">IF($E38="","",(O38+Q38)*Precificação!$B$20)</f>
        <v>879.30466237869</v>
      </c>
      <c r="U38" s="68" t="n">
        <f aca="false">IF($E38="","",IF($E38=INT($E38),0.01,IF($E38*2=INT($E38*2),0.02,0.05)))</f>
        <v>0.01</v>
      </c>
      <c r="V38" s="30" t="n">
        <f aca="false">IF($E38="","",ROUND(S38/$E38/U38,0)*U38)</f>
        <v>181.18</v>
      </c>
      <c r="W38" s="30" t="n">
        <f aca="false">IF($E38="","",ROUND(T38/$E38/U38,0)*U38)</f>
        <v>439.65</v>
      </c>
      <c r="X38" s="14" t="n">
        <f aca="false">IF(NOT(ISNUMBER(E38)),"",IF(NOT(ISNUMBER(E39)),ROW(),X39))</f>
        <v>47</v>
      </c>
    </row>
    <row r="39" customFormat="false" ht="15" hidden="false" customHeight="false" outlineLevel="0" collapsed="false">
      <c r="A39" s="64" t="n">
        <v>31</v>
      </c>
      <c r="B39" s="64" t="s">
        <v>419</v>
      </c>
      <c r="C39" s="16" t="s">
        <v>566</v>
      </c>
      <c r="D39" s="64" t="s">
        <v>533</v>
      </c>
      <c r="E39" s="64" t="n">
        <v>2</v>
      </c>
      <c r="F39" s="66" t="n">
        <f aca="false">IF($E39="","",V39)</f>
        <v>470.95</v>
      </c>
      <c r="G39" s="66" t="n">
        <f aca="false">IF($E39="","",ROUND(W39+IF($B39=Precificação!$B$26,$F$3/$E39,0),2))</f>
        <v>1122.29</v>
      </c>
      <c r="H39" s="30" t="n">
        <f aca="false">IF($E39="","",F39+G39)</f>
        <v>1593.24</v>
      </c>
      <c r="I39" s="30" t="n">
        <f aca="false">IF($E39="","",$E39*F39)</f>
        <v>941.9</v>
      </c>
      <c r="J39" s="30" t="n">
        <f aca="false">IF($E39="","",$E39*G39)</f>
        <v>2244.58</v>
      </c>
      <c r="K39" s="30" t="n">
        <f aca="false">IF($E39="","",I39+J39)</f>
        <v>3186.48</v>
      </c>
      <c r="L39" s="53" t="str">
        <f aca="false">IF($E39="","",IF(R39=0,"SEM CUSTO — falta linha de custo","OK"))</f>
        <v>OK</v>
      </c>
      <c r="M39" s="67" t="str">
        <f aca="false">IF(AND(ISNUMBER(E39),NOT(ISNUMBER(E38))),"F"&amp;ROW()&amp;":G"&amp;X39,"")</f>
        <v/>
      </c>
      <c r="N39" s="30" t="n">
        <f aca="false">IF($E39="","",SUMIFS('Rateio Anexo'!$K$6:$K$600,'Rateio Anexo'!$D$6:$D$600,$B39,'Rateio Anexo'!$B$6:$B$600,"MAT"))</f>
        <v>492.252652939622</v>
      </c>
      <c r="O39" s="30" t="n">
        <f aca="false">IF($E39="","",SUMIFS('Rateio Anexo'!$K$6:$K$600,'Rateio Anexo'!$D$6:$D$600,$B39,'Rateio Anexo'!$B$6:$B$600,"MO"))</f>
        <v>1161.47443910784</v>
      </c>
      <c r="P39" s="30" t="n">
        <f aca="false">IF($E39="","",IF($N$3=0,0,N39/$N$3*$R$4))</f>
        <v>1.76131437726654</v>
      </c>
      <c r="Q39" s="30" t="n">
        <f aca="false">IF($E39="","",IF($O$3=0,0,O39/$O$3*$T$4))</f>
        <v>240.915370719988</v>
      </c>
      <c r="R39" s="30" t="n">
        <f aca="false">IF($E39="","",N39+O39+P39+Q39)</f>
        <v>1896.40377714471</v>
      </c>
      <c r="S39" s="30" t="n">
        <f aca="false">IF($E39="","",(N39+P39)*Precificação!$B$19)</f>
        <v>941.902119166506</v>
      </c>
      <c r="T39" s="30" t="n">
        <f aca="false">IF($E39="","",(O39+Q39)*Precificação!$B$20)</f>
        <v>2244.58732525749</v>
      </c>
      <c r="U39" s="68" t="n">
        <f aca="false">IF($E39="","",IF($E39=INT($E39),0.01,IF($E39*2=INT($E39*2),0.02,0.05)))</f>
        <v>0.01</v>
      </c>
      <c r="V39" s="30" t="n">
        <f aca="false">IF($E39="","",ROUND(S39/$E39/U39,0)*U39)</f>
        <v>470.95</v>
      </c>
      <c r="W39" s="30" t="n">
        <f aca="false">IF($E39="","",ROUND(T39/$E39/U39,0)*U39)</f>
        <v>1122.29</v>
      </c>
      <c r="X39" s="14" t="n">
        <f aca="false">IF(NOT(ISNUMBER(E39)),"",IF(NOT(ISNUMBER(E40)),ROW(),X40))</f>
        <v>47</v>
      </c>
    </row>
    <row r="40" customFormat="false" ht="15" hidden="false" customHeight="false" outlineLevel="0" collapsed="false">
      <c r="A40" s="64" t="n">
        <v>32</v>
      </c>
      <c r="B40" s="64" t="s">
        <v>421</v>
      </c>
      <c r="C40" s="16" t="s">
        <v>567</v>
      </c>
      <c r="D40" s="64" t="s">
        <v>533</v>
      </c>
      <c r="E40" s="64" t="n">
        <v>1</v>
      </c>
      <c r="F40" s="66" t="n">
        <f aca="false">IF($E40="","",V40)</f>
        <v>470.95</v>
      </c>
      <c r="G40" s="66" t="n">
        <f aca="false">IF($E40="","",ROUND(W40+IF($B40=Precificação!$B$26,$F$3/$E40,0),2))</f>
        <v>1122.29</v>
      </c>
      <c r="H40" s="30" t="n">
        <f aca="false">IF($E40="","",F40+G40)</f>
        <v>1593.24</v>
      </c>
      <c r="I40" s="30" t="n">
        <f aca="false">IF($E40="","",$E40*F40)</f>
        <v>470.95</v>
      </c>
      <c r="J40" s="30" t="n">
        <f aca="false">IF($E40="","",$E40*G40)</f>
        <v>1122.29</v>
      </c>
      <c r="K40" s="30" t="n">
        <f aca="false">IF($E40="","",I40+J40)</f>
        <v>1593.24</v>
      </c>
      <c r="L40" s="53" t="str">
        <f aca="false">IF($E40="","",IF(R40=0,"SEM CUSTO — falta linha de custo","OK"))</f>
        <v>OK</v>
      </c>
      <c r="M40" s="67" t="str">
        <f aca="false">IF(AND(ISNUMBER(E40),NOT(ISNUMBER(E39))),"F"&amp;ROW()&amp;":G"&amp;X40,"")</f>
        <v/>
      </c>
      <c r="N40" s="30" t="n">
        <f aca="false">IF($E40="","",SUMIFS('Rateio Anexo'!$K$6:$K$600,'Rateio Anexo'!$D$6:$D$600,$B40,'Rateio Anexo'!$B$6:$B$600,"MAT"))</f>
        <v>246.126326469811</v>
      </c>
      <c r="O40" s="30" t="n">
        <f aca="false">IF($E40="","",SUMIFS('Rateio Anexo'!$K$6:$K$600,'Rateio Anexo'!$D$6:$D$600,$B40,'Rateio Anexo'!$B$6:$B$600,"MO"))</f>
        <v>580.737219553918</v>
      </c>
      <c r="P40" s="30" t="n">
        <f aca="false">IF($E40="","",IF($N$3=0,0,N40/$N$3*$R$4))</f>
        <v>0.88065718863327</v>
      </c>
      <c r="Q40" s="30" t="n">
        <f aca="false">IF($E40="","",IF($O$3=0,0,O40/$O$3*$T$4))</f>
        <v>120.457685359994</v>
      </c>
      <c r="R40" s="30" t="n">
        <f aca="false">IF($E40="","",N40+O40+P40+Q40)</f>
        <v>948.201888572356</v>
      </c>
      <c r="S40" s="30" t="n">
        <f aca="false">IF($E40="","",(N40+P40)*Precificação!$B$19)</f>
        <v>470.951059583253</v>
      </c>
      <c r="T40" s="30" t="n">
        <f aca="false">IF($E40="","",(O40+Q40)*Precificação!$B$20)</f>
        <v>1122.29366262875</v>
      </c>
      <c r="U40" s="68" t="n">
        <f aca="false">IF($E40="","",IF($E40=INT($E40),0.01,IF($E40*2=INT($E40*2),0.02,0.05)))</f>
        <v>0.01</v>
      </c>
      <c r="V40" s="30" t="n">
        <f aca="false">IF($E40="","",ROUND(S40/$E40/U40,0)*U40)</f>
        <v>470.95</v>
      </c>
      <c r="W40" s="30" t="n">
        <f aca="false">IF($E40="","",ROUND(T40/$E40/U40,0)*U40)</f>
        <v>1122.29</v>
      </c>
      <c r="X40" s="14" t="n">
        <f aca="false">IF(NOT(ISNUMBER(E40)),"",IF(NOT(ISNUMBER(E41)),ROW(),X41))</f>
        <v>47</v>
      </c>
    </row>
    <row r="41" customFormat="false" ht="15" hidden="false" customHeight="false" outlineLevel="0" collapsed="false">
      <c r="A41" s="64" t="n">
        <v>33</v>
      </c>
      <c r="B41" s="64" t="s">
        <v>422</v>
      </c>
      <c r="C41" s="16" t="s">
        <v>568</v>
      </c>
      <c r="D41" s="64" t="s">
        <v>533</v>
      </c>
      <c r="E41" s="64" t="n">
        <v>1</v>
      </c>
      <c r="F41" s="66" t="n">
        <f aca="false">IF($E41="","",V41)</f>
        <v>470.95</v>
      </c>
      <c r="G41" s="66" t="n">
        <f aca="false">IF($E41="","",ROUND(W41+IF($B41=Precificação!$B$26,$F$3/$E41,0),2))</f>
        <v>1122.29</v>
      </c>
      <c r="H41" s="30" t="n">
        <f aca="false">IF($E41="","",F41+G41)</f>
        <v>1593.24</v>
      </c>
      <c r="I41" s="30" t="n">
        <f aca="false">IF($E41="","",$E41*F41)</f>
        <v>470.95</v>
      </c>
      <c r="J41" s="30" t="n">
        <f aca="false">IF($E41="","",$E41*G41)</f>
        <v>1122.29</v>
      </c>
      <c r="K41" s="30" t="n">
        <f aca="false">IF($E41="","",I41+J41)</f>
        <v>1593.24</v>
      </c>
      <c r="L41" s="53" t="str">
        <f aca="false">IF($E41="","",IF(R41=0,"SEM CUSTO — falta linha de custo","OK"))</f>
        <v>OK</v>
      </c>
      <c r="M41" s="67" t="str">
        <f aca="false">IF(AND(ISNUMBER(E41),NOT(ISNUMBER(E40))),"F"&amp;ROW()&amp;":G"&amp;X41,"")</f>
        <v/>
      </c>
      <c r="N41" s="30" t="n">
        <f aca="false">IF($E41="","",SUMIFS('Rateio Anexo'!$K$6:$K$600,'Rateio Anexo'!$D$6:$D$600,$B41,'Rateio Anexo'!$B$6:$B$600,"MAT"))</f>
        <v>246.126326469811</v>
      </c>
      <c r="O41" s="30" t="n">
        <f aca="false">IF($E41="","",SUMIFS('Rateio Anexo'!$K$6:$K$600,'Rateio Anexo'!$D$6:$D$600,$B41,'Rateio Anexo'!$B$6:$B$600,"MO"))</f>
        <v>580.737219553918</v>
      </c>
      <c r="P41" s="30" t="n">
        <f aca="false">IF($E41="","",IF($N$3=0,0,N41/$N$3*$R$4))</f>
        <v>0.88065718863327</v>
      </c>
      <c r="Q41" s="30" t="n">
        <f aca="false">IF($E41="","",IF($O$3=0,0,O41/$O$3*$T$4))</f>
        <v>120.457685359994</v>
      </c>
      <c r="R41" s="30" t="n">
        <f aca="false">IF($E41="","",N41+O41+P41+Q41)</f>
        <v>948.201888572356</v>
      </c>
      <c r="S41" s="30" t="n">
        <f aca="false">IF($E41="","",(N41+P41)*Precificação!$B$19)</f>
        <v>470.951059583253</v>
      </c>
      <c r="T41" s="30" t="n">
        <f aca="false">IF($E41="","",(O41+Q41)*Precificação!$B$20)</f>
        <v>1122.29366262875</v>
      </c>
      <c r="U41" s="68" t="n">
        <f aca="false">IF($E41="","",IF($E41=INT($E41),0.01,IF($E41*2=INT($E41*2),0.02,0.05)))</f>
        <v>0.01</v>
      </c>
      <c r="V41" s="30" t="n">
        <f aca="false">IF($E41="","",ROUND(S41/$E41/U41,0)*U41)</f>
        <v>470.95</v>
      </c>
      <c r="W41" s="30" t="n">
        <f aca="false">IF($E41="","",ROUND(T41/$E41/U41,0)*U41)</f>
        <v>1122.29</v>
      </c>
      <c r="X41" s="14" t="n">
        <f aca="false">IF(NOT(ISNUMBER(E41)),"",IF(NOT(ISNUMBER(E42)),ROW(),X42))</f>
        <v>47</v>
      </c>
    </row>
    <row r="42" customFormat="false" ht="15" hidden="false" customHeight="false" outlineLevel="0" collapsed="false">
      <c r="A42" s="64" t="n">
        <v>34</v>
      </c>
      <c r="B42" s="64" t="s">
        <v>423</v>
      </c>
      <c r="C42" s="16" t="s">
        <v>569</v>
      </c>
      <c r="D42" s="64" t="s">
        <v>533</v>
      </c>
      <c r="E42" s="64" t="n">
        <v>1</v>
      </c>
      <c r="F42" s="66" t="n">
        <f aca="false">IF($E42="","",V42)</f>
        <v>390.58</v>
      </c>
      <c r="G42" s="66" t="n">
        <f aca="false">IF($E42="","",ROUND(W42+IF($B42=Precificação!$B$26,$F$3/$E42,0),2))</f>
        <v>930.78</v>
      </c>
      <c r="H42" s="30" t="n">
        <f aca="false">IF($E42="","",F42+G42)</f>
        <v>1321.36</v>
      </c>
      <c r="I42" s="30" t="n">
        <f aca="false">IF($E42="","",$E42*F42)</f>
        <v>390.58</v>
      </c>
      <c r="J42" s="30" t="n">
        <f aca="false">IF($E42="","",$E42*G42)</f>
        <v>930.78</v>
      </c>
      <c r="K42" s="30" t="n">
        <f aca="false">IF($E42="","",I42+J42)</f>
        <v>1321.36</v>
      </c>
      <c r="L42" s="53" t="str">
        <f aca="false">IF($E42="","",IF(R42=0,"SEM CUSTO — falta linha de custo","OK"))</f>
        <v>OK</v>
      </c>
      <c r="M42" s="67" t="str">
        <f aca="false">IF(AND(ISNUMBER(E42),NOT(ISNUMBER(E41))),"F"&amp;ROW()&amp;":G"&amp;X42,"")</f>
        <v/>
      </c>
      <c r="N42" s="30" t="n">
        <f aca="false">IF($E42="","",SUMIFS('Rateio Anexo'!$K$6:$K$600,'Rateio Anexo'!$D$6:$D$600,$B42,'Rateio Anexo'!$B$6:$B$600,"MAT"))</f>
        <v>204.125246867454</v>
      </c>
      <c r="O42" s="30" t="n">
        <f aca="false">IF($E42="","",SUMIFS('Rateio Anexo'!$K$6:$K$600,'Rateio Anexo'!$D$6:$D$600,$B42,'Rateio Anexo'!$B$6:$B$600,"MO"))</f>
        <v>481.635304954273</v>
      </c>
      <c r="P42" s="30" t="n">
        <f aca="false">IF($E42="","",IF($N$3=0,0,N42/$N$3*$R$4))</f>
        <v>0.730374391938173</v>
      </c>
      <c r="Q42" s="30" t="n">
        <f aca="false">IF($E42="","",IF($O$3=0,0,O42/$O$3*$T$4))</f>
        <v>99.9017663565819</v>
      </c>
      <c r="R42" s="30" t="n">
        <f aca="false">IF($E42="","",N42+O42+P42+Q42)</f>
        <v>786.392692570248</v>
      </c>
      <c r="S42" s="30" t="n">
        <f aca="false">IF($E42="","",(N42+P42)*Precificação!$B$19)</f>
        <v>390.583984569046</v>
      </c>
      <c r="T42" s="30" t="n">
        <f aca="false">IF($E42="","",(O42+Q42)*Precificação!$B$20)</f>
        <v>930.77597276036</v>
      </c>
      <c r="U42" s="68" t="n">
        <f aca="false">IF($E42="","",IF($E42=INT($E42),0.01,IF($E42*2=INT($E42*2),0.02,0.05)))</f>
        <v>0.01</v>
      </c>
      <c r="V42" s="30" t="n">
        <f aca="false">IF($E42="","",ROUND(S42/$E42/U42,0)*U42)</f>
        <v>390.58</v>
      </c>
      <c r="W42" s="30" t="n">
        <f aca="false">IF($E42="","",ROUND(T42/$E42/U42,0)*U42)</f>
        <v>930.78</v>
      </c>
      <c r="X42" s="14" t="n">
        <f aca="false">IF(NOT(ISNUMBER(E42)),"",IF(NOT(ISNUMBER(E43)),ROW(),X43))</f>
        <v>47</v>
      </c>
    </row>
    <row r="43" customFormat="false" ht="15" hidden="false" customHeight="false" outlineLevel="0" collapsed="false">
      <c r="A43" s="64" t="n">
        <v>35</v>
      </c>
      <c r="B43" s="64" t="s">
        <v>424</v>
      </c>
      <c r="C43" s="16" t="s">
        <v>570</v>
      </c>
      <c r="D43" s="64" t="s">
        <v>533</v>
      </c>
      <c r="E43" s="64" t="n">
        <v>1</v>
      </c>
      <c r="F43" s="66" t="n">
        <f aca="false">IF($E43="","",V43)</f>
        <v>2608</v>
      </c>
      <c r="G43" s="66" t="n">
        <f aca="false">IF($E43="","",ROUND(W43+IF($B43=Precificação!$B$26,$F$3/$E43,0),2))</f>
        <v>3608.45</v>
      </c>
      <c r="H43" s="30" t="n">
        <f aca="false">IF($E43="","",F43+G43)</f>
        <v>6216.45</v>
      </c>
      <c r="I43" s="30" t="n">
        <f aca="false">IF($E43="","",$E43*F43)</f>
        <v>2608</v>
      </c>
      <c r="J43" s="30" t="n">
        <f aca="false">IF($E43="","",$E43*G43)</f>
        <v>3608.45</v>
      </c>
      <c r="K43" s="30" t="n">
        <f aca="false">IF($E43="","",I43+J43)</f>
        <v>6216.45</v>
      </c>
      <c r="L43" s="53" t="str">
        <f aca="false">IF($E43="","",IF(R43=0,"SEM CUSTO — falta linha de custo","OK"))</f>
        <v>OK</v>
      </c>
      <c r="M43" s="67" t="str">
        <f aca="false">IF(AND(ISNUMBER(E43),NOT(ISNUMBER(E42))),"F"&amp;ROW()&amp;":G"&amp;X43,"")</f>
        <v/>
      </c>
      <c r="N43" s="30" t="n">
        <f aca="false">IF($E43="","",SUMIFS('Rateio Anexo'!$K$6:$K$600,'Rateio Anexo'!$D$6:$D$600,$B43,'Rateio Anexo'!$B$6:$B$600,"MAT"))</f>
        <v>1362.97897940943</v>
      </c>
      <c r="O43" s="30" t="n">
        <f aca="false">IF($E43="","",SUMIFS('Rateio Anexo'!$K$6:$K$600,'Rateio Anexo'!$D$6:$D$600,$B43,'Rateio Anexo'!$B$6:$B$600,"MO"))</f>
        <v>1867.21165866175</v>
      </c>
      <c r="P43" s="30" t="n">
        <f aca="false">IF($E43="","",IF($N$3=0,0,N43/$N$3*$R$4))</f>
        <v>4.87683399573341</v>
      </c>
      <c r="Q43" s="30" t="n">
        <f aca="false">IF($E43="","",IF($O$3=0,0,O43/$O$3*$T$4))</f>
        <v>387.300808190592</v>
      </c>
      <c r="R43" s="30" t="n">
        <f aca="false">IF($E43="","",N43+O43+P43+Q43)</f>
        <v>3622.36828025751</v>
      </c>
      <c r="S43" s="30" t="n">
        <f aca="false">IF($E43="","",(N43+P43)*Precificação!$B$19)</f>
        <v>2607.99567339785</v>
      </c>
      <c r="T43" s="30" t="n">
        <f aca="false">IF($E43="","",(O43+Q43)*Precificação!$B$20)</f>
        <v>3608.44757446795</v>
      </c>
      <c r="U43" s="68" t="n">
        <f aca="false">IF($E43="","",IF($E43=INT($E43),0.01,IF($E43*2=INT($E43*2),0.02,0.05)))</f>
        <v>0.01</v>
      </c>
      <c r="V43" s="30" t="n">
        <f aca="false">IF($E43="","",ROUND(S43/$E43/U43,0)*U43)</f>
        <v>2608</v>
      </c>
      <c r="W43" s="30" t="n">
        <f aca="false">IF($E43="","",ROUND(T43/$E43/U43,0)*U43)</f>
        <v>3608.45</v>
      </c>
      <c r="X43" s="14" t="n">
        <f aca="false">IF(NOT(ISNUMBER(E43)),"",IF(NOT(ISNUMBER(E44)),ROW(),X44))</f>
        <v>47</v>
      </c>
    </row>
    <row r="44" customFormat="false" ht="15" hidden="false" customHeight="false" outlineLevel="0" collapsed="false">
      <c r="A44" s="64" t="n">
        <v>36</v>
      </c>
      <c r="B44" s="64" t="s">
        <v>416</v>
      </c>
      <c r="C44" s="16" t="s">
        <v>571</v>
      </c>
      <c r="D44" s="64" t="s">
        <v>533</v>
      </c>
      <c r="E44" s="64" t="n">
        <v>1</v>
      </c>
      <c r="F44" s="66" t="n">
        <f aca="false">IF($E44="","",V44)</f>
        <v>2237.13</v>
      </c>
      <c r="G44" s="66" t="n">
        <f aca="false">IF($E44="","",ROUND(W44+IF($B44=Precificação!$B$26,$F$3/$E44,0),2))</f>
        <v>5428.49</v>
      </c>
      <c r="H44" s="30" t="n">
        <f aca="false">IF($E44="","",F44+G44)</f>
        <v>7665.62</v>
      </c>
      <c r="I44" s="30" t="n">
        <f aca="false">IF($E44="","",$E44*F44)</f>
        <v>2237.13</v>
      </c>
      <c r="J44" s="30" t="n">
        <f aca="false">IF($E44="","",$E44*G44)</f>
        <v>5428.49</v>
      </c>
      <c r="K44" s="30" t="n">
        <f aca="false">IF($E44="","",I44+J44)</f>
        <v>7665.62</v>
      </c>
      <c r="L44" s="53" t="str">
        <f aca="false">IF($E44="","",IF(R44=0,"SEM CUSTO — falta linha de custo","OK"))</f>
        <v>OK</v>
      </c>
      <c r="M44" s="67" t="str">
        <f aca="false">IF(AND(ISNUMBER(E44),NOT(ISNUMBER(E43))),"F"&amp;ROW()&amp;":G"&amp;X44,"")</f>
        <v/>
      </c>
      <c r="N44" s="30" t="n">
        <f aca="false">IF($E44="","",SUMIFS('Rateio Anexo'!$K$6:$K$600,'Rateio Anexo'!$D$6:$D$600,$B44,'Rateio Anexo'!$B$6:$B$600,"MAT"))</f>
        <v>1169.15887523254</v>
      </c>
      <c r="O44" s="30" t="n">
        <f aca="false">IF($E44="","",SUMIFS('Rateio Anexo'!$K$6:$K$600,'Rateio Anexo'!$D$6:$D$600,$B44,'Rateio Anexo'!$B$6:$B$600,"MO"))</f>
        <v>2809.00036224416</v>
      </c>
      <c r="P44" s="30" t="n">
        <f aca="false">IF($E44="","",IF($N$3=0,0,N44/$N$3*$R$4))</f>
        <v>4.18333212418141</v>
      </c>
      <c r="Q44" s="30" t="n">
        <f aca="false">IF($E44="","",IF($O$3=0,0,O44/$O$3*$T$4))</f>
        <v>582.648520567056</v>
      </c>
      <c r="R44" s="30" t="n">
        <f aca="false">IF($E44="","",N44+O44+P44+Q44)</f>
        <v>4564.99109016794</v>
      </c>
      <c r="S44" s="30" t="n">
        <f aca="false">IF($E44="","",(N44+P44)*Precificação!$B$19)</f>
        <v>2237.13009091477</v>
      </c>
      <c r="T44" s="30" t="n">
        <f aca="false">IF($E44="","",(O44+Q44)*Precificação!$B$20)</f>
        <v>5428.48503371289</v>
      </c>
      <c r="U44" s="68" t="n">
        <f aca="false">IF($E44="","",IF($E44=INT($E44),0.01,IF($E44*2=INT($E44*2),0.02,0.05)))</f>
        <v>0.01</v>
      </c>
      <c r="V44" s="30" t="n">
        <f aca="false">IF($E44="","",ROUND(S44/$E44/U44,0)*U44)</f>
        <v>2237.13</v>
      </c>
      <c r="W44" s="30" t="n">
        <f aca="false">IF($E44="","",ROUND(T44/$E44/U44,0)*U44)</f>
        <v>5428.49</v>
      </c>
      <c r="X44" s="14" t="n">
        <f aca="false">IF(NOT(ISNUMBER(E44)),"",IF(NOT(ISNUMBER(E45)),ROW(),X45))</f>
        <v>47</v>
      </c>
    </row>
    <row r="45" customFormat="false" ht="15" hidden="false" customHeight="false" outlineLevel="0" collapsed="false">
      <c r="A45" s="64" t="n">
        <v>37</v>
      </c>
      <c r="B45" s="64" t="s">
        <v>417</v>
      </c>
      <c r="C45" s="16" t="s">
        <v>572</v>
      </c>
      <c r="D45" s="64" t="s">
        <v>533</v>
      </c>
      <c r="E45" s="64" t="n">
        <v>1</v>
      </c>
      <c r="F45" s="66" t="n">
        <f aca="false">IF($E45="","",V45)</f>
        <v>2091.19</v>
      </c>
      <c r="G45" s="66" t="n">
        <f aca="false">IF($E45="","",ROUND(W45+IF($B45=Precificação!$B$26,$F$3/$E45,0),2))</f>
        <v>4852.9</v>
      </c>
      <c r="H45" s="30" t="n">
        <f aca="false">IF($E45="","",F45+G45)</f>
        <v>6944.09</v>
      </c>
      <c r="I45" s="30" t="n">
        <f aca="false">IF($E45="","",$E45*F45)</f>
        <v>2091.19</v>
      </c>
      <c r="J45" s="30" t="n">
        <f aca="false">IF($E45="","",$E45*G45)</f>
        <v>4852.9</v>
      </c>
      <c r="K45" s="30" t="n">
        <f aca="false">IF($E45="","",I45+J45)</f>
        <v>6944.09</v>
      </c>
      <c r="L45" s="53" t="str">
        <f aca="false">IF($E45="","",IF(R45=0,"SEM CUSTO — falta linha de custo","OK"))</f>
        <v>OK</v>
      </c>
      <c r="M45" s="67" t="str">
        <f aca="false">IF(AND(ISNUMBER(E45),NOT(ISNUMBER(E44))),"F"&amp;ROW()&amp;":G"&amp;X45,"")</f>
        <v/>
      </c>
      <c r="N45" s="30" t="n">
        <f aca="false">IF($E45="","",SUMIFS('Rateio Anexo'!$K$6:$K$600,'Rateio Anexo'!$D$6:$D$600,$B45,'Rateio Anexo'!$B$6:$B$600,"MAT"))</f>
        <v>1092.88760103571</v>
      </c>
      <c r="O45" s="30" t="n">
        <f aca="false">IF($E45="","",SUMIFS('Rateio Anexo'!$K$6:$K$600,'Rateio Anexo'!$D$6:$D$600,$B45,'Rateio Anexo'!$B$6:$B$600,"MO"))</f>
        <v>2511.16096258705</v>
      </c>
      <c r="P45" s="30" t="n">
        <f aca="false">IF($E45="","",IF($N$3=0,0,N45/$N$3*$R$4))</f>
        <v>3.91042817737062</v>
      </c>
      <c r="Q45" s="30" t="n">
        <f aca="false">IF($E45="","",IF($O$3=0,0,O45/$O$3*$T$4))</f>
        <v>520.870071582395</v>
      </c>
      <c r="R45" s="30" t="n">
        <f aca="false">IF($E45="","",N45+O45+P45+Q45)</f>
        <v>4128.82906338253</v>
      </c>
      <c r="S45" s="30" t="n">
        <f aca="false">IF($E45="","",(N45+P45)*Precificação!$B$19)</f>
        <v>2091.18862291352</v>
      </c>
      <c r="T45" s="30" t="n">
        <f aca="false">IF($E45="","",(O45+Q45)*Precificação!$B$20)</f>
        <v>4852.90065671517</v>
      </c>
      <c r="U45" s="68" t="n">
        <f aca="false">IF($E45="","",IF($E45=INT($E45),0.01,IF($E45*2=INT($E45*2),0.02,0.05)))</f>
        <v>0.01</v>
      </c>
      <c r="V45" s="30" t="n">
        <f aca="false">IF($E45="","",ROUND(S45/$E45/U45,0)*U45)</f>
        <v>2091.19</v>
      </c>
      <c r="W45" s="30" t="n">
        <f aca="false">IF($E45="","",ROUND(T45/$E45/U45,0)*U45)</f>
        <v>4852.9</v>
      </c>
      <c r="X45" s="14" t="n">
        <f aca="false">IF(NOT(ISNUMBER(E45)),"",IF(NOT(ISNUMBER(E46)),ROW(),X46))</f>
        <v>47</v>
      </c>
    </row>
    <row r="46" customFormat="false" ht="15" hidden="false" customHeight="false" outlineLevel="0" collapsed="false">
      <c r="A46" s="64" t="n">
        <v>38</v>
      </c>
      <c r="B46" s="64" t="s">
        <v>418</v>
      </c>
      <c r="C46" s="16" t="s">
        <v>573</v>
      </c>
      <c r="D46" s="64" t="s">
        <v>533</v>
      </c>
      <c r="E46" s="64" t="n">
        <v>1</v>
      </c>
      <c r="F46" s="66" t="n">
        <f aca="false">IF($E46="","",V46)</f>
        <v>6352.42</v>
      </c>
      <c r="G46" s="66" t="n">
        <f aca="false">IF($E46="","",ROUND(W46+IF($B46=Precificação!$B$26,$F$3/$E46,0),2))</f>
        <v>10217.31</v>
      </c>
      <c r="H46" s="30" t="n">
        <f aca="false">IF($E46="","",F46+G46)</f>
        <v>16569.73</v>
      </c>
      <c r="I46" s="30" t="n">
        <f aca="false">IF($E46="","",$E46*F46)</f>
        <v>6352.42</v>
      </c>
      <c r="J46" s="30" t="n">
        <f aca="false">IF($E46="","",$E46*G46)</f>
        <v>10217.31</v>
      </c>
      <c r="K46" s="30" t="n">
        <f aca="false">IF($E46="","",I46+J46)</f>
        <v>16569.73</v>
      </c>
      <c r="L46" s="53" t="str">
        <f aca="false">IF($E46="","",IF(R46=0,"SEM CUSTO — falta linha de custo","OK"))</f>
        <v>OK</v>
      </c>
      <c r="M46" s="67" t="str">
        <f aca="false">IF(AND(ISNUMBER(E46),NOT(ISNUMBER(E45))),"F"&amp;ROW()&amp;":G"&amp;X46,"")</f>
        <v/>
      </c>
      <c r="N46" s="30" t="n">
        <f aca="false">IF($E46="","",SUMIFS('Rateio Anexo'!$K$6:$K$600,'Rateio Anexo'!$D$6:$D$600,$B46,'Rateio Anexo'!$B$6:$B$600,"MAT"))</f>
        <v>3319.87153196257</v>
      </c>
      <c r="O46" s="30" t="n">
        <f aca="false">IF($E46="","",SUMIFS('Rateio Anexo'!$K$6:$K$600,'Rateio Anexo'!$D$6:$D$600,$B46,'Rateio Anexo'!$B$6:$B$600,"MO"))</f>
        <v>5287.00747546632</v>
      </c>
      <c r="P46" s="30" t="n">
        <f aca="false">IF($E46="","",IF($N$3=0,0,N46/$N$3*$R$4))</f>
        <v>11.8787322424868</v>
      </c>
      <c r="Q46" s="30" t="n">
        <f aca="false">IF($E46="","",IF($O$3=0,0,O46/$O$3*$T$4))</f>
        <v>1096.64175384669</v>
      </c>
      <c r="R46" s="30" t="n">
        <f aca="false">IF($E46="","",N46+O46+P46+Q46)</f>
        <v>9715.39949351806</v>
      </c>
      <c r="S46" s="30" t="n">
        <f aca="false">IF($E46="","",(N46+P46)*Precificação!$B$19)</f>
        <v>6352.41681815708</v>
      </c>
      <c r="T46" s="30" t="n">
        <f aca="false">IF($E46="","",(O46+Q46)*Precificação!$B$20)</f>
        <v>10217.3147926431</v>
      </c>
      <c r="U46" s="68" t="n">
        <f aca="false">IF($E46="","",IF($E46=INT($E46),0.01,IF($E46*2=INT($E46*2),0.02,0.05)))</f>
        <v>0.01</v>
      </c>
      <c r="V46" s="30" t="n">
        <f aca="false">IF($E46="","",ROUND(S46/$E46/U46,0)*U46)</f>
        <v>6352.42</v>
      </c>
      <c r="W46" s="30" t="n">
        <f aca="false">IF($E46="","",ROUND(T46/$E46/U46,0)*U46)</f>
        <v>10217.31</v>
      </c>
      <c r="X46" s="14" t="n">
        <f aca="false">IF(NOT(ISNUMBER(E46)),"",IF(NOT(ISNUMBER(E47)),ROW(),X47))</f>
        <v>47</v>
      </c>
    </row>
    <row r="47" customFormat="false" ht="15" hidden="false" customHeight="false" outlineLevel="0" collapsed="false">
      <c r="A47" s="64" t="n">
        <v>39</v>
      </c>
      <c r="B47" s="64" t="s">
        <v>425</v>
      </c>
      <c r="C47" s="16" t="s">
        <v>574</v>
      </c>
      <c r="D47" s="64" t="s">
        <v>533</v>
      </c>
      <c r="E47" s="64" t="n">
        <v>1</v>
      </c>
      <c r="F47" s="66" t="n">
        <f aca="false">IF($E47="","",V47)</f>
        <v>43.31</v>
      </c>
      <c r="G47" s="66" t="n">
        <f aca="false">IF($E47="","",ROUND(W47+IF($B47=Precificação!$B$26,$F$3/$E47,0),2))</f>
        <v>105.46</v>
      </c>
      <c r="H47" s="30" t="n">
        <f aca="false">IF($E47="","",F47+G47)</f>
        <v>148.77</v>
      </c>
      <c r="I47" s="30" t="n">
        <f aca="false">IF($E47="","",$E47*F47)</f>
        <v>43.31</v>
      </c>
      <c r="J47" s="30" t="n">
        <f aca="false">IF($E47="","",$E47*G47)</f>
        <v>105.46</v>
      </c>
      <c r="K47" s="30" t="n">
        <f aca="false">IF($E47="","",I47+J47)</f>
        <v>148.77</v>
      </c>
      <c r="L47" s="53" t="str">
        <f aca="false">IF($E47="","",IF(R47=0,"SEM CUSTO — falta linha de custo","OK"))</f>
        <v>OK</v>
      </c>
      <c r="M47" s="67" t="str">
        <f aca="false">IF(AND(ISNUMBER(E47),NOT(ISNUMBER(E46))),"F"&amp;ROW()&amp;":G"&amp;X47,"")</f>
        <v/>
      </c>
      <c r="N47" s="30" t="n">
        <f aca="false">IF($E47="","",SUMIFS('Rateio Anexo'!$K$6:$K$600,'Rateio Anexo'!$D$6:$D$600,$B47,'Rateio Anexo'!$B$6:$B$600,"MAT"))</f>
        <v>22.6351228308657</v>
      </c>
      <c r="O47" s="30" t="n">
        <f aca="false">IF($E47="","",SUMIFS('Rateio Anexo'!$K$6:$K$600,'Rateio Anexo'!$D$6:$D$600,$B47,'Rateio Anexo'!$B$6:$B$600,"MO"))</f>
        <v>54.5716523603593</v>
      </c>
      <c r="P47" s="30" t="n">
        <f aca="false">IF($E47="","",IF($N$3=0,0,N47/$N$3*$R$4))</f>
        <v>0.0809900506073816</v>
      </c>
      <c r="Q47" s="30" t="n">
        <f aca="false">IF($E47="","",IF($O$3=0,0,O47/$O$3*$T$4))</f>
        <v>11.3193621973265</v>
      </c>
      <c r="R47" s="30" t="n">
        <f aca="false">IF($E47="","",N47+O47+P47+Q47)</f>
        <v>88.6071274391588</v>
      </c>
      <c r="S47" s="30" t="n">
        <f aca="false">IF($E47="","",(N47+P47)*Precificação!$B$19)</f>
        <v>43.3112346569752</v>
      </c>
      <c r="T47" s="30" t="n">
        <f aca="false">IF($E47="","",(O47+Q47)*Precificação!$B$20)</f>
        <v>105.461502278526</v>
      </c>
      <c r="U47" s="68" t="n">
        <f aca="false">IF($E47="","",IF($E47=INT($E47),0.01,IF($E47*2=INT($E47*2),0.02,0.05)))</f>
        <v>0.01</v>
      </c>
      <c r="V47" s="30" t="n">
        <f aca="false">IF($E47="","",ROUND(S47/$E47/U47,0)*U47)</f>
        <v>43.31</v>
      </c>
      <c r="W47" s="30" t="n">
        <f aca="false">IF($E47="","",ROUND(T47/$E47/U47,0)*U47)</f>
        <v>105.46</v>
      </c>
      <c r="X47" s="14" t="n">
        <f aca="false">IF(NOT(ISNUMBER(E47)),"",IF(NOT(ISNUMBER(E48)),ROW(),X48))</f>
        <v>47</v>
      </c>
    </row>
    <row r="48" customFormat="false" ht="15" hidden="false" customHeight="false" outlineLevel="0" collapsed="false">
      <c r="A48" s="65" t="n">
        <v>40</v>
      </c>
      <c r="B48" s="65" t="s">
        <v>575</v>
      </c>
      <c r="C48" s="18" t="s">
        <v>576</v>
      </c>
      <c r="D48" s="64"/>
      <c r="E48" s="64"/>
      <c r="F48" s="66" t="str">
        <f aca="false">IF($E48="","",V48)</f>
        <v/>
      </c>
      <c r="G48" s="66" t="str">
        <f aca="false">IF($E48="","",ROUND(W48+IF($B48=Precificação!$B$26,$F$3/$E48,0),2))</f>
        <v/>
      </c>
      <c r="H48" s="30" t="str">
        <f aca="false">IF($E48="","",F48+G48)</f>
        <v/>
      </c>
      <c r="I48" s="30" t="str">
        <f aca="false">IF($E48="","",$E48*F48)</f>
        <v/>
      </c>
      <c r="J48" s="30" t="str">
        <f aca="false">IF($E48="","",$E48*G48)</f>
        <v/>
      </c>
      <c r="K48" s="30" t="str">
        <f aca="false">IF($E48="","",I48+J48)</f>
        <v/>
      </c>
      <c r="L48" s="53" t="str">
        <f aca="false">IF($E48="","",IF(R48=0,"SEM CUSTO — falta linha de custo","OK"))</f>
        <v/>
      </c>
      <c r="M48" s="67" t="str">
        <f aca="false">IF(AND(ISNUMBER(E48),NOT(ISNUMBER(E47))),"F"&amp;ROW()&amp;":G"&amp;X48,"")</f>
        <v/>
      </c>
      <c r="N48" s="30" t="str">
        <f aca="false">IF($E48="","",SUMIFS('Rateio Anexo'!$K$6:$K$600,'Rateio Anexo'!$D$6:$D$600,$B48,'Rateio Anexo'!$B$6:$B$600,"MAT"))</f>
        <v/>
      </c>
      <c r="O48" s="30" t="str">
        <f aca="false">IF($E48="","",SUMIFS('Rateio Anexo'!$K$6:$K$600,'Rateio Anexo'!$D$6:$D$600,$B48,'Rateio Anexo'!$B$6:$B$600,"MO"))</f>
        <v/>
      </c>
      <c r="P48" s="30" t="str">
        <f aca="false">IF($E48="","",IF($N$3=0,0,N48/$N$3*$R$4))</f>
        <v/>
      </c>
      <c r="Q48" s="30" t="str">
        <f aca="false">IF($E48="","",IF($O$3=0,0,O48/$O$3*$T$4))</f>
        <v/>
      </c>
      <c r="R48" s="30" t="str">
        <f aca="false">IF($E48="","",N48+O48+P48+Q48)</f>
        <v/>
      </c>
      <c r="S48" s="30" t="str">
        <f aca="false">IF($E48="","",(N48+P48)*Precificação!$B$19)</f>
        <v/>
      </c>
      <c r="T48" s="30" t="str">
        <f aca="false">IF($E48="","",(O48+Q48)*Precificação!$B$20)</f>
        <v/>
      </c>
      <c r="U48" s="68" t="str">
        <f aca="false">IF($E48="","",IF($E48=INT($E48),0.01,IF($E48*2=INT($E48*2),0.02,0.05)))</f>
        <v/>
      </c>
      <c r="V48" s="30" t="str">
        <f aca="false">IF($E48="","",ROUND(S48/$E48/U48,0)*U48)</f>
        <v/>
      </c>
      <c r="W48" s="30" t="str">
        <f aca="false">IF($E48="","",ROUND(T48/$E48/U48,0)*U48)</f>
        <v/>
      </c>
      <c r="X48" s="14" t="str">
        <f aca="false">IF(NOT(ISNUMBER(E48)),"",IF(NOT(ISNUMBER(E49)),ROW(),X49))</f>
        <v/>
      </c>
    </row>
    <row r="49" customFormat="false" ht="15" hidden="false" customHeight="false" outlineLevel="0" collapsed="false">
      <c r="A49" s="64" t="n">
        <v>41</v>
      </c>
      <c r="B49" s="64" t="s">
        <v>457</v>
      </c>
      <c r="C49" s="16" t="s">
        <v>577</v>
      </c>
      <c r="D49" s="64" t="s">
        <v>533</v>
      </c>
      <c r="E49" s="64" t="n">
        <v>15</v>
      </c>
      <c r="F49" s="66" t="n">
        <f aca="false">IF($E49="","",V49)</f>
        <v>109.88</v>
      </c>
      <c r="G49" s="66" t="n">
        <f aca="false">IF($E49="","",ROUND(W49+IF($B49=Precificação!$B$26,$F$3/$E49,0),2))</f>
        <v>98.14</v>
      </c>
      <c r="H49" s="30" t="n">
        <f aca="false">IF($E49="","",F49+G49)</f>
        <v>208.02</v>
      </c>
      <c r="I49" s="30" t="n">
        <f aca="false">IF($E49="","",$E49*F49)</f>
        <v>1648.2</v>
      </c>
      <c r="J49" s="30" t="n">
        <f aca="false">IF($E49="","",$E49*G49)</f>
        <v>1472.1</v>
      </c>
      <c r="K49" s="30" t="n">
        <f aca="false">IF($E49="","",I49+J49)</f>
        <v>3120.3</v>
      </c>
      <c r="L49" s="53" t="str">
        <f aca="false">IF($E49="","",IF(R49=0,"SEM CUSTO — falta linha de custo","OK"))</f>
        <v>OK</v>
      </c>
      <c r="M49" s="67" t="str">
        <f aca="false">IF(AND(ISNUMBER(E49),NOT(ISNUMBER(E48))),"F"&amp;ROW()&amp;":G"&amp;X49,"")</f>
        <v>F49:G53</v>
      </c>
      <c r="N49" s="30" t="n">
        <f aca="false">IF($E49="","",SUMIFS('Rateio Anexo'!$K$6:$K$600,'Rateio Anexo'!$D$6:$D$600,$B49,'Rateio Anexo'!$B$6:$B$600,"MAT"))</f>
        <v>861.368495077356</v>
      </c>
      <c r="O49" s="30" t="n">
        <f aca="false">IF($E49="","",SUMIFS('Rateio Anexo'!$K$6:$K$600,'Rateio Anexo'!$D$6:$D$600,$B49,'Rateio Anexo'!$B$6:$B$600,"MO"))</f>
        <v>761.752378557358</v>
      </c>
      <c r="P49" s="30" t="n">
        <f aca="false">IF($E49="","",IF($N$3=0,0,N49/$N$3*$R$4))</f>
        <v>3.08203664407732</v>
      </c>
      <c r="Q49" s="30" t="n">
        <f aca="false">IF($E49="","",IF($O$3=0,0,O49/$O$3*$T$4))</f>
        <v>158.004214727225</v>
      </c>
      <c r="R49" s="30" t="n">
        <f aca="false">IF($E49="","",N49+O49+P49+Q49)</f>
        <v>1784.20712500602</v>
      </c>
      <c r="S49" s="30" t="n">
        <f aca="false">IF($E49="","",(N49+P49)*Precificação!$B$19)</f>
        <v>1648.18778741278</v>
      </c>
      <c r="T49" s="30" t="n">
        <f aca="false">IF($E49="","",(O49+Q49)*Precificação!$B$20)</f>
        <v>1472.1113752688</v>
      </c>
      <c r="U49" s="68" t="n">
        <f aca="false">IF($E49="","",IF($E49=INT($E49),0.01,IF($E49*2=INT($E49*2),0.02,0.05)))</f>
        <v>0.01</v>
      </c>
      <c r="V49" s="30" t="n">
        <f aca="false">IF($E49="","",ROUND(S49/$E49/U49,0)*U49)</f>
        <v>109.88</v>
      </c>
      <c r="W49" s="30" t="n">
        <f aca="false">IF($E49="","",ROUND(T49/$E49/U49,0)*U49)</f>
        <v>98.14</v>
      </c>
      <c r="X49" s="14" t="n">
        <f aca="false">IF(NOT(ISNUMBER(E49)),"",IF(NOT(ISNUMBER(E50)),ROW(),X50))</f>
        <v>53</v>
      </c>
    </row>
    <row r="50" customFormat="false" ht="15" hidden="false" customHeight="false" outlineLevel="0" collapsed="false">
      <c r="A50" s="64" t="n">
        <v>42</v>
      </c>
      <c r="B50" s="64" t="s">
        <v>483</v>
      </c>
      <c r="C50" s="16" t="s">
        <v>578</v>
      </c>
      <c r="D50" s="64" t="s">
        <v>533</v>
      </c>
      <c r="E50" s="64" t="n">
        <v>2</v>
      </c>
      <c r="F50" s="66" t="n">
        <f aca="false">IF($E50="","",V50)</f>
        <v>669.71</v>
      </c>
      <c r="G50" s="66" t="n">
        <f aca="false">IF($E50="","",ROUND(W50+IF($B50=Precificação!$B$26,$F$3/$E50,0),2))</f>
        <v>0</v>
      </c>
      <c r="H50" s="30" t="n">
        <f aca="false">IF($E50="","",F50+G50)</f>
        <v>669.71</v>
      </c>
      <c r="I50" s="30" t="n">
        <f aca="false">IF($E50="","",$E50*F50)</f>
        <v>1339.42</v>
      </c>
      <c r="J50" s="30" t="n">
        <f aca="false">IF($E50="","",$E50*G50)</f>
        <v>0</v>
      </c>
      <c r="K50" s="30" t="n">
        <f aca="false">IF($E50="","",I50+J50)</f>
        <v>1339.42</v>
      </c>
      <c r="L50" s="53" t="str">
        <f aca="false">IF($E50="","",IF(R50=0,"SEM CUSTO — falta linha de custo","OK"))</f>
        <v>OK</v>
      </c>
      <c r="M50" s="67" t="str">
        <f aca="false">IF(AND(ISNUMBER(E50),NOT(ISNUMBER(E49))),"F"&amp;ROW()&amp;":G"&amp;X50,"")</f>
        <v/>
      </c>
      <c r="N50" s="30" t="n">
        <f aca="false">IF($E50="","",SUMIFS('Rateio Anexo'!$K$6:$K$600,'Rateio Anexo'!$D$6:$D$600,$B50,'Rateio Anexo'!$B$6:$B$600,"MAT"))</f>
        <v>700</v>
      </c>
      <c r="O50" s="30" t="n">
        <f aca="false">IF($E50="","",SUMIFS('Rateio Anexo'!$K$6:$K$600,'Rateio Anexo'!$D$6:$D$600,$B50,'Rateio Anexo'!$B$6:$B$600,"MO"))</f>
        <v>0</v>
      </c>
      <c r="P50" s="30" t="n">
        <f aca="false">IF($E50="","",IF($N$3=0,0,N50/$N$3*$R$4))</f>
        <v>2.50464889670753</v>
      </c>
      <c r="Q50" s="30" t="n">
        <f aca="false">IF($E50="","",IF($O$3=0,0,O50/$O$3*$T$4))</f>
        <v>0</v>
      </c>
      <c r="R50" s="30" t="n">
        <f aca="false">IF($E50="","",N50+O50+P50+Q50)</f>
        <v>702.504648896708</v>
      </c>
      <c r="S50" s="30" t="n">
        <f aca="false">IF($E50="","",(N50+P50)*Precificação!$B$19)</f>
        <v>1339.41682077115</v>
      </c>
      <c r="T50" s="30" t="n">
        <f aca="false">IF($E50="","",(O50+Q50)*Precificação!$B$20)</f>
        <v>0</v>
      </c>
      <c r="U50" s="68" t="n">
        <f aca="false">IF($E50="","",IF($E50=INT($E50),0.01,IF($E50*2=INT($E50*2),0.02,0.05)))</f>
        <v>0.01</v>
      </c>
      <c r="V50" s="30" t="n">
        <f aca="false">IF($E50="","",ROUND(S50/$E50/U50,0)*U50)</f>
        <v>669.71</v>
      </c>
      <c r="W50" s="30" t="n">
        <f aca="false">IF($E50="","",ROUND(T50/$E50/U50,0)*U50)</f>
        <v>0</v>
      </c>
      <c r="X50" s="14" t="n">
        <f aca="false">IF(NOT(ISNUMBER(E50)),"",IF(NOT(ISNUMBER(E51)),ROW(),X51))</f>
        <v>53</v>
      </c>
    </row>
    <row r="51" customFormat="false" ht="15" hidden="false" customHeight="false" outlineLevel="0" collapsed="false">
      <c r="A51" s="64" t="n">
        <v>43</v>
      </c>
      <c r="B51" s="64" t="s">
        <v>458</v>
      </c>
      <c r="C51" s="16" t="s">
        <v>579</v>
      </c>
      <c r="D51" s="64" t="s">
        <v>533</v>
      </c>
      <c r="E51" s="64" t="n">
        <v>2</v>
      </c>
      <c r="F51" s="66" t="n">
        <f aca="false">IF($E51="","",V51)</f>
        <v>110.75</v>
      </c>
      <c r="G51" s="66" t="n">
        <f aca="false">IF($E51="","",ROUND(W51+IF($B51=Precificação!$B$26,$F$3/$E51,0),2))</f>
        <v>104.18</v>
      </c>
      <c r="H51" s="30" t="n">
        <f aca="false">IF($E51="","",F51+G51)</f>
        <v>214.93</v>
      </c>
      <c r="I51" s="30" t="n">
        <f aca="false">IF($E51="","",$E51*F51)</f>
        <v>221.5</v>
      </c>
      <c r="J51" s="30" t="n">
        <f aca="false">IF($E51="","",$E51*G51)</f>
        <v>208.36</v>
      </c>
      <c r="K51" s="30" t="n">
        <f aca="false">IF($E51="","",I51+J51)</f>
        <v>429.86</v>
      </c>
      <c r="L51" s="53" t="str">
        <f aca="false">IF($E51="","",IF(R51=0,"SEM CUSTO — falta linha de custo","OK"))</f>
        <v>OK</v>
      </c>
      <c r="M51" s="67" t="str">
        <f aca="false">IF(AND(ISNUMBER(E51),NOT(ISNUMBER(E50))),"F"&amp;ROW()&amp;":G"&amp;X51,"")</f>
        <v/>
      </c>
      <c r="N51" s="30" t="n">
        <f aca="false">IF($E51="","",SUMIFS('Rateio Anexo'!$K$6:$K$600,'Rateio Anexo'!$D$6:$D$600,$B51,'Rateio Anexo'!$B$6:$B$600,"MAT"))</f>
        <v>115.762925457103</v>
      </c>
      <c r="O51" s="30" t="n">
        <f aca="false">IF($E51="","",SUMIFS('Rateio Anexo'!$K$6:$K$600,'Rateio Anexo'!$D$6:$D$600,$B51,'Rateio Anexo'!$B$6:$B$600,"MO"))</f>
        <v>107.817259734272</v>
      </c>
      <c r="P51" s="30" t="n">
        <f aca="false">IF($E51="","",IF($N$3=0,0,N51/$N$3*$R$4))</f>
        <v>0.41420783360824</v>
      </c>
      <c r="Q51" s="30" t="n">
        <f aca="false">IF($E51="","",IF($O$3=0,0,O51/$O$3*$T$4))</f>
        <v>22.3636734690842</v>
      </c>
      <c r="R51" s="30" t="n">
        <f aca="false">IF($E51="","",N51+O51+P51+Q51)</f>
        <v>246.358066494067</v>
      </c>
      <c r="S51" s="30" t="n">
        <f aca="false">IF($E51="","",(N51+P51)*Precificação!$B$19)</f>
        <v>221.506870827029</v>
      </c>
      <c r="T51" s="30" t="n">
        <f aca="false">IF($E51="","",(O51+Q51)*Precificação!$B$20)</f>
        <v>208.360379268815</v>
      </c>
      <c r="U51" s="68" t="n">
        <f aca="false">IF($E51="","",IF($E51=INT($E51),0.01,IF($E51*2=INT($E51*2),0.02,0.05)))</f>
        <v>0.01</v>
      </c>
      <c r="V51" s="30" t="n">
        <f aca="false">IF($E51="","",ROUND(S51/$E51/U51,0)*U51)</f>
        <v>110.75</v>
      </c>
      <c r="W51" s="30" t="n">
        <f aca="false">IF($E51="","",ROUND(T51/$E51/U51,0)*U51)</f>
        <v>104.18</v>
      </c>
      <c r="X51" s="14" t="n">
        <f aca="false">IF(NOT(ISNUMBER(E51)),"",IF(NOT(ISNUMBER(E52)),ROW(),X52))</f>
        <v>53</v>
      </c>
    </row>
    <row r="52" customFormat="false" ht="15" hidden="false" customHeight="false" outlineLevel="0" collapsed="false">
      <c r="A52" s="64" t="n">
        <v>44</v>
      </c>
      <c r="B52" s="64" t="s">
        <v>459</v>
      </c>
      <c r="C52" s="16" t="s">
        <v>580</v>
      </c>
      <c r="D52" s="64" t="s">
        <v>533</v>
      </c>
      <c r="E52" s="64" t="n">
        <v>1</v>
      </c>
      <c r="F52" s="66" t="n">
        <f aca="false">IF($E52="","",V52)</f>
        <v>411.52</v>
      </c>
      <c r="G52" s="66" t="n">
        <f aca="false">IF($E52="","",ROUND(W52+IF($B52=Precificação!$B$26,$F$3/$E52,0),2))</f>
        <v>705.09</v>
      </c>
      <c r="H52" s="30" t="n">
        <f aca="false">IF($E52="","",F52+G52)</f>
        <v>1116.61</v>
      </c>
      <c r="I52" s="30" t="n">
        <f aca="false">IF($E52="","",$E52*F52)</f>
        <v>411.52</v>
      </c>
      <c r="J52" s="30" t="n">
        <f aca="false">IF($E52="","",$E52*G52)</f>
        <v>705.09</v>
      </c>
      <c r="K52" s="30" t="n">
        <f aca="false">IF($E52="","",I52+J52)</f>
        <v>1116.61</v>
      </c>
      <c r="L52" s="53" t="str">
        <f aca="false">IF($E52="","",IF(R52=0,"SEM CUSTO — falta linha de custo","OK"))</f>
        <v>OK</v>
      </c>
      <c r="M52" s="67" t="str">
        <f aca="false">IF(AND(ISNUMBER(E52),NOT(ISNUMBER(E51))),"F"&amp;ROW()&amp;":G"&amp;X52,"")</f>
        <v/>
      </c>
      <c r="N52" s="30" t="n">
        <f aca="false">IF($E52="","",SUMIFS('Rateio Anexo'!$K$6:$K$600,'Rateio Anexo'!$D$6:$D$600,$B52,'Rateio Anexo'!$B$6:$B$600,"MAT"))</f>
        <v>215.066797937178</v>
      </c>
      <c r="O52" s="30" t="n">
        <f aca="false">IF($E52="","",SUMIFS('Rateio Anexo'!$K$6:$K$600,'Rateio Anexo'!$D$6:$D$600,$B52,'Rateio Anexo'!$B$6:$B$600,"MO"))</f>
        <v>364.854338684214</v>
      </c>
      <c r="P52" s="30" t="n">
        <f aca="false">IF($E52="","",IF($N$3=0,0,N52/$N$3*$R$4))</f>
        <v>0.769524025959676</v>
      </c>
      <c r="Q52" s="30" t="n">
        <f aca="false">IF($E52="","",IF($O$3=0,0,O52/$O$3*$T$4))</f>
        <v>75.6788227990805</v>
      </c>
      <c r="R52" s="30" t="n">
        <f aca="false">IF($E52="","",N52+O52+P52+Q52)</f>
        <v>656.369483446432</v>
      </c>
      <c r="S52" s="30" t="n">
        <f aca="false">IF($E52="","",(N52+P52)*Precificação!$B$19)</f>
        <v>411.520123923495</v>
      </c>
      <c r="T52" s="30" t="n">
        <f aca="false">IF($E52="","",(O52+Q52)*Precificação!$B$20)</f>
        <v>705.092937563784</v>
      </c>
      <c r="U52" s="68" t="n">
        <f aca="false">IF($E52="","",IF($E52=INT($E52),0.01,IF($E52*2=INT($E52*2),0.02,0.05)))</f>
        <v>0.01</v>
      </c>
      <c r="V52" s="30" t="n">
        <f aca="false">IF($E52="","",ROUND(S52/$E52/U52,0)*U52)</f>
        <v>411.52</v>
      </c>
      <c r="W52" s="30" t="n">
        <f aca="false">IF($E52="","",ROUND(T52/$E52/U52,0)*U52)</f>
        <v>705.09</v>
      </c>
      <c r="X52" s="14" t="n">
        <f aca="false">IF(NOT(ISNUMBER(E52)),"",IF(NOT(ISNUMBER(E53)),ROW(),X53))</f>
        <v>53</v>
      </c>
    </row>
    <row r="53" customFormat="false" ht="15" hidden="false" customHeight="false" outlineLevel="0" collapsed="false">
      <c r="A53" s="64" t="n">
        <v>45</v>
      </c>
      <c r="B53" s="64" t="s">
        <v>485</v>
      </c>
      <c r="C53" s="16" t="s">
        <v>581</v>
      </c>
      <c r="D53" s="64" t="s">
        <v>533</v>
      </c>
      <c r="E53" s="64" t="n">
        <v>1</v>
      </c>
      <c r="F53" s="66" t="n">
        <f aca="false">IF($E53="","",V53)</f>
        <v>478.36</v>
      </c>
      <c r="G53" s="66" t="n">
        <f aca="false">IF($E53="","",ROUND(W53+IF($B53=Precificação!$B$26,$F$3/$E53,0),2))</f>
        <v>0</v>
      </c>
      <c r="H53" s="30" t="n">
        <f aca="false">IF($E53="","",F53+G53)</f>
        <v>478.36</v>
      </c>
      <c r="I53" s="30" t="n">
        <f aca="false">IF($E53="","",$E53*F53)</f>
        <v>478.36</v>
      </c>
      <c r="J53" s="30" t="n">
        <f aca="false">IF($E53="","",$E53*G53)</f>
        <v>0</v>
      </c>
      <c r="K53" s="30" t="n">
        <f aca="false">IF($E53="","",I53+J53)</f>
        <v>478.36</v>
      </c>
      <c r="L53" s="53" t="str">
        <f aca="false">IF($E53="","",IF(R53=0,"SEM CUSTO — falta linha de custo","OK"))</f>
        <v>OK</v>
      </c>
      <c r="M53" s="67" t="str">
        <f aca="false">IF(AND(ISNUMBER(E53),NOT(ISNUMBER(E52))),"F"&amp;ROW()&amp;":G"&amp;X53,"")</f>
        <v/>
      </c>
      <c r="N53" s="30" t="n">
        <f aca="false">IF($E53="","",SUMIFS('Rateio Anexo'!$K$6:$K$600,'Rateio Anexo'!$D$6:$D$600,$B53,'Rateio Anexo'!$B$6:$B$600,"MAT"))</f>
        <v>250</v>
      </c>
      <c r="O53" s="30" t="n">
        <f aca="false">IF($E53="","",SUMIFS('Rateio Anexo'!$K$6:$K$600,'Rateio Anexo'!$D$6:$D$600,$B53,'Rateio Anexo'!$B$6:$B$600,"MO"))</f>
        <v>0</v>
      </c>
      <c r="P53" s="30" t="n">
        <f aca="false">IF($E53="","",IF($N$3=0,0,N53/$N$3*$R$4))</f>
        <v>0.894517463109832</v>
      </c>
      <c r="Q53" s="30" t="n">
        <f aca="false">IF($E53="","",IF($O$3=0,0,O53/$O$3*$T$4))</f>
        <v>0</v>
      </c>
      <c r="R53" s="30" t="n">
        <f aca="false">IF($E53="","",N53+O53+P53+Q53)</f>
        <v>250.89451746311</v>
      </c>
      <c r="S53" s="30" t="n">
        <f aca="false">IF($E53="","",(N53+P53)*Precificação!$B$19)</f>
        <v>478.363150275412</v>
      </c>
      <c r="T53" s="30" t="n">
        <f aca="false">IF($E53="","",(O53+Q53)*Precificação!$B$20)</f>
        <v>0</v>
      </c>
      <c r="U53" s="68" t="n">
        <f aca="false">IF($E53="","",IF($E53=INT($E53),0.01,IF($E53*2=INT($E53*2),0.02,0.05)))</f>
        <v>0.01</v>
      </c>
      <c r="V53" s="30" t="n">
        <f aca="false">IF($E53="","",ROUND(S53/$E53/U53,0)*U53)</f>
        <v>478.36</v>
      </c>
      <c r="W53" s="30" t="n">
        <f aca="false">IF($E53="","",ROUND(T53/$E53/U53,0)*U53)</f>
        <v>0</v>
      </c>
      <c r="X53" s="14" t="n">
        <f aca="false">IF(NOT(ISNUMBER(E53)),"",IF(NOT(ISNUMBER(E54)),ROW(),X54))</f>
        <v>53</v>
      </c>
    </row>
    <row r="54" customFormat="false" ht="15" hidden="false" customHeight="false" outlineLevel="0" collapsed="false">
      <c r="A54" s="65" t="n">
        <v>46</v>
      </c>
      <c r="B54" s="65" t="s">
        <v>582</v>
      </c>
      <c r="C54" s="18" t="s">
        <v>104</v>
      </c>
      <c r="D54" s="64"/>
      <c r="E54" s="64"/>
      <c r="F54" s="66" t="str">
        <f aca="false">IF($E54="","",V54)</f>
        <v/>
      </c>
      <c r="G54" s="66" t="str">
        <f aca="false">IF($E54="","",ROUND(W54+IF($B54=Precificação!$B$26,$F$3/$E54,0),2))</f>
        <v/>
      </c>
      <c r="H54" s="30" t="str">
        <f aca="false">IF($E54="","",F54+G54)</f>
        <v/>
      </c>
      <c r="I54" s="30" t="str">
        <f aca="false">IF($E54="","",$E54*F54)</f>
        <v/>
      </c>
      <c r="J54" s="30" t="str">
        <f aca="false">IF($E54="","",$E54*G54)</f>
        <v/>
      </c>
      <c r="K54" s="30" t="str">
        <f aca="false">IF($E54="","",I54+J54)</f>
        <v/>
      </c>
      <c r="L54" s="53" t="str">
        <f aca="false">IF($E54="","",IF(R54=0,"SEM CUSTO — falta linha de custo","OK"))</f>
        <v/>
      </c>
      <c r="M54" s="67" t="str">
        <f aca="false">IF(AND(ISNUMBER(E54),NOT(ISNUMBER(E53))),"F"&amp;ROW()&amp;":G"&amp;X54,"")</f>
        <v/>
      </c>
      <c r="N54" s="30" t="str">
        <f aca="false">IF($E54="","",SUMIFS('Rateio Anexo'!$K$6:$K$600,'Rateio Anexo'!$D$6:$D$600,$B54,'Rateio Anexo'!$B$6:$B$600,"MAT"))</f>
        <v/>
      </c>
      <c r="O54" s="30" t="str">
        <f aca="false">IF($E54="","",SUMIFS('Rateio Anexo'!$K$6:$K$600,'Rateio Anexo'!$D$6:$D$600,$B54,'Rateio Anexo'!$B$6:$B$600,"MO"))</f>
        <v/>
      </c>
      <c r="P54" s="30" t="str">
        <f aca="false">IF($E54="","",IF($N$3=0,0,N54/$N$3*$R$4))</f>
        <v/>
      </c>
      <c r="Q54" s="30" t="str">
        <f aca="false">IF($E54="","",IF($O$3=0,0,O54/$O$3*$T$4))</f>
        <v/>
      </c>
      <c r="R54" s="30" t="str">
        <f aca="false">IF($E54="","",N54+O54+P54+Q54)</f>
        <v/>
      </c>
      <c r="S54" s="30" t="str">
        <f aca="false">IF($E54="","",(N54+P54)*Precificação!$B$19)</f>
        <v/>
      </c>
      <c r="T54" s="30" t="str">
        <f aca="false">IF($E54="","",(O54+Q54)*Precificação!$B$20)</f>
        <v/>
      </c>
      <c r="U54" s="68" t="str">
        <f aca="false">IF($E54="","",IF($E54=INT($E54),0.01,IF($E54*2=INT($E54*2),0.02,0.05)))</f>
        <v/>
      </c>
      <c r="V54" s="30" t="str">
        <f aca="false">IF($E54="","",ROUND(S54/$E54/U54,0)*U54)</f>
        <v/>
      </c>
      <c r="W54" s="30" t="str">
        <f aca="false">IF($E54="","",ROUND(T54/$E54/U54,0)*U54)</f>
        <v/>
      </c>
      <c r="X54" s="14" t="str">
        <f aca="false">IF(NOT(ISNUMBER(E54)),"",IF(NOT(ISNUMBER(E55)),ROW(),X55))</f>
        <v/>
      </c>
    </row>
    <row r="55" customFormat="false" ht="15" hidden="false" customHeight="false" outlineLevel="0" collapsed="false">
      <c r="A55" s="64" t="n">
        <v>47</v>
      </c>
      <c r="B55" s="64" t="s">
        <v>464</v>
      </c>
      <c r="C55" s="16" t="s">
        <v>583</v>
      </c>
      <c r="D55" s="64" t="s">
        <v>533</v>
      </c>
      <c r="E55" s="64" t="n">
        <v>12</v>
      </c>
      <c r="F55" s="66" t="n">
        <f aca="false">IF($E55="","",V55)</f>
        <v>2181.57</v>
      </c>
      <c r="G55" s="66" t="n">
        <f aca="false">IF($E55="","",ROUND(W55+IF($B55=Precificação!$B$26,$F$3/$E55,0),2))</f>
        <v>201.31</v>
      </c>
      <c r="H55" s="30" t="n">
        <f aca="false">IF($E55="","",F55+G55)</f>
        <v>2382.88</v>
      </c>
      <c r="I55" s="30" t="n">
        <f aca="false">IF($E55="","",$E55*F55)</f>
        <v>26178.84</v>
      </c>
      <c r="J55" s="30" t="n">
        <f aca="false">IF($E55="","",$E55*G55)</f>
        <v>2415.72</v>
      </c>
      <c r="K55" s="30" t="n">
        <f aca="false">IF($E55="","",I55+J55)</f>
        <v>28594.56</v>
      </c>
      <c r="L55" s="53" t="str">
        <f aca="false">IF($E55="","",IF(R55=0,"SEM CUSTO — falta linha de custo","OK"))</f>
        <v>OK</v>
      </c>
      <c r="M55" s="67" t="str">
        <f aca="false">IF(AND(ISNUMBER(E55),NOT(ISNUMBER(E54))),"F"&amp;ROW()&amp;":G"&amp;X55,"")</f>
        <v>F55:G55</v>
      </c>
      <c r="N55" s="30" t="n">
        <f aca="false">IF($E55="","",SUMIFS('Rateio Anexo'!$K$6:$K$600,'Rateio Anexo'!$D$6:$D$600,$B55,'Rateio Anexo'!$B$6:$B$600,"MAT"))</f>
        <v>13681.4592</v>
      </c>
      <c r="O55" s="30" t="n">
        <f aca="false">IF($E55="","",SUMIFS('Rateio Anexo'!$K$6:$K$600,'Rateio Anexo'!$D$6:$D$600,$B55,'Rateio Anexo'!$B$6:$B$600,"MO"))</f>
        <v>1250</v>
      </c>
      <c r="P55" s="30" t="n">
        <f aca="false">IF($E55="","",IF($N$3=0,0,N55/$N$3*$R$4))</f>
        <v>48.9532167008987</v>
      </c>
      <c r="Q55" s="30" t="n">
        <f aca="false">IF($E55="","",IF($O$3=0,0,O55/$O$3*$T$4))</f>
        <v>259.277521106106</v>
      </c>
      <c r="R55" s="30" t="n">
        <f aca="false">IF($E55="","",N55+O55+P55+Q55)</f>
        <v>15239.689937807</v>
      </c>
      <c r="S55" s="30" t="n">
        <f aca="false">IF($E55="","",(N55+P55)*Precificação!$B$19)</f>
        <v>26178.8236931061</v>
      </c>
      <c r="T55" s="30" t="n">
        <f aca="false">IF($E55="","",(O55+Q55)*Precificação!$B$20)</f>
        <v>2415.6658658171</v>
      </c>
      <c r="U55" s="68" t="n">
        <f aca="false">IF($E55="","",IF($E55=INT($E55),0.01,IF($E55*2=INT($E55*2),0.02,0.05)))</f>
        <v>0.01</v>
      </c>
      <c r="V55" s="30" t="n">
        <f aca="false">IF($E55="","",ROUND(S55/$E55/U55,0)*U55)</f>
        <v>2181.57</v>
      </c>
      <c r="W55" s="30" t="n">
        <f aca="false">IF($E55="","",ROUND(T55/$E55/U55,0)*U55)</f>
        <v>201.31</v>
      </c>
      <c r="X55" s="14" t="n">
        <f aca="false">IF(NOT(ISNUMBER(E55)),"",IF(NOT(ISNUMBER(E56)),ROW(),X56))</f>
        <v>55</v>
      </c>
    </row>
    <row r="56" customFormat="false" ht="15" hidden="false" customHeight="false" outlineLevel="0" collapsed="false">
      <c r="A56" s="65" t="n">
        <v>48</v>
      </c>
      <c r="B56" s="65" t="s">
        <v>584</v>
      </c>
      <c r="C56" s="18" t="s">
        <v>585</v>
      </c>
      <c r="D56" s="64"/>
      <c r="E56" s="64"/>
      <c r="F56" s="66" t="str">
        <f aca="false">IF($E56="","",V56)</f>
        <v/>
      </c>
      <c r="G56" s="66" t="str">
        <f aca="false">IF($E56="","",ROUND(W56+IF($B56=Precificação!$B$26,$F$3/$E56,0),2))</f>
        <v/>
      </c>
      <c r="H56" s="30" t="str">
        <f aca="false">IF($E56="","",F56+G56)</f>
        <v/>
      </c>
      <c r="I56" s="30" t="str">
        <f aca="false">IF($E56="","",$E56*F56)</f>
        <v/>
      </c>
      <c r="J56" s="30" t="str">
        <f aca="false">IF($E56="","",$E56*G56)</f>
        <v/>
      </c>
      <c r="K56" s="30" t="str">
        <f aca="false">IF($E56="","",I56+J56)</f>
        <v/>
      </c>
      <c r="L56" s="53" t="str">
        <f aca="false">IF($E56="","",IF(R56=0,"SEM CUSTO — falta linha de custo","OK"))</f>
        <v/>
      </c>
      <c r="M56" s="67" t="str">
        <f aca="false">IF(AND(ISNUMBER(E56),NOT(ISNUMBER(E55))),"F"&amp;ROW()&amp;":G"&amp;X56,"")</f>
        <v/>
      </c>
      <c r="N56" s="30" t="str">
        <f aca="false">IF($E56="","",SUMIFS('Rateio Anexo'!$K$6:$K$600,'Rateio Anexo'!$D$6:$D$600,$B56,'Rateio Anexo'!$B$6:$B$600,"MAT"))</f>
        <v/>
      </c>
      <c r="O56" s="30" t="str">
        <f aca="false">IF($E56="","",SUMIFS('Rateio Anexo'!$K$6:$K$600,'Rateio Anexo'!$D$6:$D$600,$B56,'Rateio Anexo'!$B$6:$B$600,"MO"))</f>
        <v/>
      </c>
      <c r="P56" s="30" t="str">
        <f aca="false">IF($E56="","",IF($N$3=0,0,N56/$N$3*$R$4))</f>
        <v/>
      </c>
      <c r="Q56" s="30" t="str">
        <f aca="false">IF($E56="","",IF($O$3=0,0,O56/$O$3*$T$4))</f>
        <v/>
      </c>
      <c r="R56" s="30" t="str">
        <f aca="false">IF($E56="","",N56+O56+P56+Q56)</f>
        <v/>
      </c>
      <c r="S56" s="30" t="str">
        <f aca="false">IF($E56="","",(N56+P56)*Precificação!$B$19)</f>
        <v/>
      </c>
      <c r="T56" s="30" t="str">
        <f aca="false">IF($E56="","",(O56+Q56)*Precificação!$B$20)</f>
        <v/>
      </c>
      <c r="U56" s="68" t="str">
        <f aca="false">IF($E56="","",IF($E56=INT($E56),0.01,IF($E56*2=INT($E56*2),0.02,0.05)))</f>
        <v/>
      </c>
      <c r="V56" s="30" t="str">
        <f aca="false">IF($E56="","",ROUND(S56/$E56/U56,0)*U56)</f>
        <v/>
      </c>
      <c r="W56" s="30" t="str">
        <f aca="false">IF($E56="","",ROUND(T56/$E56/U56,0)*U56)</f>
        <v/>
      </c>
      <c r="X56" s="14" t="str">
        <f aca="false">IF(NOT(ISNUMBER(E56)),"",IF(NOT(ISNUMBER(E57)),ROW(),X57))</f>
        <v/>
      </c>
    </row>
    <row r="57" customFormat="false" ht="15" hidden="false" customHeight="false" outlineLevel="0" collapsed="false">
      <c r="A57" s="64" t="n">
        <v>49</v>
      </c>
      <c r="B57" s="64" t="s">
        <v>586</v>
      </c>
      <c r="C57" s="16" t="s">
        <v>587</v>
      </c>
      <c r="D57" s="64" t="s">
        <v>533</v>
      </c>
      <c r="E57" s="64" t="n">
        <v>2</v>
      </c>
      <c r="F57" s="66" t="n">
        <f aca="false">IF($E57="","",V57)</f>
        <v>0</v>
      </c>
      <c r="G57" s="66" t="n">
        <f aca="false">IF($E57="","",ROUND(W57+IF($B57=Precificação!$B$26,$F$3/$E57,0),2))</f>
        <v>0</v>
      </c>
      <c r="H57" s="30" t="n">
        <f aca="false">IF($E57="","",F57+G57)</f>
        <v>0</v>
      </c>
      <c r="I57" s="30" t="n">
        <f aca="false">IF($E57="","",$E57*F57)</f>
        <v>0</v>
      </c>
      <c r="J57" s="30" t="n">
        <f aca="false">IF($E57="","",$E57*G57)</f>
        <v>0</v>
      </c>
      <c r="K57" s="30" t="n">
        <f aca="false">IF($E57="","",I57+J57)</f>
        <v>0</v>
      </c>
      <c r="L57" s="53" t="str">
        <f aca="false">IF($E57="","",IF(R57=0,"SEM CUSTO — falta linha de custo","OK"))</f>
        <v>SEM CUSTO — falta linha de custo</v>
      </c>
      <c r="M57" s="67" t="str">
        <f aca="false">IF(AND(ISNUMBER(E57),NOT(ISNUMBER(E56))),"F"&amp;ROW()&amp;":G"&amp;X57,"")</f>
        <v>F57:G61</v>
      </c>
      <c r="N57" s="30" t="n">
        <f aca="false">IF($E57="","",SUMIFS('Rateio Anexo'!$K$6:$K$600,'Rateio Anexo'!$D$6:$D$600,$B57,'Rateio Anexo'!$B$6:$B$600,"MAT"))</f>
        <v>0</v>
      </c>
      <c r="O57" s="30" t="n">
        <f aca="false">IF($E57="","",SUMIFS('Rateio Anexo'!$K$6:$K$600,'Rateio Anexo'!$D$6:$D$600,$B57,'Rateio Anexo'!$B$6:$B$600,"MO"))</f>
        <v>0</v>
      </c>
      <c r="P57" s="30" t="n">
        <f aca="false">IF($E57="","",IF($N$3=0,0,N57/$N$3*$R$4))</f>
        <v>0</v>
      </c>
      <c r="Q57" s="30" t="n">
        <f aca="false">IF($E57="","",IF($O$3=0,0,O57/$O$3*$T$4))</f>
        <v>0</v>
      </c>
      <c r="R57" s="30" t="n">
        <f aca="false">IF($E57="","",N57+O57+P57+Q57)</f>
        <v>0</v>
      </c>
      <c r="S57" s="30" t="n">
        <f aca="false">IF($E57="","",(N57+P57)*Precificação!$B$19)</f>
        <v>0</v>
      </c>
      <c r="T57" s="30" t="n">
        <f aca="false">IF($E57="","",(O57+Q57)*Precificação!$B$20)</f>
        <v>0</v>
      </c>
      <c r="U57" s="68" t="n">
        <f aca="false">IF($E57="","",IF($E57=INT($E57),0.01,IF($E57*2=INT($E57*2),0.02,0.05)))</f>
        <v>0.01</v>
      </c>
      <c r="V57" s="30" t="n">
        <f aca="false">IF($E57="","",ROUND(S57/$E57/U57,0)*U57)</f>
        <v>0</v>
      </c>
      <c r="W57" s="30" t="n">
        <f aca="false">IF($E57="","",ROUND(T57/$E57/U57,0)*U57)</f>
        <v>0</v>
      </c>
      <c r="X57" s="14" t="n">
        <f aca="false">IF(NOT(ISNUMBER(E57)),"",IF(NOT(ISNUMBER(E58)),ROW(),X58))</f>
        <v>61</v>
      </c>
    </row>
    <row r="58" customFormat="false" ht="15" hidden="false" customHeight="false" outlineLevel="0" collapsed="false">
      <c r="A58" s="64" t="n">
        <v>50</v>
      </c>
      <c r="B58" s="64" t="s">
        <v>497</v>
      </c>
      <c r="C58" s="16" t="s">
        <v>588</v>
      </c>
      <c r="D58" s="64" t="s">
        <v>589</v>
      </c>
      <c r="E58" s="64" t="n">
        <v>18</v>
      </c>
      <c r="F58" s="66" t="n">
        <f aca="false">IF($E58="","",V58)</f>
        <v>0</v>
      </c>
      <c r="G58" s="66" t="n">
        <f aca="false">IF($E58="","",ROUND(W58+IF($B58=Precificação!$B$26,$F$3/$E58,0),2))</f>
        <v>773.01</v>
      </c>
      <c r="H58" s="30" t="n">
        <f aca="false">IF($E58="","",F58+G58)</f>
        <v>773.01</v>
      </c>
      <c r="I58" s="30" t="n">
        <f aca="false">IF($E58="","",$E58*F58)</f>
        <v>0</v>
      </c>
      <c r="J58" s="30" t="n">
        <f aca="false">IF($E58="","",$E58*G58)</f>
        <v>13914.18</v>
      </c>
      <c r="K58" s="30" t="n">
        <f aca="false">IF($E58="","",I58+J58)</f>
        <v>13914.18</v>
      </c>
      <c r="L58" s="53" t="str">
        <f aca="false">IF($E58="","",IF(R58=0,"SEM CUSTO — falta linha de custo","OK"))</f>
        <v>OK</v>
      </c>
      <c r="M58" s="67" t="str">
        <f aca="false">IF(AND(ISNUMBER(E58),NOT(ISNUMBER(E57))),"F"&amp;ROW()&amp;":G"&amp;X58,"")</f>
        <v/>
      </c>
      <c r="N58" s="30" t="n">
        <f aca="false">IF($E58="","",SUMIFS('Rateio Anexo'!$K$6:$K$600,'Rateio Anexo'!$D$6:$D$600,$B58,'Rateio Anexo'!$B$6:$B$600,"MAT"))</f>
        <v>0</v>
      </c>
      <c r="O58" s="30" t="n">
        <f aca="false">IF($E58="","",SUMIFS('Rateio Anexo'!$K$6:$K$600,'Rateio Anexo'!$D$6:$D$600,$B58,'Rateio Anexo'!$B$6:$B$600,"MO"))</f>
        <v>7200</v>
      </c>
      <c r="P58" s="30" t="n">
        <f aca="false">IF($E58="","",IF($N$3=0,0,N58/$N$3*$R$4))</f>
        <v>0</v>
      </c>
      <c r="Q58" s="30" t="n">
        <f aca="false">IF($E58="","",IF($O$3=0,0,O58/$O$3*$T$4))</f>
        <v>1493.43852157117</v>
      </c>
      <c r="R58" s="30" t="n">
        <f aca="false">IF($E58="","",N58+O58+P58+Q58)</f>
        <v>8693.43852157117</v>
      </c>
      <c r="S58" s="30" t="n">
        <f aca="false">IF($E58="","",(N58+P58)*Precificação!$B$19)</f>
        <v>0</v>
      </c>
      <c r="T58" s="30" t="n">
        <f aca="false">IF($E58="","",(O58+Q58)*Precificação!$B$20)</f>
        <v>13914.2353871065</v>
      </c>
      <c r="U58" s="68" t="n">
        <f aca="false">IF($E58="","",IF($E58=INT($E58),0.01,IF($E58*2=INT($E58*2),0.02,0.05)))</f>
        <v>0.01</v>
      </c>
      <c r="V58" s="30" t="n">
        <f aca="false">IF($E58="","",ROUND(S58/$E58/U58,0)*U58)</f>
        <v>0</v>
      </c>
      <c r="W58" s="30" t="n">
        <f aca="false">IF($E58="","",ROUND(T58/$E58/U58,0)*U58)</f>
        <v>773.01</v>
      </c>
      <c r="X58" s="14" t="n">
        <f aca="false">IF(NOT(ISNUMBER(E58)),"",IF(NOT(ISNUMBER(E59)),ROW(),X59))</f>
        <v>61</v>
      </c>
    </row>
    <row r="59" customFormat="false" ht="15" hidden="false" customHeight="false" outlineLevel="0" collapsed="false">
      <c r="A59" s="64" t="n">
        <v>51</v>
      </c>
      <c r="B59" s="64" t="s">
        <v>590</v>
      </c>
      <c r="C59" s="16" t="s">
        <v>591</v>
      </c>
      <c r="D59" s="64" t="s">
        <v>592</v>
      </c>
      <c r="E59" s="64" t="n">
        <v>4</v>
      </c>
      <c r="F59" s="66" t="n">
        <f aca="false">IF($E59="","",V59)</f>
        <v>0</v>
      </c>
      <c r="G59" s="66" t="n">
        <f aca="false">IF($E59="","",ROUND(W59+IF($B59=Precificação!$B$26,$F$3/$E59,0),2))</f>
        <v>0</v>
      </c>
      <c r="H59" s="30" t="n">
        <f aca="false">IF($E59="","",F59+G59)</f>
        <v>0</v>
      </c>
      <c r="I59" s="30" t="n">
        <f aca="false">IF($E59="","",$E59*F59)</f>
        <v>0</v>
      </c>
      <c r="J59" s="30" t="n">
        <f aca="false">IF($E59="","",$E59*G59)</f>
        <v>0</v>
      </c>
      <c r="K59" s="30" t="n">
        <f aca="false">IF($E59="","",I59+J59)</f>
        <v>0</v>
      </c>
      <c r="L59" s="53" t="str">
        <f aca="false">IF($E59="","",IF(R59=0,"SEM CUSTO — falta linha de custo","OK"))</f>
        <v>SEM CUSTO — falta linha de custo</v>
      </c>
      <c r="M59" s="67" t="str">
        <f aca="false">IF(AND(ISNUMBER(E59),NOT(ISNUMBER(E58))),"F"&amp;ROW()&amp;":G"&amp;X59,"")</f>
        <v/>
      </c>
      <c r="N59" s="30" t="n">
        <f aca="false">IF($E59="","",SUMIFS('Rateio Anexo'!$K$6:$K$600,'Rateio Anexo'!$D$6:$D$600,$B59,'Rateio Anexo'!$B$6:$B$600,"MAT"))</f>
        <v>0</v>
      </c>
      <c r="O59" s="30" t="n">
        <f aca="false">IF($E59="","",SUMIFS('Rateio Anexo'!$K$6:$K$600,'Rateio Anexo'!$D$6:$D$600,$B59,'Rateio Anexo'!$B$6:$B$600,"MO"))</f>
        <v>0</v>
      </c>
      <c r="P59" s="30" t="n">
        <f aca="false">IF($E59="","",IF($N$3=0,0,N59/$N$3*$R$4))</f>
        <v>0</v>
      </c>
      <c r="Q59" s="30" t="n">
        <f aca="false">IF($E59="","",IF($O$3=0,0,O59/$O$3*$T$4))</f>
        <v>0</v>
      </c>
      <c r="R59" s="30" t="n">
        <f aca="false">IF($E59="","",N59+O59+P59+Q59)</f>
        <v>0</v>
      </c>
      <c r="S59" s="30" t="n">
        <f aca="false">IF($E59="","",(N59+P59)*Precificação!$B$19)</f>
        <v>0</v>
      </c>
      <c r="T59" s="30" t="n">
        <f aca="false">IF($E59="","",(O59+Q59)*Precificação!$B$20)</f>
        <v>0</v>
      </c>
      <c r="U59" s="68" t="n">
        <f aca="false">IF($E59="","",IF($E59=INT($E59),0.01,IF($E59*2=INT($E59*2),0.02,0.05)))</f>
        <v>0.01</v>
      </c>
      <c r="V59" s="30" t="n">
        <f aca="false">IF($E59="","",ROUND(S59/$E59/U59,0)*U59)</f>
        <v>0</v>
      </c>
      <c r="W59" s="30" t="n">
        <f aca="false">IF($E59="","",ROUND(T59/$E59/U59,0)*U59)</f>
        <v>0</v>
      </c>
      <c r="X59" s="14" t="n">
        <f aca="false">IF(NOT(ISNUMBER(E59)),"",IF(NOT(ISNUMBER(E60)),ROW(),X60))</f>
        <v>61</v>
      </c>
    </row>
    <row r="60" customFormat="false" ht="15" hidden="false" customHeight="false" outlineLevel="0" collapsed="false">
      <c r="A60" s="64" t="n">
        <v>52</v>
      </c>
      <c r="B60" s="64" t="s">
        <v>489</v>
      </c>
      <c r="C60" s="16" t="s">
        <v>593</v>
      </c>
      <c r="D60" s="64" t="s">
        <v>594</v>
      </c>
      <c r="E60" s="64" t="n">
        <v>1</v>
      </c>
      <c r="F60" s="66" t="n">
        <f aca="false">IF($E60="","",V60)</f>
        <v>0</v>
      </c>
      <c r="G60" s="66" t="n">
        <f aca="false">IF($E60="","",ROUND(W60+IF($B60=Precificação!$B$26,$F$3/$E60,0),2))</f>
        <v>1739.28</v>
      </c>
      <c r="H60" s="30" t="n">
        <f aca="false">IF($E60="","",F60+G60)</f>
        <v>1739.28</v>
      </c>
      <c r="I60" s="30" t="n">
        <f aca="false">IF($E60="","",$E60*F60)</f>
        <v>0</v>
      </c>
      <c r="J60" s="30" t="n">
        <f aca="false">IF($E60="","",$E60*G60)</f>
        <v>1739.28</v>
      </c>
      <c r="K60" s="30" t="n">
        <f aca="false">IF($E60="","",I60+J60)</f>
        <v>1739.28</v>
      </c>
      <c r="L60" s="53" t="str">
        <f aca="false">IF($E60="","",IF(R60=0,"SEM CUSTO — falta linha de custo","OK"))</f>
        <v>OK</v>
      </c>
      <c r="M60" s="67" t="str">
        <f aca="false">IF(AND(ISNUMBER(E60),NOT(ISNUMBER(E59))),"F"&amp;ROW()&amp;":G"&amp;X60,"")</f>
        <v/>
      </c>
      <c r="N60" s="30" t="n">
        <f aca="false">IF($E60="","",SUMIFS('Rateio Anexo'!$K$6:$K$600,'Rateio Anexo'!$D$6:$D$600,$B60,'Rateio Anexo'!$B$6:$B$600,"MAT"))</f>
        <v>0</v>
      </c>
      <c r="O60" s="30" t="n">
        <f aca="false">IF($E60="","",SUMIFS('Rateio Anexo'!$K$6:$K$600,'Rateio Anexo'!$D$6:$D$600,$B60,'Rateio Anexo'!$B$6:$B$600,"MO"))</f>
        <v>900</v>
      </c>
      <c r="P60" s="30" t="n">
        <f aca="false">IF($E60="","",IF($N$3=0,0,N60/$N$3*$R$4))</f>
        <v>0</v>
      </c>
      <c r="Q60" s="30" t="n">
        <f aca="false">IF($E60="","",IF($O$3=0,0,O60/$O$3*$T$4))</f>
        <v>186.679815196396</v>
      </c>
      <c r="R60" s="30" t="n">
        <f aca="false">IF($E60="","",N60+O60+P60+Q60)</f>
        <v>1086.6798151964</v>
      </c>
      <c r="S60" s="30" t="n">
        <f aca="false">IF($E60="","",(N60+P60)*Precificação!$B$19)</f>
        <v>0</v>
      </c>
      <c r="T60" s="30" t="n">
        <f aca="false">IF($E60="","",(O60+Q60)*Precificação!$B$20)</f>
        <v>1739.27942338832</v>
      </c>
      <c r="U60" s="68" t="n">
        <f aca="false">IF($E60="","",IF($E60=INT($E60),0.01,IF($E60*2=INT($E60*2),0.02,0.05)))</f>
        <v>0.01</v>
      </c>
      <c r="V60" s="30" t="n">
        <f aca="false">IF($E60="","",ROUND(S60/$E60/U60,0)*U60)</f>
        <v>0</v>
      </c>
      <c r="W60" s="30" t="n">
        <f aca="false">IF($E60="","",ROUND(T60/$E60/U60,0)*U60)</f>
        <v>1739.28</v>
      </c>
      <c r="X60" s="14" t="n">
        <f aca="false">IF(NOT(ISNUMBER(E60)),"",IF(NOT(ISNUMBER(E61)),ROW(),X61))</f>
        <v>61</v>
      </c>
    </row>
    <row r="61" customFormat="false" ht="15" hidden="false" customHeight="false" outlineLevel="0" collapsed="false">
      <c r="A61" s="64" t="n">
        <v>53</v>
      </c>
      <c r="B61" s="64" t="s">
        <v>75</v>
      </c>
      <c r="C61" s="16" t="s">
        <v>595</v>
      </c>
      <c r="D61" s="64" t="s">
        <v>594</v>
      </c>
      <c r="E61" s="64" t="n">
        <v>1</v>
      </c>
      <c r="F61" s="66" t="n">
        <f aca="false">IF($E61="","",V61)</f>
        <v>0</v>
      </c>
      <c r="G61" s="66" t="n">
        <f aca="false">IF($E61="","",ROUND(W61+IF($B61=Precificação!$B$26,$F$3/$E61,0),2))</f>
        <v>837.01</v>
      </c>
      <c r="H61" s="30" t="n">
        <f aca="false">IF($E61="","",F61+G61)</f>
        <v>837.01</v>
      </c>
      <c r="I61" s="30" t="n">
        <f aca="false">IF($E61="","",$E61*F61)</f>
        <v>0</v>
      </c>
      <c r="J61" s="30" t="n">
        <f aca="false">IF($E61="","",$E61*G61)</f>
        <v>837.01</v>
      </c>
      <c r="K61" s="30" t="n">
        <f aca="false">IF($E61="","",I61+J61)</f>
        <v>837.01</v>
      </c>
      <c r="L61" s="53" t="str">
        <f aca="false">IF($E61="","",IF(R61=0,"SEM CUSTO — falta linha de custo","OK"))</f>
        <v>OK</v>
      </c>
      <c r="M61" s="67" t="str">
        <f aca="false">IF(AND(ISNUMBER(E61),NOT(ISNUMBER(E60))),"F"&amp;ROW()&amp;":G"&amp;X61,"")</f>
        <v/>
      </c>
      <c r="N61" s="30" t="n">
        <f aca="false">IF($E61="","",SUMIFS('Rateio Anexo'!$K$6:$K$600,'Rateio Anexo'!$D$6:$D$600,$B61,'Rateio Anexo'!$B$6:$B$600,"MAT"))</f>
        <v>0</v>
      </c>
      <c r="O61" s="30" t="n">
        <f aca="false">IF($E61="","",SUMIFS('Rateio Anexo'!$K$6:$K$600,'Rateio Anexo'!$D$6:$D$600,$B61,'Rateio Anexo'!$B$6:$B$600,"MO"))</f>
        <v>433.333333333333</v>
      </c>
      <c r="P61" s="30" t="n">
        <f aca="false">IF($E61="","",IF($N$3=0,0,N61/$N$3*$R$4))</f>
        <v>0</v>
      </c>
      <c r="Q61" s="30" t="n">
        <f aca="false">IF($E61="","",IF($O$3=0,0,O61/$O$3*$T$4))</f>
        <v>89.8828739834501</v>
      </c>
      <c r="R61" s="30" t="n">
        <f aca="false">IF($E61="","",N61+O61+P61+Q61)</f>
        <v>523.216207316783</v>
      </c>
      <c r="S61" s="30" t="n">
        <f aca="false">IF($E61="","",(N61+P61)*Precificação!$B$19)</f>
        <v>0</v>
      </c>
      <c r="T61" s="30" t="n">
        <f aca="false">IF($E61="","",(O61+Q61)*Precificação!$B$20)</f>
        <v>837.430833483263</v>
      </c>
      <c r="U61" s="68" t="n">
        <f aca="false">IF($E61="","",IF($E61=INT($E61),0.01,IF($E61*2=INT($E61*2),0.02,0.05)))</f>
        <v>0.01</v>
      </c>
      <c r="V61" s="30" t="n">
        <f aca="false">IF($E61="","",ROUND(S61/$E61/U61,0)*U61)</f>
        <v>0</v>
      </c>
      <c r="W61" s="30" t="n">
        <f aca="false">IF($E61="","",ROUND(T61/$E61/U61,0)*U61)</f>
        <v>837.43</v>
      </c>
      <c r="X61" s="14" t="n">
        <f aca="false">IF(NOT(ISNUMBER(E61)),"",IF(NOT(ISNUMBER(E62)),ROW(),X62))</f>
        <v>61</v>
      </c>
    </row>
    <row r="62" customFormat="false" ht="15" hidden="false" customHeight="false" outlineLevel="0" collapsed="false">
      <c r="A62" s="64"/>
      <c r="B62" s="65" t="s">
        <v>596</v>
      </c>
      <c r="C62" s="18" t="s">
        <v>597</v>
      </c>
      <c r="D62" s="64"/>
      <c r="E62" s="64"/>
      <c r="F62" s="66" t="str">
        <f aca="false">IF($E62="","",V62)</f>
        <v/>
      </c>
      <c r="G62" s="66" t="str">
        <f aca="false">IF($E62="","",ROUND(W62+IF($B62=Precificação!$B$26,$F$3/$E62,0),2))</f>
        <v/>
      </c>
      <c r="H62" s="30" t="str">
        <f aca="false">IF($E62="","",F62+G62)</f>
        <v/>
      </c>
      <c r="I62" s="30" t="str">
        <f aca="false">IF($E62="","",$E62*F62)</f>
        <v/>
      </c>
      <c r="J62" s="30" t="str">
        <f aca="false">IF($E62="","",$E62*G62)</f>
        <v/>
      </c>
      <c r="K62" s="30" t="str">
        <f aca="false">IF($E62="","",I62+J62)</f>
        <v/>
      </c>
      <c r="L62" s="53" t="str">
        <f aca="false">IF($E62="","",IF(R62=0,"SEM CUSTO — falta linha de custo","OK"))</f>
        <v/>
      </c>
      <c r="M62" s="67" t="str">
        <f aca="false">IF(AND(ISNUMBER(E62),NOT(ISNUMBER(E61))),"F"&amp;ROW()&amp;":G"&amp;X62,"")</f>
        <v/>
      </c>
      <c r="N62" s="30" t="str">
        <f aca="false">IF($E62="","",SUMIFS('Rateio Anexo'!$K$6:$K$600,'Rateio Anexo'!$D$6:$D$600,$B62,'Rateio Anexo'!$B$6:$B$600,"MAT"))</f>
        <v/>
      </c>
      <c r="O62" s="30" t="str">
        <f aca="false">IF($E62="","",SUMIFS('Rateio Anexo'!$K$6:$K$600,'Rateio Anexo'!$D$6:$D$600,$B62,'Rateio Anexo'!$B$6:$B$600,"MO"))</f>
        <v/>
      </c>
      <c r="P62" s="30" t="str">
        <f aca="false">IF($E62="","",IF($N$3=0,0,N62/$N$3*$R$4))</f>
        <v/>
      </c>
      <c r="Q62" s="30" t="str">
        <f aca="false">IF($E62="","",IF($O$3=0,0,O62/$O$3*$T$4))</f>
        <v/>
      </c>
      <c r="R62" s="30" t="str">
        <f aca="false">IF($E62="","",N62+O62+P62+Q62)</f>
        <v/>
      </c>
      <c r="S62" s="30" t="str">
        <f aca="false">IF($E62="","",(N62+P62)*Precificação!$B$19)</f>
        <v/>
      </c>
      <c r="T62" s="30" t="str">
        <f aca="false">IF($E62="","",(O62+Q62)*Precificação!$B$20)</f>
        <v/>
      </c>
      <c r="U62" s="68" t="str">
        <f aca="false">IF($E62="","",IF($E62=INT($E62),0.01,IF($E62*2=INT($E62*2),0.02,0.05)))</f>
        <v/>
      </c>
      <c r="V62" s="30" t="str">
        <f aca="false">IF($E62="","",ROUND(S62/$E62/U62,0)*U62)</f>
        <v/>
      </c>
      <c r="W62" s="30" t="str">
        <f aca="false">IF($E62="","",ROUND(T62/$E62/U62,0)*U62)</f>
        <v/>
      </c>
      <c r="X62" s="14" t="str">
        <f aca="false">IF(NOT(ISNUMBER(E62)),"",IF(NOT(ISNUMBER(E63)),ROW(),X63))</f>
        <v/>
      </c>
    </row>
    <row r="63" customFormat="false" ht="15" hidden="false" customHeight="false" outlineLevel="0" collapsed="false">
      <c r="A63" s="64" t="n">
        <v>54</v>
      </c>
      <c r="B63" s="64" t="s">
        <v>448</v>
      </c>
      <c r="C63" s="16" t="s">
        <v>598</v>
      </c>
      <c r="D63" s="64" t="s">
        <v>142</v>
      </c>
      <c r="E63" s="64" t="n">
        <v>260</v>
      </c>
      <c r="F63" s="66" t="n">
        <f aca="false">IF($E63="","",V63)</f>
        <v>29.35</v>
      </c>
      <c r="G63" s="66" t="n">
        <f aca="false">IF($E63="","",ROUND(W63+IF($B63=Precificação!$B$26,$F$3/$E63,0),2))</f>
        <v>21.08</v>
      </c>
      <c r="H63" s="30" t="n">
        <f aca="false">IF($E63="","",F63+G63)</f>
        <v>50.43</v>
      </c>
      <c r="I63" s="30" t="n">
        <f aca="false">IF($E63="","",$E63*F63)</f>
        <v>7631</v>
      </c>
      <c r="J63" s="30" t="n">
        <f aca="false">IF($E63="","",$E63*G63)</f>
        <v>5480.8</v>
      </c>
      <c r="K63" s="30" t="n">
        <f aca="false">IF($E63="","",I63+J63)</f>
        <v>13111.8</v>
      </c>
      <c r="L63" s="53" t="str">
        <f aca="false">IF($E63="","",IF(R63=0,"SEM CUSTO — falta linha de custo","OK"))</f>
        <v>OK</v>
      </c>
      <c r="M63" s="67" t="str">
        <f aca="false">IF(AND(ISNUMBER(E63),NOT(ISNUMBER(E62))),"F"&amp;ROW()&amp;":G"&amp;X63,"")</f>
        <v>F63:G70</v>
      </c>
      <c r="N63" s="30" t="n">
        <f aca="false">IF($E63="","",SUMIFS('Rateio Anexo'!$K$6:$K$600,'Rateio Anexo'!$D$6:$D$600,$B63,'Rateio Anexo'!$B$6:$B$600,"MAT"))</f>
        <v>3987.5</v>
      </c>
      <c r="O63" s="30" t="n">
        <f aca="false">IF($E63="","",SUMIFS('Rateio Anexo'!$K$6:$K$600,'Rateio Anexo'!$D$6:$D$600,$B63,'Rateio Anexo'!$B$6:$B$600,"MO"))</f>
        <v>2836.54393353062</v>
      </c>
      <c r="P63" s="30" t="n">
        <f aca="false">IF($E63="","",IF($N$3=0,0,N63/$N$3*$R$4))</f>
        <v>14.2675535366018</v>
      </c>
      <c r="Q63" s="30" t="n">
        <f aca="false">IF($E63="","",IF($O$3=0,0,O63/$O$3*$T$4))</f>
        <v>588.361663675505</v>
      </c>
      <c r="R63" s="30" t="n">
        <f aca="false">IF($E63="","",N63+O63+P63+Q63)</f>
        <v>7426.67315074272</v>
      </c>
      <c r="S63" s="30" t="n">
        <f aca="false">IF($E63="","",(N63+P63)*Precificação!$B$19)</f>
        <v>7629.89224689282</v>
      </c>
      <c r="T63" s="30" t="n">
        <f aca="false">IF($E63="","",(O63+Q63)*Precificação!$B$20)</f>
        <v>5481.71388569639</v>
      </c>
      <c r="U63" s="68" t="n">
        <f aca="false">IF($E63="","",IF($E63=INT($E63),0.01,IF($E63*2=INT($E63*2),0.02,0.05)))</f>
        <v>0.01</v>
      </c>
      <c r="V63" s="30" t="n">
        <f aca="false">IF($E63="","",ROUND(S63/$E63/U63,0)*U63)</f>
        <v>29.35</v>
      </c>
      <c r="W63" s="30" t="n">
        <f aca="false">IF($E63="","",ROUND(T63/$E63/U63,0)*U63)</f>
        <v>21.08</v>
      </c>
      <c r="X63" s="14" t="n">
        <f aca="false">IF(NOT(ISNUMBER(E63)),"",IF(NOT(ISNUMBER(E64)),ROW(),X64))</f>
        <v>70</v>
      </c>
    </row>
    <row r="64" customFormat="false" ht="15" hidden="false" customHeight="false" outlineLevel="0" collapsed="false">
      <c r="A64" s="64" t="n">
        <v>55</v>
      </c>
      <c r="B64" s="64" t="s">
        <v>443</v>
      </c>
      <c r="C64" s="16" t="s">
        <v>599</v>
      </c>
      <c r="D64" s="64" t="s">
        <v>142</v>
      </c>
      <c r="E64" s="64" t="n">
        <v>93</v>
      </c>
      <c r="F64" s="66" t="n">
        <f aca="false">IF($E64="","",V64)</f>
        <v>8.15</v>
      </c>
      <c r="G64" s="66" t="n">
        <f aca="false">IF($E64="","",ROUND(W64+IF($B64=Precificação!$B$26,$F$3/$E64,0),2))</f>
        <v>5.85</v>
      </c>
      <c r="H64" s="30" t="n">
        <f aca="false">IF($E64="","",F64+G64)</f>
        <v>14</v>
      </c>
      <c r="I64" s="30" t="n">
        <f aca="false">IF($E64="","",$E64*F64)</f>
        <v>757.95</v>
      </c>
      <c r="J64" s="30" t="n">
        <f aca="false">IF($E64="","",$E64*G64)</f>
        <v>544.05</v>
      </c>
      <c r="K64" s="30" t="n">
        <f aca="false">IF($E64="","",I64+J64)</f>
        <v>1302</v>
      </c>
      <c r="L64" s="53" t="str">
        <f aca="false">IF($E64="","",IF(R64=0,"SEM CUSTO — falta linha de custo","OK"))</f>
        <v>OK</v>
      </c>
      <c r="M64" s="67" t="str">
        <f aca="false">IF(AND(ISNUMBER(E64),NOT(ISNUMBER(E63))),"F"&amp;ROW()&amp;":G"&amp;X64,"")</f>
        <v/>
      </c>
      <c r="N64" s="30" t="n">
        <f aca="false">IF($E64="","",SUMIFS('Rateio Anexo'!$K$6:$K$600,'Rateio Anexo'!$D$6:$D$600,$B64,'Rateio Anexo'!$B$6:$B$600,"MAT"))</f>
        <v>396.09</v>
      </c>
      <c r="O64" s="30" t="n">
        <f aca="false">IF($E64="","",SUMIFS('Rateio Anexo'!$K$6:$K$600,'Rateio Anexo'!$D$6:$D$600,$B64,'Rateio Anexo'!$B$6:$B$600,"MO"))</f>
        <v>281.762178465741</v>
      </c>
      <c r="P64" s="30" t="n">
        <f aca="false">IF($E64="","",IF($N$3=0,0,N64/$N$3*$R$4))</f>
        <v>1.41723768785269</v>
      </c>
      <c r="Q64" s="30" t="n">
        <f aca="false">IF($E64="","",IF($O$3=0,0,O64/$O$3*$T$4))</f>
        <v>58.4436793392428</v>
      </c>
      <c r="R64" s="30" t="n">
        <f aca="false">IF($E64="","",N64+O64+P64+Q64)</f>
        <v>737.713095492837</v>
      </c>
      <c r="S64" s="30" t="n">
        <f aca="false">IF($E64="","",(N64+P64)*Precificação!$B$19)</f>
        <v>757.899440770352</v>
      </c>
      <c r="T64" s="30" t="n">
        <f aca="false">IF($E64="","",(O64+Q64)*Precificação!$B$20)</f>
        <v>544.514621438366</v>
      </c>
      <c r="U64" s="68" t="n">
        <f aca="false">IF($E64="","",IF($E64=INT($E64),0.01,IF($E64*2=INT($E64*2),0.02,0.05)))</f>
        <v>0.01</v>
      </c>
      <c r="V64" s="30" t="n">
        <f aca="false">IF($E64="","",ROUND(S64/$E64/U64,0)*U64)</f>
        <v>8.15</v>
      </c>
      <c r="W64" s="30" t="n">
        <f aca="false">IF($E64="","",ROUND(T64/$E64/U64,0)*U64)</f>
        <v>5.85</v>
      </c>
      <c r="X64" s="14" t="n">
        <f aca="false">IF(NOT(ISNUMBER(E64)),"",IF(NOT(ISNUMBER(E65)),ROW(),X65))</f>
        <v>70</v>
      </c>
    </row>
    <row r="65" customFormat="false" ht="15" hidden="false" customHeight="false" outlineLevel="0" collapsed="false">
      <c r="A65" s="64" t="n">
        <v>56</v>
      </c>
      <c r="B65" s="64" t="s">
        <v>445</v>
      </c>
      <c r="C65" s="16" t="s">
        <v>600</v>
      </c>
      <c r="D65" s="64" t="s">
        <v>142</v>
      </c>
      <c r="E65" s="64" t="n">
        <v>31</v>
      </c>
      <c r="F65" s="66" t="n">
        <f aca="false">IF($E65="","",V65)</f>
        <v>8.15</v>
      </c>
      <c r="G65" s="66" t="n">
        <f aca="false">IF($E65="","",ROUND(W65+IF($B65=Precificação!$B$26,$F$3/$E65,0),2))</f>
        <v>5.85</v>
      </c>
      <c r="H65" s="30" t="n">
        <f aca="false">IF($E65="","",F65+G65)</f>
        <v>14</v>
      </c>
      <c r="I65" s="30" t="n">
        <f aca="false">IF($E65="","",$E65*F65)</f>
        <v>252.65</v>
      </c>
      <c r="J65" s="30" t="n">
        <f aca="false">IF($E65="","",$E65*G65)</f>
        <v>181.35</v>
      </c>
      <c r="K65" s="30" t="n">
        <f aca="false">IF($E65="","",I65+J65)</f>
        <v>434</v>
      </c>
      <c r="L65" s="53" t="str">
        <f aca="false">IF($E65="","",IF(R65=0,"SEM CUSTO — falta linha de custo","OK"))</f>
        <v>OK</v>
      </c>
      <c r="M65" s="67" t="str">
        <f aca="false">IF(AND(ISNUMBER(E65),NOT(ISNUMBER(E64))),"F"&amp;ROW()&amp;":G"&amp;X65,"")</f>
        <v/>
      </c>
      <c r="N65" s="30" t="n">
        <f aca="false">IF($E65="","",SUMIFS('Rateio Anexo'!$K$6:$K$600,'Rateio Anexo'!$D$6:$D$600,$B65,'Rateio Anexo'!$B$6:$B$600,"MAT"))</f>
        <v>132.03</v>
      </c>
      <c r="O65" s="30" t="n">
        <f aca="false">IF($E65="","",SUMIFS('Rateio Anexo'!$K$6:$K$600,'Rateio Anexo'!$D$6:$D$600,$B65,'Rateio Anexo'!$B$6:$B$600,"MO"))</f>
        <v>93.920726155247</v>
      </c>
      <c r="P65" s="30" t="n">
        <f aca="false">IF($E65="","",IF($N$3=0,0,N65/$N$3*$R$4))</f>
        <v>0.472412562617564</v>
      </c>
      <c r="Q65" s="30" t="n">
        <f aca="false">IF($E65="","",IF($O$3=0,0,O65/$O$3*$T$4))</f>
        <v>19.4812264464143</v>
      </c>
      <c r="R65" s="30" t="n">
        <f aca="false">IF($E65="","",N65+O65+P65+Q65)</f>
        <v>245.904365164279</v>
      </c>
      <c r="S65" s="30" t="n">
        <f aca="false">IF($E65="","",(N65+P65)*Precificação!$B$19)</f>
        <v>252.633146923451</v>
      </c>
      <c r="T65" s="30" t="n">
        <f aca="false">IF($E65="","",(O65+Q65)*Precificação!$B$20)</f>
        <v>181.504873812789</v>
      </c>
      <c r="U65" s="68" t="n">
        <f aca="false">IF($E65="","",IF($E65=INT($E65),0.01,IF($E65*2=INT($E65*2),0.02,0.05)))</f>
        <v>0.01</v>
      </c>
      <c r="V65" s="30" t="n">
        <f aca="false">IF($E65="","",ROUND(S65/$E65/U65,0)*U65)</f>
        <v>8.15</v>
      </c>
      <c r="W65" s="30" t="n">
        <f aca="false">IF($E65="","",ROUND(T65/$E65/U65,0)*U65)</f>
        <v>5.85</v>
      </c>
      <c r="X65" s="14" t="n">
        <f aca="false">IF(NOT(ISNUMBER(E65)),"",IF(NOT(ISNUMBER(E66)),ROW(),X66))</f>
        <v>70</v>
      </c>
    </row>
    <row r="66" customFormat="false" ht="15" hidden="false" customHeight="false" outlineLevel="0" collapsed="false">
      <c r="A66" s="64" t="n">
        <v>57</v>
      </c>
      <c r="B66" s="64" t="s">
        <v>446</v>
      </c>
      <c r="C66" s="16" t="s">
        <v>601</v>
      </c>
      <c r="D66" s="64" t="s">
        <v>142</v>
      </c>
      <c r="E66" s="64" t="n">
        <v>31</v>
      </c>
      <c r="F66" s="66" t="n">
        <f aca="false">IF($E66="","",V66)</f>
        <v>8.15</v>
      </c>
      <c r="G66" s="66" t="n">
        <f aca="false">IF($E66="","",ROUND(W66+IF($B66=Precificação!$B$26,$F$3/$E66,0),2))</f>
        <v>5.85</v>
      </c>
      <c r="H66" s="30" t="n">
        <f aca="false">IF($E66="","",F66+G66)</f>
        <v>14</v>
      </c>
      <c r="I66" s="30" t="n">
        <f aca="false">IF($E66="","",$E66*F66)</f>
        <v>252.65</v>
      </c>
      <c r="J66" s="30" t="n">
        <f aca="false">IF($E66="","",$E66*G66)</f>
        <v>181.35</v>
      </c>
      <c r="K66" s="30" t="n">
        <f aca="false">IF($E66="","",I66+J66)</f>
        <v>434</v>
      </c>
      <c r="L66" s="53" t="str">
        <f aca="false">IF($E66="","",IF(R66=0,"SEM CUSTO — falta linha de custo","OK"))</f>
        <v>OK</v>
      </c>
      <c r="M66" s="67" t="str">
        <f aca="false">IF(AND(ISNUMBER(E66),NOT(ISNUMBER(E65))),"F"&amp;ROW()&amp;":G"&amp;X66,"")</f>
        <v/>
      </c>
      <c r="N66" s="30" t="n">
        <f aca="false">IF($E66="","",SUMIFS('Rateio Anexo'!$K$6:$K$600,'Rateio Anexo'!$D$6:$D$600,$B66,'Rateio Anexo'!$B$6:$B$600,"MAT"))</f>
        <v>132.03</v>
      </c>
      <c r="O66" s="30" t="n">
        <f aca="false">IF($E66="","",SUMIFS('Rateio Anexo'!$K$6:$K$600,'Rateio Anexo'!$D$6:$D$600,$B66,'Rateio Anexo'!$B$6:$B$600,"MO"))</f>
        <v>93.920726155247</v>
      </c>
      <c r="P66" s="30" t="n">
        <f aca="false">IF($E66="","",IF($N$3=0,0,N66/$N$3*$R$4))</f>
        <v>0.472412562617564</v>
      </c>
      <c r="Q66" s="30" t="n">
        <f aca="false">IF($E66="","",IF($O$3=0,0,O66/$O$3*$T$4))</f>
        <v>19.4812264464143</v>
      </c>
      <c r="R66" s="30" t="n">
        <f aca="false">IF($E66="","",N66+O66+P66+Q66)</f>
        <v>245.904365164279</v>
      </c>
      <c r="S66" s="30" t="n">
        <f aca="false">IF($E66="","",(N66+P66)*Precificação!$B$19)</f>
        <v>252.633146923451</v>
      </c>
      <c r="T66" s="30" t="n">
        <f aca="false">IF($E66="","",(O66+Q66)*Precificação!$B$20)</f>
        <v>181.504873812789</v>
      </c>
      <c r="U66" s="68" t="n">
        <f aca="false">IF($E66="","",IF($E66=INT($E66),0.01,IF($E66*2=INT($E66*2),0.02,0.05)))</f>
        <v>0.01</v>
      </c>
      <c r="V66" s="30" t="n">
        <f aca="false">IF($E66="","",ROUND(S66/$E66/U66,0)*U66)</f>
        <v>8.15</v>
      </c>
      <c r="W66" s="30" t="n">
        <f aca="false">IF($E66="","",ROUND(T66/$E66/U66,0)*U66)</f>
        <v>5.85</v>
      </c>
      <c r="X66" s="14" t="n">
        <f aca="false">IF(NOT(ISNUMBER(E66)),"",IF(NOT(ISNUMBER(E67)),ROW(),X67))</f>
        <v>70</v>
      </c>
    </row>
    <row r="67" customFormat="false" ht="15" hidden="false" customHeight="false" outlineLevel="0" collapsed="false">
      <c r="A67" s="64" t="n">
        <v>58</v>
      </c>
      <c r="B67" s="64" t="s">
        <v>496</v>
      </c>
      <c r="C67" s="16" t="s">
        <v>602</v>
      </c>
      <c r="D67" s="64" t="s">
        <v>603</v>
      </c>
      <c r="E67" s="64" t="n">
        <v>18</v>
      </c>
      <c r="F67" s="66" t="n">
        <f aca="false">IF($E67="","",V67)</f>
        <v>0</v>
      </c>
      <c r="G67" s="66" t="n">
        <f aca="false">IF($E67="","",ROUND(W67+IF($B67=Precificação!$B$26,$F$3/$E67,0),2))</f>
        <v>40.79</v>
      </c>
      <c r="H67" s="30" t="n">
        <f aca="false">IF($E67="","",F67+G67)</f>
        <v>40.79</v>
      </c>
      <c r="I67" s="30" t="n">
        <f aca="false">IF($E67="","",$E67*F67)</f>
        <v>0</v>
      </c>
      <c r="J67" s="30" t="n">
        <f aca="false">IF($E67="","",$E67*G67)</f>
        <v>734.22</v>
      </c>
      <c r="K67" s="30" t="n">
        <f aca="false">IF($E67="","",I67+J67)</f>
        <v>734.22</v>
      </c>
      <c r="L67" s="53" t="str">
        <f aca="false">IF($E67="","",IF(R67=0,"SEM CUSTO — falta linha de custo","OK"))</f>
        <v>OK</v>
      </c>
      <c r="M67" s="67" t="str">
        <f aca="false">IF(AND(ISNUMBER(E67),NOT(ISNUMBER(E66))),"F"&amp;ROW()&amp;":G"&amp;X67,"")</f>
        <v/>
      </c>
      <c r="N67" s="30" t="n">
        <f aca="false">IF($E67="","",SUMIFS('Rateio Anexo'!$K$6:$K$600,'Rateio Anexo'!$D$6:$D$600,$B67,'Rateio Anexo'!$B$6:$B$600,"MAT"))</f>
        <v>0</v>
      </c>
      <c r="O67" s="30" t="n">
        <f aca="false">IF($E67="","",SUMIFS('Rateio Anexo'!$K$6:$K$600,'Rateio Anexo'!$D$6:$D$600,$B67,'Rateio Anexo'!$B$6:$B$600,"MO"))</f>
        <v>379.908376963351</v>
      </c>
      <c r="P67" s="30" t="n">
        <f aca="false">IF($E67="","",IF($N$3=0,0,N67/$N$3*$R$4))</f>
        <v>0</v>
      </c>
      <c r="Q67" s="30" t="n">
        <f aca="false">IF($E67="","",IF($O$3=0,0,O67/$O$3*$T$4))</f>
        <v>78.8013617812013</v>
      </c>
      <c r="R67" s="30" t="n">
        <f aca="false">IF($E67="","",N67+O67+P67+Q67)</f>
        <v>458.709738744552</v>
      </c>
      <c r="S67" s="30" t="n">
        <f aca="false">IF($E67="","",(N67+P67)*Precificação!$B$19)</f>
        <v>0</v>
      </c>
      <c r="T67" s="30" t="n">
        <f aca="false">IF($E67="","",(O67+Q67)*Precificação!$B$20)</f>
        <v>734.185358694675</v>
      </c>
      <c r="U67" s="68" t="n">
        <f aca="false">IF($E67="","",IF($E67=INT($E67),0.01,IF($E67*2=INT($E67*2),0.02,0.05)))</f>
        <v>0.01</v>
      </c>
      <c r="V67" s="30" t="n">
        <f aca="false">IF($E67="","",ROUND(S67/$E67/U67,0)*U67)</f>
        <v>0</v>
      </c>
      <c r="W67" s="30" t="n">
        <f aca="false">IF($E67="","",ROUND(T67/$E67/U67,0)*U67)</f>
        <v>40.79</v>
      </c>
      <c r="X67" s="14" t="n">
        <f aca="false">IF(NOT(ISNUMBER(E67)),"",IF(NOT(ISNUMBER(E68)),ROW(),X68))</f>
        <v>70</v>
      </c>
    </row>
    <row r="68" customFormat="false" ht="15" hidden="false" customHeight="false" outlineLevel="0" collapsed="false">
      <c r="A68" s="64" t="n">
        <v>59</v>
      </c>
      <c r="B68" s="64" t="s">
        <v>441</v>
      </c>
      <c r="C68" s="16" t="s">
        <v>604</v>
      </c>
      <c r="D68" s="64" t="s">
        <v>603</v>
      </c>
      <c r="E68" s="64" t="n">
        <v>1</v>
      </c>
      <c r="F68" s="66" t="n">
        <f aca="false">IF($E68="","",V68)</f>
        <v>5376.8</v>
      </c>
      <c r="G68" s="66" t="n">
        <f aca="false">IF($E68="","",ROUND(W68+IF($B68=Precificação!$B$26,$F$3/$E68,0),2))</f>
        <v>3862.98</v>
      </c>
      <c r="H68" s="30" t="n">
        <f aca="false">IF($E68="","",F68+G68)</f>
        <v>9239.78</v>
      </c>
      <c r="I68" s="30" t="n">
        <f aca="false">IF($E68="","",$E68*F68)</f>
        <v>5376.8</v>
      </c>
      <c r="J68" s="30" t="n">
        <f aca="false">IF($E68="","",$E68*G68)</f>
        <v>3862.98</v>
      </c>
      <c r="K68" s="30" t="n">
        <f aca="false">IF($E68="","",I68+J68)</f>
        <v>9239.78</v>
      </c>
      <c r="L68" s="53" t="str">
        <f aca="false">IF($E68="","",IF(R68=0,"SEM CUSTO — falta linha de custo","OK"))</f>
        <v>OK</v>
      </c>
      <c r="M68" s="67" t="str">
        <f aca="false">IF(AND(ISNUMBER(E68),NOT(ISNUMBER(E67))),"F"&amp;ROW()&amp;":G"&amp;X68,"")</f>
        <v/>
      </c>
      <c r="N68" s="30" t="n">
        <f aca="false">IF($E68="","",SUMIFS('Rateio Anexo'!$K$6:$K$600,'Rateio Anexo'!$D$6:$D$600,$B68,'Rateio Anexo'!$B$6:$B$600,"MAT"))</f>
        <v>2810</v>
      </c>
      <c r="O68" s="30" t="n">
        <f aca="false">IF($E68="","",SUMIFS('Rateio Anexo'!$K$6:$K$600,'Rateio Anexo'!$D$6:$D$600,$B68,'Rateio Anexo'!$B$6:$B$600,"MO"))</f>
        <v>1998.9187343501</v>
      </c>
      <c r="P68" s="30" t="n">
        <f aca="false">IF($E68="","",IF($N$3=0,0,N68/$N$3*$R$4))</f>
        <v>10.0543762853545</v>
      </c>
      <c r="Q68" s="30" t="n">
        <f aca="false">IF($E68="","",IF($O$3=0,0,O68/$O$3*$T$4))</f>
        <v>414.619755467879</v>
      </c>
      <c r="R68" s="30" t="n">
        <f aca="false">IF($E68="","",N68+O68+P68+Q68)</f>
        <v>5233.59286610334</v>
      </c>
      <c r="S68" s="30" t="n">
        <f aca="false">IF($E68="","",(N68+P68)*Precificação!$B$19)</f>
        <v>5376.80180909563</v>
      </c>
      <c r="T68" s="30" t="n">
        <f aca="false">IF($E68="","",(O68+Q68)*Precificação!$B$20)</f>
        <v>3862.9758040895</v>
      </c>
      <c r="U68" s="68" t="n">
        <f aca="false">IF($E68="","",IF($E68=INT($E68),0.01,IF($E68*2=INT($E68*2),0.02,0.05)))</f>
        <v>0.01</v>
      </c>
      <c r="V68" s="30" t="n">
        <f aca="false">IF($E68="","",ROUND(S68/$E68/U68,0)*U68)</f>
        <v>5376.8</v>
      </c>
      <c r="W68" s="30" t="n">
        <f aca="false">IF($E68="","",ROUND(T68/$E68/U68,0)*U68)</f>
        <v>3862.98</v>
      </c>
      <c r="X68" s="14" t="n">
        <f aca="false">IF(NOT(ISNUMBER(E68)),"",IF(NOT(ISNUMBER(E69)),ROW(),X69))</f>
        <v>70</v>
      </c>
    </row>
    <row r="69" customFormat="false" ht="15" hidden="false" customHeight="false" outlineLevel="0" collapsed="false">
      <c r="A69" s="64" t="n">
        <v>60</v>
      </c>
      <c r="B69" s="64" t="s">
        <v>455</v>
      </c>
      <c r="C69" s="16" t="s">
        <v>605</v>
      </c>
      <c r="D69" s="64" t="s">
        <v>142</v>
      </c>
      <c r="E69" s="64" t="n">
        <v>6</v>
      </c>
      <c r="F69" s="66" t="n">
        <f aca="false">IF($E69="","",V69)</f>
        <v>334.85</v>
      </c>
      <c r="G69" s="66" t="n">
        <f aca="false">IF($E69="","",ROUND(W69+IF($B69=Precificação!$B$26,$F$3/$E69,0),2))</f>
        <v>240.58</v>
      </c>
      <c r="H69" s="30" t="n">
        <f aca="false">IF($E69="","",F69+G69)</f>
        <v>575.43</v>
      </c>
      <c r="I69" s="30" t="n">
        <f aca="false">IF($E69="","",$E69*F69)</f>
        <v>2009.1</v>
      </c>
      <c r="J69" s="30" t="n">
        <f aca="false">IF($E69="","",$E69*G69)</f>
        <v>1443.48</v>
      </c>
      <c r="K69" s="30" t="n">
        <f aca="false">IF($E69="","",I69+J69)</f>
        <v>3452.58</v>
      </c>
      <c r="L69" s="53" t="str">
        <f aca="false">IF($E69="","",IF(R69=0,"SEM CUSTO — falta linha de custo","OK"))</f>
        <v>OK</v>
      </c>
      <c r="M69" s="67" t="str">
        <f aca="false">IF(AND(ISNUMBER(E69),NOT(ISNUMBER(E68))),"F"&amp;ROW()&amp;":G"&amp;X69,"")</f>
        <v/>
      </c>
      <c r="N69" s="30" t="n">
        <f aca="false">IF($E69="","",SUMIFS('Rateio Anexo'!$K$6:$K$600,'Rateio Anexo'!$D$6:$D$600,$B69,'Rateio Anexo'!$B$6:$B$600,"MAT"))</f>
        <v>1050</v>
      </c>
      <c r="O69" s="30" t="n">
        <f aca="false">IF($E69="","",SUMIFS('Rateio Anexo'!$K$6:$K$600,'Rateio Anexo'!$D$6:$D$600,$B69,'Rateio Anexo'!$B$6:$B$600,"MO"))</f>
        <v>746.926929205554</v>
      </c>
      <c r="P69" s="30" t="n">
        <f aca="false">IF($E69="","",IF($N$3=0,0,N69/$N$3*$R$4))</f>
        <v>3.75697334506129</v>
      </c>
      <c r="Q69" s="30" t="n">
        <f aca="false">IF($E69="","",IF($O$3=0,0,O69/$O$3*$T$4))</f>
        <v>154.92909012145</v>
      </c>
      <c r="R69" s="30" t="n">
        <f aca="false">IF($E69="","",N69+O69+P69+Q69)</f>
        <v>1955.61299267207</v>
      </c>
      <c r="S69" s="30" t="n">
        <f aca="false">IF($E69="","",(N69+P69)*Precificação!$B$19)</f>
        <v>2009.12523115673</v>
      </c>
      <c r="T69" s="30" t="n">
        <f aca="false">IF($E69="","",(O69+Q69)*Precificação!$B$20)</f>
        <v>1443.46070971316</v>
      </c>
      <c r="U69" s="68" t="n">
        <f aca="false">IF($E69="","",IF($E69=INT($E69),0.01,IF($E69*2=INT($E69*2),0.02,0.05)))</f>
        <v>0.01</v>
      </c>
      <c r="V69" s="30" t="n">
        <f aca="false">IF($E69="","",ROUND(S69/$E69/U69,0)*U69)</f>
        <v>334.85</v>
      </c>
      <c r="W69" s="30" t="n">
        <f aca="false">IF($E69="","",ROUND(T69/$E69/U69,0)*U69)</f>
        <v>240.58</v>
      </c>
      <c r="X69" s="14" t="n">
        <f aca="false">IF(NOT(ISNUMBER(E69)),"",IF(NOT(ISNUMBER(E70)),ROW(),X70))</f>
        <v>70</v>
      </c>
    </row>
    <row r="70" customFormat="false" ht="15" hidden="false" customHeight="false" outlineLevel="0" collapsed="false">
      <c r="A70" s="64" t="n">
        <v>61</v>
      </c>
      <c r="B70" s="64" t="s">
        <v>453</v>
      </c>
      <c r="C70" s="16" t="s">
        <v>606</v>
      </c>
      <c r="D70" s="64" t="s">
        <v>142</v>
      </c>
      <c r="E70" s="64" t="n">
        <v>9</v>
      </c>
      <c r="F70" s="66" t="n">
        <f aca="false">IF($E70="","",V70)</f>
        <v>94.21</v>
      </c>
      <c r="G70" s="66" t="n">
        <f aca="false">IF($E70="","",ROUND(W70+IF($B70=Precificação!$B$26,$F$3/$E70,0),2))</f>
        <v>67.68</v>
      </c>
      <c r="H70" s="30" t="n">
        <f aca="false">IF($E70="","",F70+G70)</f>
        <v>161.89</v>
      </c>
      <c r="I70" s="30" t="n">
        <f aca="false">IF($E70="","",$E70*F70)</f>
        <v>847.89</v>
      </c>
      <c r="J70" s="30" t="n">
        <f aca="false">IF($E70="","",$E70*G70)</f>
        <v>609.12</v>
      </c>
      <c r="K70" s="30" t="n">
        <f aca="false">IF($E70="","",I70+J70)</f>
        <v>1457.01</v>
      </c>
      <c r="L70" s="53" t="str">
        <f aca="false">IF($E70="","",IF(R70=0,"SEM CUSTO — falta linha de custo","OK"))</f>
        <v>OK</v>
      </c>
      <c r="M70" s="67" t="str">
        <f aca="false">IF(AND(ISNUMBER(E70),NOT(ISNUMBER(E69))),"F"&amp;ROW()&amp;":G"&amp;X70,"")</f>
        <v/>
      </c>
      <c r="N70" s="30" t="n">
        <f aca="false">IF($E70="","",SUMIFS('Rateio Anexo'!$K$6:$K$600,'Rateio Anexo'!$D$6:$D$600,$B70,'Rateio Anexo'!$B$6:$B$600,"MAT"))</f>
        <v>443.1</v>
      </c>
      <c r="O70" s="30" t="n">
        <f aca="false">IF($E70="","",SUMIFS('Rateio Anexo'!$K$6:$K$600,'Rateio Anexo'!$D$6:$D$600,$B70,'Rateio Anexo'!$B$6:$B$600,"MO"))</f>
        <v>315.203164124744</v>
      </c>
      <c r="P70" s="30" t="n">
        <f aca="false">IF($E70="","",IF($N$3=0,0,N70/$N$3*$R$4))</f>
        <v>1.58544275161587</v>
      </c>
      <c r="Q70" s="30" t="n">
        <f aca="false">IF($E70="","",IF($O$3=0,0,O70/$O$3*$T$4))</f>
        <v>65.3800760312518</v>
      </c>
      <c r="R70" s="30" t="n">
        <f aca="false">IF($E70="","",N70+O70+P70+Q70)</f>
        <v>825.268682907612</v>
      </c>
      <c r="S70" s="30" t="n">
        <f aca="false">IF($E70="","",(N70+P70)*Precificação!$B$19)</f>
        <v>847.850847548141</v>
      </c>
      <c r="T70" s="30" t="n">
        <f aca="false">IF($E70="","",(O70+Q70)*Precificação!$B$20)</f>
        <v>609.140419498952</v>
      </c>
      <c r="U70" s="68" t="n">
        <f aca="false">IF($E70="","",IF($E70=INT($E70),0.01,IF($E70*2=INT($E70*2),0.02,0.05)))</f>
        <v>0.01</v>
      </c>
      <c r="V70" s="30" t="n">
        <f aca="false">IF($E70="","",ROUND(S70/$E70/U70,0)*U70)</f>
        <v>94.21</v>
      </c>
      <c r="W70" s="30" t="n">
        <f aca="false">IF($E70="","",ROUND(T70/$E70/U70,0)*U70)</f>
        <v>67.68</v>
      </c>
      <c r="X70" s="14" t="n">
        <f aca="false">IF(NOT(ISNUMBER(E70)),"",IF(NOT(ISNUMBER(E71)),ROW(),X71))</f>
        <v>70</v>
      </c>
    </row>
    <row r="71" customFormat="false" ht="15" hidden="false" customHeight="false" outlineLevel="0" collapsed="false">
      <c r="A71" s="64"/>
      <c r="B71" s="65" t="s">
        <v>607</v>
      </c>
      <c r="C71" s="18" t="s">
        <v>608</v>
      </c>
      <c r="D71" s="64"/>
      <c r="E71" s="64"/>
      <c r="F71" s="66" t="str">
        <f aca="false">IF($E71="","",V71)</f>
        <v/>
      </c>
      <c r="G71" s="66" t="str">
        <f aca="false">IF($E71="","",ROUND(W71+IF($B71=Precificação!$B$26,$F$3/$E71,0),2))</f>
        <v/>
      </c>
      <c r="H71" s="30" t="str">
        <f aca="false">IF($E71="","",F71+G71)</f>
        <v/>
      </c>
      <c r="I71" s="30" t="str">
        <f aca="false">IF($E71="","",$E71*F71)</f>
        <v/>
      </c>
      <c r="J71" s="30" t="str">
        <f aca="false">IF($E71="","",$E71*G71)</f>
        <v/>
      </c>
      <c r="K71" s="30" t="str">
        <f aca="false">IF($E71="","",I71+J71)</f>
        <v/>
      </c>
      <c r="L71" s="53" t="str">
        <f aca="false">IF($E71="","",IF(R71=0,"SEM CUSTO — falta linha de custo","OK"))</f>
        <v/>
      </c>
      <c r="M71" s="67" t="str">
        <f aca="false">IF(AND(ISNUMBER(E71),NOT(ISNUMBER(E70))),"F"&amp;ROW()&amp;":G"&amp;X71,"")</f>
        <v/>
      </c>
      <c r="N71" s="30" t="str">
        <f aca="false">IF($E71="","",SUMIFS('Rateio Anexo'!$K$6:$K$600,'Rateio Anexo'!$D$6:$D$600,$B71,'Rateio Anexo'!$B$6:$B$600,"MAT"))</f>
        <v/>
      </c>
      <c r="O71" s="30" t="str">
        <f aca="false">IF($E71="","",SUMIFS('Rateio Anexo'!$K$6:$K$600,'Rateio Anexo'!$D$6:$D$600,$B71,'Rateio Anexo'!$B$6:$B$600,"MO"))</f>
        <v/>
      </c>
      <c r="P71" s="30" t="str">
        <f aca="false">IF($E71="","",IF($N$3=0,0,N71/$N$3*$R$4))</f>
        <v/>
      </c>
      <c r="Q71" s="30" t="str">
        <f aca="false">IF($E71="","",IF($O$3=0,0,O71/$O$3*$T$4))</f>
        <v/>
      </c>
      <c r="R71" s="30" t="str">
        <f aca="false">IF($E71="","",N71+O71+P71+Q71)</f>
        <v/>
      </c>
      <c r="S71" s="30" t="str">
        <f aca="false">IF($E71="","",(N71+P71)*Precificação!$B$19)</f>
        <v/>
      </c>
      <c r="T71" s="30" t="str">
        <f aca="false">IF($E71="","",(O71+Q71)*Precificação!$B$20)</f>
        <v/>
      </c>
      <c r="U71" s="68" t="str">
        <f aca="false">IF($E71="","",IF($E71=INT($E71),0.01,IF($E71*2=INT($E71*2),0.02,0.05)))</f>
        <v/>
      </c>
      <c r="V71" s="30" t="str">
        <f aca="false">IF($E71="","",ROUND(S71/$E71/U71,0)*U71)</f>
        <v/>
      </c>
      <c r="W71" s="30" t="str">
        <f aca="false">IF($E71="","",ROUND(T71/$E71/U71,0)*U71)</f>
        <v/>
      </c>
      <c r="X71" s="14" t="str">
        <f aca="false">IF(NOT(ISNUMBER(E71)),"",IF(NOT(ISNUMBER(E72)),ROW(),X72))</f>
        <v/>
      </c>
    </row>
    <row r="72" customFormat="false" ht="15" hidden="false" customHeight="false" outlineLevel="0" collapsed="false">
      <c r="A72" s="65" t="n">
        <v>62</v>
      </c>
      <c r="B72" s="65" t="s">
        <v>609</v>
      </c>
      <c r="C72" s="18" t="s">
        <v>610</v>
      </c>
      <c r="D72" s="64"/>
      <c r="E72" s="64"/>
      <c r="F72" s="66" t="str">
        <f aca="false">IF($E72="","",V72)</f>
        <v/>
      </c>
      <c r="G72" s="66" t="str">
        <f aca="false">IF($E72="","",ROUND(W72+IF($B72=Precificação!$B$26,$F$3/$E72,0),2))</f>
        <v/>
      </c>
      <c r="H72" s="30" t="str">
        <f aca="false">IF($E72="","",F72+G72)</f>
        <v/>
      </c>
      <c r="I72" s="30" t="str">
        <f aca="false">IF($E72="","",$E72*F72)</f>
        <v/>
      </c>
      <c r="J72" s="30" t="str">
        <f aca="false">IF($E72="","",$E72*G72)</f>
        <v/>
      </c>
      <c r="K72" s="30" t="str">
        <f aca="false">IF($E72="","",I72+J72)</f>
        <v/>
      </c>
      <c r="L72" s="53" t="str">
        <f aca="false">IF($E72="","",IF(R72=0,"SEM CUSTO — falta linha de custo","OK"))</f>
        <v/>
      </c>
      <c r="M72" s="67" t="str">
        <f aca="false">IF(AND(ISNUMBER(E72),NOT(ISNUMBER(E71))),"F"&amp;ROW()&amp;":G"&amp;X72,"")</f>
        <v/>
      </c>
      <c r="N72" s="30" t="str">
        <f aca="false">IF($E72="","",SUMIFS('Rateio Anexo'!$K$6:$K$600,'Rateio Anexo'!$D$6:$D$600,$B72,'Rateio Anexo'!$B$6:$B$600,"MAT"))</f>
        <v/>
      </c>
      <c r="O72" s="30" t="str">
        <f aca="false">IF($E72="","",SUMIFS('Rateio Anexo'!$K$6:$K$600,'Rateio Anexo'!$D$6:$D$600,$B72,'Rateio Anexo'!$B$6:$B$600,"MO"))</f>
        <v/>
      </c>
      <c r="P72" s="30" t="str">
        <f aca="false">IF($E72="","",IF($N$3=0,0,N72/$N$3*$R$4))</f>
        <v/>
      </c>
      <c r="Q72" s="30" t="str">
        <f aca="false">IF($E72="","",IF($O$3=0,0,O72/$O$3*$T$4))</f>
        <v/>
      </c>
      <c r="R72" s="30" t="str">
        <f aca="false">IF($E72="","",N72+O72+P72+Q72)</f>
        <v/>
      </c>
      <c r="S72" s="30" t="str">
        <f aca="false">IF($E72="","",(N72+P72)*Precificação!$B$19)</f>
        <v/>
      </c>
      <c r="T72" s="30" t="str">
        <f aca="false">IF($E72="","",(O72+Q72)*Precificação!$B$20)</f>
        <v/>
      </c>
      <c r="U72" s="68" t="str">
        <f aca="false">IF($E72="","",IF($E72=INT($E72),0.01,IF($E72*2=INT($E72*2),0.02,0.05)))</f>
        <v/>
      </c>
      <c r="V72" s="30" t="str">
        <f aca="false">IF($E72="","",ROUND(S72/$E72/U72,0)*U72)</f>
        <v/>
      </c>
      <c r="W72" s="30" t="str">
        <f aca="false">IF($E72="","",ROUND(T72/$E72/U72,0)*U72)</f>
        <v/>
      </c>
      <c r="X72" s="14" t="str">
        <f aca="false">IF(NOT(ISNUMBER(E72)),"",IF(NOT(ISNUMBER(E73)),ROW(),X73))</f>
        <v/>
      </c>
    </row>
    <row r="73" customFormat="false" ht="15" hidden="false" customHeight="false" outlineLevel="0" collapsed="false">
      <c r="A73" s="64" t="n">
        <v>63</v>
      </c>
      <c r="B73" s="64" t="s">
        <v>472</v>
      </c>
      <c r="C73" s="16" t="s">
        <v>611</v>
      </c>
      <c r="D73" s="64" t="s">
        <v>603</v>
      </c>
      <c r="E73" s="64" t="n">
        <v>3</v>
      </c>
      <c r="F73" s="66" t="n">
        <f aca="false">IF($E73="","",V73)</f>
        <v>43.05</v>
      </c>
      <c r="G73" s="66" t="n">
        <f aca="false">IF($E73="","",ROUND(W73+IF($B73=Precificação!$B$26,$F$3/$E73,0),2))</f>
        <v>0</v>
      </c>
      <c r="H73" s="30" t="n">
        <f aca="false">IF($E73="","",F73+G73)</f>
        <v>43.05</v>
      </c>
      <c r="I73" s="30" t="n">
        <f aca="false">IF($E73="","",$E73*F73)</f>
        <v>129.15</v>
      </c>
      <c r="J73" s="30" t="n">
        <f aca="false">IF($E73="","",$E73*G73)</f>
        <v>0</v>
      </c>
      <c r="K73" s="30" t="n">
        <f aca="false">IF($E73="","",I73+J73)</f>
        <v>129.15</v>
      </c>
      <c r="L73" s="53" t="str">
        <f aca="false">IF($E73="","",IF(R73=0,"SEM CUSTO — falta linha de custo","OK"))</f>
        <v>OK</v>
      </c>
      <c r="M73" s="67" t="str">
        <f aca="false">IF(AND(ISNUMBER(E73),NOT(ISNUMBER(E72))),"F"&amp;ROW()&amp;":G"&amp;X73,"")</f>
        <v>F73:G76</v>
      </c>
      <c r="N73" s="30" t="n">
        <f aca="false">IF($E73="","",SUMIFS('Rateio Anexo'!$K$6:$K$600,'Rateio Anexo'!$D$6:$D$600,$B73,'Rateio Anexo'!$B$6:$B$600,"MAT"))</f>
        <v>67.5</v>
      </c>
      <c r="O73" s="30" t="n">
        <f aca="false">IF($E73="","",SUMIFS('Rateio Anexo'!$K$6:$K$600,'Rateio Anexo'!$D$6:$D$600,$B73,'Rateio Anexo'!$B$6:$B$600,"MO"))</f>
        <v>0</v>
      </c>
      <c r="P73" s="30" t="n">
        <f aca="false">IF($E73="","",IF($N$3=0,0,N73/$N$3*$R$4))</f>
        <v>0.241519715039655</v>
      </c>
      <c r="Q73" s="30" t="n">
        <f aca="false">IF($E73="","",IF($O$3=0,0,O73/$O$3*$T$4))</f>
        <v>0</v>
      </c>
      <c r="R73" s="30" t="n">
        <f aca="false">IF($E73="","",N73+O73+P73+Q73)</f>
        <v>67.7415197150397</v>
      </c>
      <c r="S73" s="30" t="n">
        <f aca="false">IF($E73="","",(N73+P73)*Precificação!$B$19)</f>
        <v>129.158050574361</v>
      </c>
      <c r="T73" s="30" t="n">
        <f aca="false">IF($E73="","",(O73+Q73)*Precificação!$B$20)</f>
        <v>0</v>
      </c>
      <c r="U73" s="68" t="n">
        <f aca="false">IF($E73="","",IF($E73=INT($E73),0.01,IF($E73*2=INT($E73*2),0.02,0.05)))</f>
        <v>0.01</v>
      </c>
      <c r="V73" s="30" t="n">
        <f aca="false">IF($E73="","",ROUND(S73/$E73/U73,0)*U73)</f>
        <v>43.05</v>
      </c>
      <c r="W73" s="30" t="n">
        <f aca="false">IF($E73="","",ROUND(T73/$E73/U73,0)*U73)</f>
        <v>0</v>
      </c>
      <c r="X73" s="14" t="n">
        <f aca="false">IF(NOT(ISNUMBER(E73)),"",IF(NOT(ISNUMBER(E74)),ROW(),X74))</f>
        <v>76</v>
      </c>
    </row>
    <row r="74" customFormat="false" ht="15" hidden="false" customHeight="false" outlineLevel="0" collapsed="false">
      <c r="A74" s="64" t="n">
        <v>64</v>
      </c>
      <c r="B74" s="64" t="s">
        <v>474</v>
      </c>
      <c r="C74" s="16" t="s">
        <v>612</v>
      </c>
      <c r="D74" s="64" t="s">
        <v>603</v>
      </c>
      <c r="E74" s="64" t="n">
        <v>4</v>
      </c>
      <c r="F74" s="66" t="n">
        <f aca="false">IF($E74="","",V74)</f>
        <v>43.05</v>
      </c>
      <c r="G74" s="66" t="n">
        <f aca="false">IF($E74="","",ROUND(W74+IF($B74=Precificação!$B$26,$F$3/$E74,0),2))</f>
        <v>0</v>
      </c>
      <c r="H74" s="30" t="n">
        <f aca="false">IF($E74="","",F74+G74)</f>
        <v>43.05</v>
      </c>
      <c r="I74" s="30" t="n">
        <f aca="false">IF($E74="","",$E74*F74)</f>
        <v>172.2</v>
      </c>
      <c r="J74" s="30" t="n">
        <f aca="false">IF($E74="","",$E74*G74)</f>
        <v>0</v>
      </c>
      <c r="K74" s="30" t="n">
        <f aca="false">IF($E74="","",I74+J74)</f>
        <v>172.2</v>
      </c>
      <c r="L74" s="53" t="str">
        <f aca="false">IF($E74="","",IF(R74=0,"SEM CUSTO — falta linha de custo","OK"))</f>
        <v>OK</v>
      </c>
      <c r="M74" s="67" t="str">
        <f aca="false">IF(AND(ISNUMBER(E74),NOT(ISNUMBER(E73))),"F"&amp;ROW()&amp;":G"&amp;X74,"")</f>
        <v/>
      </c>
      <c r="N74" s="30" t="n">
        <f aca="false">IF($E74="","",SUMIFS('Rateio Anexo'!$K$6:$K$600,'Rateio Anexo'!$D$6:$D$600,$B74,'Rateio Anexo'!$B$6:$B$600,"MAT"))</f>
        <v>90</v>
      </c>
      <c r="O74" s="30" t="n">
        <f aca="false">IF($E74="","",SUMIFS('Rateio Anexo'!$K$6:$K$600,'Rateio Anexo'!$D$6:$D$600,$B74,'Rateio Anexo'!$B$6:$B$600,"MO"))</f>
        <v>0</v>
      </c>
      <c r="P74" s="30" t="n">
        <f aca="false">IF($E74="","",IF($N$3=0,0,N74/$N$3*$R$4))</f>
        <v>0.322026286719539</v>
      </c>
      <c r="Q74" s="30" t="n">
        <f aca="false">IF($E74="","",IF($O$3=0,0,O74/$O$3*$T$4))</f>
        <v>0</v>
      </c>
      <c r="R74" s="30" t="n">
        <f aca="false">IF($E74="","",N74+O74+P74+Q74)</f>
        <v>90.3220262867195</v>
      </c>
      <c r="S74" s="30" t="n">
        <f aca="false">IF($E74="","",(N74+P74)*Precificação!$B$19)</f>
        <v>172.210734099148</v>
      </c>
      <c r="T74" s="30" t="n">
        <f aca="false">IF($E74="","",(O74+Q74)*Precificação!$B$20)</f>
        <v>0</v>
      </c>
      <c r="U74" s="68" t="n">
        <f aca="false">IF($E74="","",IF($E74=INT($E74),0.01,IF($E74*2=INT($E74*2),0.02,0.05)))</f>
        <v>0.01</v>
      </c>
      <c r="V74" s="30" t="n">
        <f aca="false">IF($E74="","",ROUND(S74/$E74/U74,0)*U74)</f>
        <v>43.05</v>
      </c>
      <c r="W74" s="30" t="n">
        <f aca="false">IF($E74="","",ROUND(T74/$E74/U74,0)*U74)</f>
        <v>0</v>
      </c>
      <c r="X74" s="14" t="n">
        <f aca="false">IF(NOT(ISNUMBER(E74)),"",IF(NOT(ISNUMBER(E75)),ROW(),X75))</f>
        <v>76</v>
      </c>
    </row>
    <row r="75" customFormat="false" ht="15" hidden="false" customHeight="false" outlineLevel="0" collapsed="false">
      <c r="A75" s="64" t="n">
        <v>65</v>
      </c>
      <c r="B75" s="64" t="s">
        <v>475</v>
      </c>
      <c r="C75" s="16" t="s">
        <v>613</v>
      </c>
      <c r="D75" s="64" t="s">
        <v>603</v>
      </c>
      <c r="E75" s="64" t="n">
        <v>6</v>
      </c>
      <c r="F75" s="66" t="n">
        <f aca="false">IF($E75="","",V75)</f>
        <v>43.05</v>
      </c>
      <c r="G75" s="66" t="n">
        <f aca="false">IF($E75="","",ROUND(W75+IF($B75=Precificação!$B$26,$F$3/$E75,0),2))</f>
        <v>0</v>
      </c>
      <c r="H75" s="30" t="n">
        <f aca="false">IF($E75="","",F75+G75)</f>
        <v>43.05</v>
      </c>
      <c r="I75" s="30" t="n">
        <f aca="false">IF($E75="","",$E75*F75)</f>
        <v>258.3</v>
      </c>
      <c r="J75" s="30" t="n">
        <f aca="false">IF($E75="","",$E75*G75)</f>
        <v>0</v>
      </c>
      <c r="K75" s="30" t="n">
        <f aca="false">IF($E75="","",I75+J75)</f>
        <v>258.3</v>
      </c>
      <c r="L75" s="53" t="str">
        <f aca="false">IF($E75="","",IF(R75=0,"SEM CUSTO — falta linha de custo","OK"))</f>
        <v>OK</v>
      </c>
      <c r="M75" s="67" t="str">
        <f aca="false">IF(AND(ISNUMBER(E75),NOT(ISNUMBER(E74))),"F"&amp;ROW()&amp;":G"&amp;X75,"")</f>
        <v/>
      </c>
      <c r="N75" s="30" t="n">
        <f aca="false">IF($E75="","",SUMIFS('Rateio Anexo'!$K$6:$K$600,'Rateio Anexo'!$D$6:$D$600,$B75,'Rateio Anexo'!$B$6:$B$600,"MAT"))</f>
        <v>135</v>
      </c>
      <c r="O75" s="30" t="n">
        <f aca="false">IF($E75="","",SUMIFS('Rateio Anexo'!$K$6:$K$600,'Rateio Anexo'!$D$6:$D$600,$B75,'Rateio Anexo'!$B$6:$B$600,"MO"))</f>
        <v>0</v>
      </c>
      <c r="P75" s="30" t="n">
        <f aca="false">IF($E75="","",IF($N$3=0,0,N75/$N$3*$R$4))</f>
        <v>0.483039430079309</v>
      </c>
      <c r="Q75" s="30" t="n">
        <f aca="false">IF($E75="","",IF($O$3=0,0,O75/$O$3*$T$4))</f>
        <v>0</v>
      </c>
      <c r="R75" s="30" t="n">
        <f aca="false">IF($E75="","",N75+O75+P75+Q75)</f>
        <v>135.483039430079</v>
      </c>
      <c r="S75" s="30" t="n">
        <f aca="false">IF($E75="","",(N75+P75)*Precificação!$B$19)</f>
        <v>258.316101148723</v>
      </c>
      <c r="T75" s="30" t="n">
        <f aca="false">IF($E75="","",(O75+Q75)*Precificação!$B$20)</f>
        <v>0</v>
      </c>
      <c r="U75" s="68" t="n">
        <f aca="false">IF($E75="","",IF($E75=INT($E75),0.01,IF($E75*2=INT($E75*2),0.02,0.05)))</f>
        <v>0.01</v>
      </c>
      <c r="V75" s="30" t="n">
        <f aca="false">IF($E75="","",ROUND(S75/$E75/U75,0)*U75)</f>
        <v>43.05</v>
      </c>
      <c r="W75" s="30" t="n">
        <f aca="false">IF($E75="","",ROUND(T75/$E75/U75,0)*U75)</f>
        <v>0</v>
      </c>
      <c r="X75" s="14" t="n">
        <f aca="false">IF(NOT(ISNUMBER(E75)),"",IF(NOT(ISNUMBER(E76)),ROW(),X76))</f>
        <v>76</v>
      </c>
    </row>
    <row r="76" customFormat="false" ht="15" hidden="false" customHeight="false" outlineLevel="0" collapsed="false">
      <c r="A76" s="64" t="n">
        <v>66</v>
      </c>
      <c r="B76" s="64" t="s">
        <v>476</v>
      </c>
      <c r="C76" s="16" t="s">
        <v>614</v>
      </c>
      <c r="D76" s="64" t="s">
        <v>603</v>
      </c>
      <c r="E76" s="64" t="n">
        <v>7</v>
      </c>
      <c r="F76" s="66" t="n">
        <f aca="false">IF($E76="","",V76)</f>
        <v>43.05</v>
      </c>
      <c r="G76" s="66" t="n">
        <f aca="false">IF($E76="","",ROUND(W76+IF($B76=Precificação!$B$26,$F$3/$E76,0),2))</f>
        <v>0</v>
      </c>
      <c r="H76" s="30" t="n">
        <f aca="false">IF($E76="","",F76+G76)</f>
        <v>43.05</v>
      </c>
      <c r="I76" s="30" t="n">
        <f aca="false">IF($E76="","",$E76*F76)</f>
        <v>301.35</v>
      </c>
      <c r="J76" s="30" t="n">
        <f aca="false">IF($E76="","",$E76*G76)</f>
        <v>0</v>
      </c>
      <c r="K76" s="30" t="n">
        <f aca="false">IF($E76="","",I76+J76)</f>
        <v>301.35</v>
      </c>
      <c r="L76" s="53" t="str">
        <f aca="false">IF($E76="","",IF(R76=0,"SEM CUSTO — falta linha de custo","OK"))</f>
        <v>OK</v>
      </c>
      <c r="M76" s="67" t="str">
        <f aca="false">IF(AND(ISNUMBER(E76),NOT(ISNUMBER(E75))),"F"&amp;ROW()&amp;":G"&amp;X76,"")</f>
        <v/>
      </c>
      <c r="N76" s="30" t="n">
        <f aca="false">IF($E76="","",SUMIFS('Rateio Anexo'!$K$6:$K$600,'Rateio Anexo'!$D$6:$D$600,$B76,'Rateio Anexo'!$B$6:$B$600,"MAT"))</f>
        <v>157.5</v>
      </c>
      <c r="O76" s="30" t="n">
        <f aca="false">IF($E76="","",SUMIFS('Rateio Anexo'!$K$6:$K$600,'Rateio Anexo'!$D$6:$D$600,$B76,'Rateio Anexo'!$B$6:$B$600,"MO"))</f>
        <v>0</v>
      </c>
      <c r="P76" s="30" t="n">
        <f aca="false">IF($E76="","",IF($N$3=0,0,N76/$N$3*$R$4))</f>
        <v>0.563546001759194</v>
      </c>
      <c r="Q76" s="30" t="n">
        <f aca="false">IF($E76="","",IF($O$3=0,0,O76/$O$3*$T$4))</f>
        <v>0</v>
      </c>
      <c r="R76" s="30" t="n">
        <f aca="false">IF($E76="","",N76+O76+P76+Q76)</f>
        <v>158.063546001759</v>
      </c>
      <c r="S76" s="30" t="n">
        <f aca="false">IF($E76="","",(N76+P76)*Precificação!$B$19)</f>
        <v>301.36878467351</v>
      </c>
      <c r="T76" s="30" t="n">
        <f aca="false">IF($E76="","",(O76+Q76)*Precificação!$B$20)</f>
        <v>0</v>
      </c>
      <c r="U76" s="68" t="n">
        <f aca="false">IF($E76="","",IF($E76=INT($E76),0.01,IF($E76*2=INT($E76*2),0.02,0.05)))</f>
        <v>0.01</v>
      </c>
      <c r="V76" s="30" t="n">
        <f aca="false">IF($E76="","",ROUND(S76/$E76/U76,0)*U76)</f>
        <v>43.05</v>
      </c>
      <c r="W76" s="30" t="n">
        <f aca="false">IF($E76="","",ROUND(T76/$E76/U76,0)*U76)</f>
        <v>0</v>
      </c>
      <c r="X76" s="14" t="n">
        <f aca="false">IF(NOT(ISNUMBER(E76)),"",IF(NOT(ISNUMBER(E77)),ROW(),X77))</f>
        <v>76</v>
      </c>
    </row>
    <row r="77" customFormat="false" ht="15" hidden="false" customHeight="false" outlineLevel="0" collapsed="false">
      <c r="A77" s="65" t="n">
        <v>67</v>
      </c>
      <c r="B77" s="65" t="s">
        <v>615</v>
      </c>
      <c r="C77" s="18" t="s">
        <v>616</v>
      </c>
      <c r="D77" s="64"/>
      <c r="E77" s="64"/>
      <c r="F77" s="66" t="str">
        <f aca="false">IF($E77="","",V77)</f>
        <v/>
      </c>
      <c r="G77" s="66" t="str">
        <f aca="false">IF($E77="","",ROUND(W77+IF($B77=Precificação!$B$26,$F$3/$E77,0),2))</f>
        <v/>
      </c>
      <c r="H77" s="30" t="str">
        <f aca="false">IF($E77="","",F77+G77)</f>
        <v/>
      </c>
      <c r="I77" s="30" t="str">
        <f aca="false">IF($E77="","",$E77*F77)</f>
        <v/>
      </c>
      <c r="J77" s="30" t="str">
        <f aca="false">IF($E77="","",$E77*G77)</f>
        <v/>
      </c>
      <c r="K77" s="30" t="str">
        <f aca="false">IF($E77="","",I77+J77)</f>
        <v/>
      </c>
      <c r="L77" s="53" t="str">
        <f aca="false">IF($E77="","",IF(R77=0,"SEM CUSTO — falta linha de custo","OK"))</f>
        <v/>
      </c>
      <c r="M77" s="67" t="str">
        <f aca="false">IF(AND(ISNUMBER(E77),NOT(ISNUMBER(E76))),"F"&amp;ROW()&amp;":G"&amp;X77,"")</f>
        <v/>
      </c>
      <c r="N77" s="30" t="str">
        <f aca="false">IF($E77="","",SUMIFS('Rateio Anexo'!$K$6:$K$600,'Rateio Anexo'!$D$6:$D$600,$B77,'Rateio Anexo'!$B$6:$B$600,"MAT"))</f>
        <v/>
      </c>
      <c r="O77" s="30" t="str">
        <f aca="false">IF($E77="","",SUMIFS('Rateio Anexo'!$K$6:$K$600,'Rateio Anexo'!$D$6:$D$600,$B77,'Rateio Anexo'!$B$6:$B$600,"MO"))</f>
        <v/>
      </c>
      <c r="P77" s="30" t="str">
        <f aca="false">IF($E77="","",IF($N$3=0,0,N77/$N$3*$R$4))</f>
        <v/>
      </c>
      <c r="Q77" s="30" t="str">
        <f aca="false">IF($E77="","",IF($O$3=0,0,O77/$O$3*$T$4))</f>
        <v/>
      </c>
      <c r="R77" s="30" t="str">
        <f aca="false">IF($E77="","",N77+O77+P77+Q77)</f>
        <v/>
      </c>
      <c r="S77" s="30" t="str">
        <f aca="false">IF($E77="","",(N77+P77)*Precificação!$B$19)</f>
        <v/>
      </c>
      <c r="T77" s="30" t="str">
        <f aca="false">IF($E77="","",(O77+Q77)*Precificação!$B$20)</f>
        <v/>
      </c>
      <c r="U77" s="68" t="str">
        <f aca="false">IF($E77="","",IF($E77=INT($E77),0.01,IF($E77*2=INT($E77*2),0.02,0.05)))</f>
        <v/>
      </c>
      <c r="V77" s="30" t="str">
        <f aca="false">IF($E77="","",ROUND(S77/$E77/U77,0)*U77)</f>
        <v/>
      </c>
      <c r="W77" s="30" t="str">
        <f aca="false">IF($E77="","",ROUND(T77/$E77/U77,0)*U77)</f>
        <v/>
      </c>
      <c r="X77" s="14" t="str">
        <f aca="false">IF(NOT(ISNUMBER(E77)),"",IF(NOT(ISNUMBER(E78)),ROW(),X78))</f>
        <v/>
      </c>
    </row>
    <row r="78" customFormat="false" ht="15" hidden="false" customHeight="false" outlineLevel="0" collapsed="false">
      <c r="A78" s="64" t="n">
        <v>68</v>
      </c>
      <c r="B78" s="64" t="s">
        <v>467</v>
      </c>
      <c r="C78" s="16" t="s">
        <v>617</v>
      </c>
      <c r="D78" s="64" t="s">
        <v>603</v>
      </c>
      <c r="E78" s="64" t="n">
        <v>7</v>
      </c>
      <c r="F78" s="66" t="n">
        <f aca="false">IF($E78="","",V78)</f>
        <v>139.82</v>
      </c>
      <c r="G78" s="66" t="n">
        <f aca="false">IF($E78="","",ROUND(W78+IF($B78=Precificação!$B$26,$F$3/$E78,0),2))</f>
        <v>0</v>
      </c>
      <c r="H78" s="30" t="n">
        <f aca="false">IF($E78="","",F78+G78)</f>
        <v>139.82</v>
      </c>
      <c r="I78" s="30" t="n">
        <f aca="false">IF($E78="","",$E78*F78)</f>
        <v>978.74</v>
      </c>
      <c r="J78" s="30" t="n">
        <f aca="false">IF($E78="","",$E78*G78)</f>
        <v>0</v>
      </c>
      <c r="K78" s="30" t="n">
        <f aca="false">IF($E78="","",I78+J78)</f>
        <v>978.74</v>
      </c>
      <c r="L78" s="53" t="str">
        <f aca="false">IF($E78="","",IF(R78=0,"SEM CUSTO — falta linha de custo","OK"))</f>
        <v>OK</v>
      </c>
      <c r="M78" s="67" t="str">
        <f aca="false">IF(AND(ISNUMBER(E78),NOT(ISNUMBER(E77))),"F"&amp;ROW()&amp;":G"&amp;X78,"")</f>
        <v>F78:G79</v>
      </c>
      <c r="N78" s="30" t="n">
        <f aca="false">IF($E78="","",SUMIFS('Rateio Anexo'!$K$6:$K$600,'Rateio Anexo'!$D$6:$D$600,$B78,'Rateio Anexo'!$B$6:$B$600,"MAT"))</f>
        <v>511.498</v>
      </c>
      <c r="O78" s="30" t="n">
        <f aca="false">IF($E78="","",SUMIFS('Rateio Anexo'!$K$6:$K$600,'Rateio Anexo'!$D$6:$D$600,$B78,'Rateio Anexo'!$B$6:$B$600,"MO"))</f>
        <v>0</v>
      </c>
      <c r="P78" s="30" t="n">
        <f aca="false">IF($E78="","",IF($N$3=0,0,N78/$N$3*$R$4))</f>
        <v>1.83017557338301</v>
      </c>
      <c r="Q78" s="30" t="n">
        <f aca="false">IF($E78="","",IF($O$3=0,0,O78/$O$3*$T$4))</f>
        <v>0</v>
      </c>
      <c r="R78" s="30" t="n">
        <f aca="false">IF($E78="","",N78+O78+P78+Q78)</f>
        <v>513.328175573383</v>
      </c>
      <c r="S78" s="30" t="n">
        <f aca="false">IF($E78="","",(N78+P78)*Precificação!$B$19)</f>
        <v>978.727178558291</v>
      </c>
      <c r="T78" s="30" t="n">
        <f aca="false">IF($E78="","",(O78+Q78)*Precificação!$B$20)</f>
        <v>0</v>
      </c>
      <c r="U78" s="68" t="n">
        <f aca="false">IF($E78="","",IF($E78=INT($E78),0.01,IF($E78*2=INT($E78*2),0.02,0.05)))</f>
        <v>0.01</v>
      </c>
      <c r="V78" s="30" t="n">
        <f aca="false">IF($E78="","",ROUND(S78/$E78/U78,0)*U78)</f>
        <v>139.82</v>
      </c>
      <c r="W78" s="30" t="n">
        <f aca="false">IF($E78="","",ROUND(T78/$E78/U78,0)*U78)</f>
        <v>0</v>
      </c>
      <c r="X78" s="14" t="n">
        <f aca="false">IF(NOT(ISNUMBER(E78)),"",IF(NOT(ISNUMBER(E79)),ROW(),X79))</f>
        <v>79</v>
      </c>
    </row>
    <row r="79" customFormat="false" ht="15" hidden="false" customHeight="false" outlineLevel="0" collapsed="false">
      <c r="A79" s="64" t="n">
        <v>69</v>
      </c>
      <c r="B79" s="64" t="s">
        <v>469</v>
      </c>
      <c r="C79" s="16" t="s">
        <v>618</v>
      </c>
      <c r="D79" s="64" t="s">
        <v>603</v>
      </c>
      <c r="E79" s="64" t="n">
        <v>7</v>
      </c>
      <c r="F79" s="66" t="n">
        <f aca="false">IF($E79="","",V79)</f>
        <v>75.29</v>
      </c>
      <c r="G79" s="66" t="n">
        <f aca="false">IF($E79="","",ROUND(W79+IF($B79=Precificação!$B$26,$F$3/$E79,0),2))</f>
        <v>0</v>
      </c>
      <c r="H79" s="30" t="n">
        <f aca="false">IF($E79="","",F79+G79)</f>
        <v>75.29</v>
      </c>
      <c r="I79" s="30" t="n">
        <f aca="false">IF($E79="","",$E79*F79)</f>
        <v>527.03</v>
      </c>
      <c r="J79" s="30" t="n">
        <f aca="false">IF($E79="","",$E79*G79)</f>
        <v>0</v>
      </c>
      <c r="K79" s="30" t="n">
        <f aca="false">IF($E79="","",I79+J79)</f>
        <v>527.03</v>
      </c>
      <c r="L79" s="53" t="str">
        <f aca="false">IF($E79="","",IF(R79=0,"SEM CUSTO — falta linha de custo","OK"))</f>
        <v>OK</v>
      </c>
      <c r="M79" s="67" t="str">
        <f aca="false">IF(AND(ISNUMBER(E79),NOT(ISNUMBER(E78))),"F"&amp;ROW()&amp;":G"&amp;X79,"")</f>
        <v/>
      </c>
      <c r="N79" s="30" t="n">
        <f aca="false">IF($E79="","",SUMIFS('Rateio Anexo'!$K$6:$K$600,'Rateio Anexo'!$D$6:$D$600,$B79,'Rateio Anexo'!$B$6:$B$600,"MAT"))</f>
        <v>275.422</v>
      </c>
      <c r="O79" s="30" t="n">
        <f aca="false">IF($E79="","",SUMIFS('Rateio Anexo'!$K$6:$K$600,'Rateio Anexo'!$D$6:$D$600,$B79,'Rateio Anexo'!$B$6:$B$600,"MO"))</f>
        <v>0</v>
      </c>
      <c r="P79" s="30" t="n">
        <f aca="false">IF($E79="","",IF($N$3=0,0,N79/$N$3*$R$4))</f>
        <v>0.985479154898544</v>
      </c>
      <c r="Q79" s="30" t="n">
        <f aca="false">IF($E79="","",IF($O$3=0,0,O79/$O$3*$T$4))</f>
        <v>0</v>
      </c>
      <c r="R79" s="30" t="n">
        <f aca="false">IF($E79="","",N79+O79+P79+Q79)</f>
        <v>276.407479154899</v>
      </c>
      <c r="S79" s="30" t="n">
        <f aca="false">IF($E79="","",(N79+P79)*Precificação!$B$19)</f>
        <v>527.006942300618</v>
      </c>
      <c r="T79" s="30" t="n">
        <f aca="false">IF($E79="","",(O79+Q79)*Precificação!$B$20)</f>
        <v>0</v>
      </c>
      <c r="U79" s="68" t="n">
        <f aca="false">IF($E79="","",IF($E79=INT($E79),0.01,IF($E79*2=INT($E79*2),0.02,0.05)))</f>
        <v>0.01</v>
      </c>
      <c r="V79" s="30" t="n">
        <f aca="false">IF($E79="","",ROUND(S79/$E79/U79,0)*U79)</f>
        <v>75.29</v>
      </c>
      <c r="W79" s="30" t="n">
        <f aca="false">IF($E79="","",ROUND(T79/$E79/U79,0)*U79)</f>
        <v>0</v>
      </c>
      <c r="X79" s="14" t="n">
        <f aca="false">IF(NOT(ISNUMBER(E79)),"",IF(NOT(ISNUMBER(E80)),ROW(),X80))</f>
        <v>79</v>
      </c>
    </row>
    <row r="80" customFormat="false" ht="15" hidden="false" customHeight="false" outlineLevel="0" collapsed="false">
      <c r="A80" s="65" t="n">
        <v>70</v>
      </c>
      <c r="B80" s="65" t="s">
        <v>619</v>
      </c>
      <c r="C80" s="18" t="s">
        <v>620</v>
      </c>
      <c r="D80" s="64"/>
      <c r="E80" s="64"/>
      <c r="F80" s="66" t="str">
        <f aca="false">IF($E80="","",V80)</f>
        <v/>
      </c>
      <c r="G80" s="66" t="str">
        <f aca="false">IF($E80="","",ROUND(W80+IF($B80=Precificação!$B$26,$F$3/$E80,0),2))</f>
        <v/>
      </c>
      <c r="H80" s="30" t="str">
        <f aca="false">IF($E80="","",F80+G80)</f>
        <v/>
      </c>
      <c r="I80" s="30" t="str">
        <f aca="false">IF($E80="","",$E80*F80)</f>
        <v/>
      </c>
      <c r="J80" s="30" t="str">
        <f aca="false">IF($E80="","",$E80*G80)</f>
        <v/>
      </c>
      <c r="K80" s="30" t="str">
        <f aca="false">IF($E80="","",I80+J80)</f>
        <v/>
      </c>
      <c r="L80" s="53" t="str">
        <f aca="false">IF($E80="","",IF(R80=0,"SEM CUSTO — falta linha de custo","OK"))</f>
        <v/>
      </c>
      <c r="M80" s="67" t="str">
        <f aca="false">IF(AND(ISNUMBER(E80),NOT(ISNUMBER(E79))),"F"&amp;ROW()&amp;":G"&amp;X80,"")</f>
        <v/>
      </c>
      <c r="N80" s="30" t="str">
        <f aca="false">IF($E80="","",SUMIFS('Rateio Anexo'!$K$6:$K$600,'Rateio Anexo'!$D$6:$D$600,$B80,'Rateio Anexo'!$B$6:$B$600,"MAT"))</f>
        <v/>
      </c>
      <c r="O80" s="30" t="str">
        <f aca="false">IF($E80="","",SUMIFS('Rateio Anexo'!$K$6:$K$600,'Rateio Anexo'!$D$6:$D$600,$B80,'Rateio Anexo'!$B$6:$B$600,"MO"))</f>
        <v/>
      </c>
      <c r="P80" s="30" t="str">
        <f aca="false">IF($E80="","",IF($N$3=0,0,N80/$N$3*$R$4))</f>
        <v/>
      </c>
      <c r="Q80" s="30" t="str">
        <f aca="false">IF($E80="","",IF($O$3=0,0,O80/$O$3*$T$4))</f>
        <v/>
      </c>
      <c r="R80" s="30" t="str">
        <f aca="false">IF($E80="","",N80+O80+P80+Q80)</f>
        <v/>
      </c>
      <c r="S80" s="30" t="str">
        <f aca="false">IF($E80="","",(N80+P80)*Precificação!$B$19)</f>
        <v/>
      </c>
      <c r="T80" s="30" t="str">
        <f aca="false">IF($E80="","",(O80+Q80)*Precificação!$B$20)</f>
        <v/>
      </c>
      <c r="U80" s="68" t="str">
        <f aca="false">IF($E80="","",IF($E80=INT($E80),0.01,IF($E80*2=INT($E80*2),0.02,0.05)))</f>
        <v/>
      </c>
      <c r="V80" s="30" t="str">
        <f aca="false">IF($E80="","",ROUND(S80/$E80/U80,0)*U80)</f>
        <v/>
      </c>
      <c r="W80" s="30" t="str">
        <f aca="false">IF($E80="","",ROUND(T80/$E80/U80,0)*U80)</f>
        <v/>
      </c>
      <c r="X80" s="14" t="str">
        <f aca="false">IF(NOT(ISNUMBER(E80)),"",IF(NOT(ISNUMBER(E81)),ROW(),X81))</f>
        <v/>
      </c>
    </row>
    <row r="81" customFormat="false" ht="15" hidden="false" customHeight="false" outlineLevel="0" collapsed="false">
      <c r="A81" s="64" t="n">
        <v>71</v>
      </c>
      <c r="B81" s="64" t="s">
        <v>470</v>
      </c>
      <c r="C81" s="16" t="s">
        <v>621</v>
      </c>
      <c r="D81" s="64" t="s">
        <v>603</v>
      </c>
      <c r="E81" s="64" t="n">
        <v>4</v>
      </c>
      <c r="F81" s="66" t="n">
        <f aca="false">IF($E81="","",V81)</f>
        <v>172.21</v>
      </c>
      <c r="G81" s="66" t="n">
        <f aca="false">IF($E81="","",ROUND(W81+IF($B81=Precificação!$B$26,$F$3/$E81,0),2))</f>
        <v>0</v>
      </c>
      <c r="H81" s="30" t="n">
        <f aca="false">IF($E81="","",F81+G81)</f>
        <v>172.21</v>
      </c>
      <c r="I81" s="30" t="n">
        <f aca="false">IF($E81="","",$E81*F81)</f>
        <v>688.84</v>
      </c>
      <c r="J81" s="30" t="n">
        <f aca="false">IF($E81="","",$E81*G81)</f>
        <v>0</v>
      </c>
      <c r="K81" s="30" t="n">
        <f aca="false">IF($E81="","",I81+J81)</f>
        <v>688.84</v>
      </c>
      <c r="L81" s="53" t="str">
        <f aca="false">IF($E81="","",IF(R81=0,"SEM CUSTO — falta linha de custo","OK"))</f>
        <v>OK</v>
      </c>
      <c r="M81" s="67" t="str">
        <f aca="false">IF(AND(ISNUMBER(E81),NOT(ISNUMBER(E80))),"F"&amp;ROW()&amp;":G"&amp;X81,"")</f>
        <v>F81:G81</v>
      </c>
      <c r="N81" s="30" t="n">
        <f aca="false">IF($E81="","",SUMIFS('Rateio Anexo'!$K$6:$K$600,'Rateio Anexo'!$D$6:$D$600,$B81,'Rateio Anexo'!$B$6:$B$600,"MAT"))</f>
        <v>360</v>
      </c>
      <c r="O81" s="30" t="n">
        <f aca="false">IF($E81="","",SUMIFS('Rateio Anexo'!$K$6:$K$600,'Rateio Anexo'!$D$6:$D$600,$B81,'Rateio Anexo'!$B$6:$B$600,"MO"))</f>
        <v>0</v>
      </c>
      <c r="P81" s="30" t="n">
        <f aca="false">IF($E81="","",IF($N$3=0,0,N81/$N$3*$R$4))</f>
        <v>1.28810514687816</v>
      </c>
      <c r="Q81" s="30" t="n">
        <f aca="false">IF($E81="","",IF($O$3=0,0,O81/$O$3*$T$4))</f>
        <v>0</v>
      </c>
      <c r="R81" s="30" t="n">
        <f aca="false">IF($E81="","",N81+O81+P81+Q81)</f>
        <v>361.288105146878</v>
      </c>
      <c r="S81" s="30" t="n">
        <f aca="false">IF($E81="","",(N81+P81)*Precificação!$B$19)</f>
        <v>688.842936396593</v>
      </c>
      <c r="T81" s="30" t="n">
        <f aca="false">IF($E81="","",(O81+Q81)*Precificação!$B$20)</f>
        <v>0</v>
      </c>
      <c r="U81" s="68" t="n">
        <f aca="false">IF($E81="","",IF($E81=INT($E81),0.01,IF($E81*2=INT($E81*2),0.02,0.05)))</f>
        <v>0.01</v>
      </c>
      <c r="V81" s="30" t="n">
        <f aca="false">IF($E81="","",ROUND(S81/$E81/U81,0)*U81)</f>
        <v>172.21</v>
      </c>
      <c r="W81" s="30" t="n">
        <f aca="false">IF($E81="","",ROUND(T81/$E81/U81,0)*U81)</f>
        <v>0</v>
      </c>
      <c r="X81" s="14" t="n">
        <f aca="false">IF(NOT(ISNUMBER(E81)),"",IF(NOT(ISNUMBER(E82)),ROW(),X82))</f>
        <v>81</v>
      </c>
    </row>
    <row r="82" customFormat="false" ht="15" hidden="false" customHeight="false" outlineLevel="0" collapsed="false">
      <c r="F82" s="66" t="str">
        <f aca="false">IF($E82="","",V82)</f>
        <v/>
      </c>
      <c r="G82" s="66" t="str">
        <f aca="false">IF($E82="","",ROUND(W82+IF($B82=Precificação!$B$26,$F$3/$E82,0),2))</f>
        <v/>
      </c>
      <c r="H82" s="30" t="str">
        <f aca="false">IF($E82="","",F82+G82)</f>
        <v/>
      </c>
      <c r="I82" s="30" t="str">
        <f aca="false">IF($E82="","",$E82*F82)</f>
        <v/>
      </c>
      <c r="J82" s="30" t="str">
        <f aca="false">IF($E82="","",$E82*G82)</f>
        <v/>
      </c>
      <c r="K82" s="30" t="str">
        <f aca="false">IF($E82="","",I82+J82)</f>
        <v/>
      </c>
      <c r="L82" s="53" t="str">
        <f aca="false">IF($E82="","",IF(R82=0,"SEM CUSTO — falta linha de custo","OK"))</f>
        <v/>
      </c>
      <c r="M82" s="67" t="str">
        <f aca="false">IF(AND(ISNUMBER(E82),NOT(ISNUMBER(E81))),"F"&amp;ROW()&amp;":G"&amp;X82,"")</f>
        <v/>
      </c>
      <c r="N82" s="30" t="str">
        <f aca="false">IF($E82="","",SUMIFS('Rateio Anexo'!$K$6:$K$600,'Rateio Anexo'!$D$6:$D$600,$B82,'Rateio Anexo'!$B$6:$B$600,"MAT"))</f>
        <v/>
      </c>
      <c r="O82" s="30" t="str">
        <f aca="false">IF($E82="","",SUMIFS('Rateio Anexo'!$K$6:$K$600,'Rateio Anexo'!$D$6:$D$600,$B82,'Rateio Anexo'!$B$6:$B$600,"MO"))</f>
        <v/>
      </c>
      <c r="P82" s="30" t="str">
        <f aca="false">IF($E82="","",IF($N$3=0,0,N82/$N$3*$R$4))</f>
        <v/>
      </c>
      <c r="Q82" s="30" t="str">
        <f aca="false">IF($E82="","",IF($O$3=0,0,O82/$O$3*$T$4))</f>
        <v/>
      </c>
      <c r="R82" s="30" t="str">
        <f aca="false">IF($E82="","",N82+O82+P82+Q82)</f>
        <v/>
      </c>
      <c r="S82" s="30" t="str">
        <f aca="false">IF($E82="","",(N82+P82)*Precificação!$B$19)</f>
        <v/>
      </c>
      <c r="T82" s="30" t="str">
        <f aca="false">IF($E82="","",(O82+Q82)*Precificação!$B$20)</f>
        <v/>
      </c>
      <c r="U82" s="68" t="str">
        <f aca="false">IF($E82="","",IF($E82=INT($E82),0.01,IF($E82*2=INT($E82*2),0.02,0.05)))</f>
        <v/>
      </c>
      <c r="V82" s="30" t="str">
        <f aca="false">IF($E82="","",ROUND(S82/$E82/U82,0)*U82)</f>
        <v/>
      </c>
      <c r="W82" s="30" t="str">
        <f aca="false">IF($E82="","",ROUND(T82/$E82/U82,0)*U82)</f>
        <v/>
      </c>
      <c r="X82" s="14" t="str">
        <f aca="false">IF(NOT(ISNUMBER(E82)),"",IF(NOT(ISNUMBER(E83)),ROW(),X83))</f>
        <v/>
      </c>
    </row>
    <row r="83" customFormat="false" ht="15" hidden="false" customHeight="false" outlineLevel="0" collapsed="false">
      <c r="F83" s="66" t="str">
        <f aca="false">IF($E83="","",V83)</f>
        <v/>
      </c>
      <c r="G83" s="66" t="str">
        <f aca="false">IF($E83="","",ROUND(W83+IF($B83=Precificação!$B$26,$F$3/$E83,0),2))</f>
        <v/>
      </c>
      <c r="H83" s="30" t="str">
        <f aca="false">IF($E83="","",F83+G83)</f>
        <v/>
      </c>
      <c r="I83" s="30" t="str">
        <f aca="false">IF($E83="","",$E83*F83)</f>
        <v/>
      </c>
      <c r="J83" s="30" t="str">
        <f aca="false">IF($E83="","",$E83*G83)</f>
        <v/>
      </c>
      <c r="K83" s="30" t="str">
        <f aca="false">IF($E83="","",I83+J83)</f>
        <v/>
      </c>
      <c r="L83" s="53" t="str">
        <f aca="false">IF($E83="","",IF(R83=0,"SEM CUSTO — falta linha de custo","OK"))</f>
        <v/>
      </c>
      <c r="M83" s="67" t="str">
        <f aca="false">IF(AND(ISNUMBER(E83),NOT(ISNUMBER(E82))),"F"&amp;ROW()&amp;":G"&amp;X83,"")</f>
        <v/>
      </c>
      <c r="N83" s="30" t="str">
        <f aca="false">IF($E83="","",SUMIFS('Rateio Anexo'!$K$6:$K$600,'Rateio Anexo'!$D$6:$D$600,$B83,'Rateio Anexo'!$B$6:$B$600,"MAT"))</f>
        <v/>
      </c>
      <c r="O83" s="30" t="str">
        <f aca="false">IF($E83="","",SUMIFS('Rateio Anexo'!$K$6:$K$600,'Rateio Anexo'!$D$6:$D$600,$B83,'Rateio Anexo'!$B$6:$B$600,"MO"))</f>
        <v/>
      </c>
      <c r="P83" s="30" t="str">
        <f aca="false">IF($E83="","",IF($N$3=0,0,N83/$N$3*$R$4))</f>
        <v/>
      </c>
      <c r="Q83" s="30" t="str">
        <f aca="false">IF($E83="","",IF($O$3=0,0,O83/$O$3*$T$4))</f>
        <v/>
      </c>
      <c r="R83" s="30" t="str">
        <f aca="false">IF($E83="","",N83+O83+P83+Q83)</f>
        <v/>
      </c>
      <c r="S83" s="30" t="str">
        <f aca="false">IF($E83="","",(N83+P83)*Precificação!$B$19)</f>
        <v/>
      </c>
      <c r="T83" s="30" t="str">
        <f aca="false">IF($E83="","",(O83+Q83)*Precificação!$B$20)</f>
        <v/>
      </c>
      <c r="U83" s="68" t="str">
        <f aca="false">IF($E83="","",IF($E83=INT($E83),0.01,IF($E83*2=INT($E83*2),0.02,0.05)))</f>
        <v/>
      </c>
      <c r="V83" s="30" t="str">
        <f aca="false">IF($E83="","",ROUND(S83/$E83/U83,0)*U83)</f>
        <v/>
      </c>
      <c r="W83" s="30" t="str">
        <f aca="false">IF($E83="","",ROUND(T83/$E83/U83,0)*U83)</f>
        <v/>
      </c>
      <c r="X83" s="14" t="str">
        <f aca="false">IF(NOT(ISNUMBER(E83)),"",IF(NOT(ISNUMBER(E84)),ROW(),X84))</f>
        <v/>
      </c>
    </row>
    <row r="84" customFormat="false" ht="15" hidden="false" customHeight="false" outlineLevel="0" collapsed="false">
      <c r="F84" s="66" t="str">
        <f aca="false">IF($E84="","",V84)</f>
        <v/>
      </c>
      <c r="G84" s="66" t="str">
        <f aca="false">IF($E84="","",ROUND(W84+IF($B84=Precificação!$B$26,$F$3/$E84,0),2))</f>
        <v/>
      </c>
      <c r="H84" s="30" t="str">
        <f aca="false">IF($E84="","",F84+G84)</f>
        <v/>
      </c>
      <c r="I84" s="30" t="str">
        <f aca="false">IF($E84="","",$E84*F84)</f>
        <v/>
      </c>
      <c r="J84" s="30" t="str">
        <f aca="false">IF($E84="","",$E84*G84)</f>
        <v/>
      </c>
      <c r="K84" s="30" t="str">
        <f aca="false">IF($E84="","",I84+J84)</f>
        <v/>
      </c>
      <c r="L84" s="53" t="str">
        <f aca="false">IF($E84="","",IF(R84=0,"SEM CUSTO — falta linha de custo","OK"))</f>
        <v/>
      </c>
      <c r="M84" s="67" t="str">
        <f aca="false">IF(AND(ISNUMBER(E84),NOT(ISNUMBER(E83))),"F"&amp;ROW()&amp;":G"&amp;X84,"")</f>
        <v/>
      </c>
      <c r="N84" s="30" t="str">
        <f aca="false">IF($E84="","",SUMIFS('Rateio Anexo'!$K$6:$K$600,'Rateio Anexo'!$D$6:$D$600,$B84,'Rateio Anexo'!$B$6:$B$600,"MAT"))</f>
        <v/>
      </c>
      <c r="O84" s="30" t="str">
        <f aca="false">IF($E84="","",SUMIFS('Rateio Anexo'!$K$6:$K$600,'Rateio Anexo'!$D$6:$D$600,$B84,'Rateio Anexo'!$B$6:$B$600,"MO"))</f>
        <v/>
      </c>
      <c r="P84" s="30" t="str">
        <f aca="false">IF($E84="","",IF($N$3=0,0,N84/$N$3*$R$4))</f>
        <v/>
      </c>
      <c r="Q84" s="30" t="str">
        <f aca="false">IF($E84="","",IF($O$3=0,0,O84/$O$3*$T$4))</f>
        <v/>
      </c>
      <c r="R84" s="30" t="str">
        <f aca="false">IF($E84="","",N84+O84+P84+Q84)</f>
        <v/>
      </c>
      <c r="S84" s="30" t="str">
        <f aca="false">IF($E84="","",(N84+P84)*Precificação!$B$19)</f>
        <v/>
      </c>
      <c r="T84" s="30" t="str">
        <f aca="false">IF($E84="","",(O84+Q84)*Precificação!$B$20)</f>
        <v/>
      </c>
      <c r="U84" s="68" t="str">
        <f aca="false">IF($E84="","",IF($E84=INT($E84),0.01,IF($E84*2=INT($E84*2),0.02,0.05)))</f>
        <v/>
      </c>
      <c r="V84" s="30" t="str">
        <f aca="false">IF($E84="","",ROUND(S84/$E84/U84,0)*U84)</f>
        <v/>
      </c>
      <c r="W84" s="30" t="str">
        <f aca="false">IF($E84="","",ROUND(T84/$E84/U84,0)*U84)</f>
        <v/>
      </c>
      <c r="X84" s="14" t="str">
        <f aca="false">IF(NOT(ISNUMBER(E84)),"",IF(NOT(ISNUMBER(E85)),ROW(),X85))</f>
        <v/>
      </c>
    </row>
    <row r="85" customFormat="false" ht="15" hidden="false" customHeight="false" outlineLevel="0" collapsed="false">
      <c r="F85" s="66" t="str">
        <f aca="false">IF($E85="","",V85)</f>
        <v/>
      </c>
      <c r="G85" s="66" t="str">
        <f aca="false">IF($E85="","",ROUND(W85+IF($B85=Precificação!$B$26,$F$3/$E85,0),2))</f>
        <v/>
      </c>
      <c r="H85" s="30" t="str">
        <f aca="false">IF($E85="","",F85+G85)</f>
        <v/>
      </c>
      <c r="I85" s="30" t="str">
        <f aca="false">IF($E85="","",$E85*F85)</f>
        <v/>
      </c>
      <c r="J85" s="30" t="str">
        <f aca="false">IF($E85="","",$E85*G85)</f>
        <v/>
      </c>
      <c r="K85" s="30" t="str">
        <f aca="false">IF($E85="","",I85+J85)</f>
        <v/>
      </c>
      <c r="L85" s="53" t="str">
        <f aca="false">IF($E85="","",IF(R85=0,"SEM CUSTO — falta linha de custo","OK"))</f>
        <v/>
      </c>
      <c r="M85" s="67" t="str">
        <f aca="false">IF(AND(ISNUMBER(E85),NOT(ISNUMBER(E84))),"F"&amp;ROW()&amp;":G"&amp;X85,"")</f>
        <v/>
      </c>
      <c r="N85" s="30" t="str">
        <f aca="false">IF($E85="","",SUMIFS('Rateio Anexo'!$K$6:$K$600,'Rateio Anexo'!$D$6:$D$600,$B85,'Rateio Anexo'!$B$6:$B$600,"MAT"))</f>
        <v/>
      </c>
      <c r="O85" s="30" t="str">
        <f aca="false">IF($E85="","",SUMIFS('Rateio Anexo'!$K$6:$K$600,'Rateio Anexo'!$D$6:$D$600,$B85,'Rateio Anexo'!$B$6:$B$600,"MO"))</f>
        <v/>
      </c>
      <c r="P85" s="30" t="str">
        <f aca="false">IF($E85="","",IF($N$3=0,0,N85/$N$3*$R$4))</f>
        <v/>
      </c>
      <c r="Q85" s="30" t="str">
        <f aca="false">IF($E85="","",IF($O$3=0,0,O85/$O$3*$T$4))</f>
        <v/>
      </c>
      <c r="R85" s="30" t="str">
        <f aca="false">IF($E85="","",N85+O85+P85+Q85)</f>
        <v/>
      </c>
      <c r="S85" s="30" t="str">
        <f aca="false">IF($E85="","",(N85+P85)*Precificação!$B$19)</f>
        <v/>
      </c>
      <c r="T85" s="30" t="str">
        <f aca="false">IF($E85="","",(O85+Q85)*Precificação!$B$20)</f>
        <v/>
      </c>
      <c r="U85" s="68" t="str">
        <f aca="false">IF($E85="","",IF($E85=INT($E85),0.01,IF($E85*2=INT($E85*2),0.02,0.05)))</f>
        <v/>
      </c>
      <c r="V85" s="30" t="str">
        <f aca="false">IF($E85="","",ROUND(S85/$E85/U85,0)*U85)</f>
        <v/>
      </c>
      <c r="W85" s="30" t="str">
        <f aca="false">IF($E85="","",ROUND(T85/$E85/U85,0)*U85)</f>
        <v/>
      </c>
      <c r="X85" s="14" t="str">
        <f aca="false">IF(NOT(ISNUMBER(E85)),"",IF(NOT(ISNUMBER(E86)),ROW(),X86))</f>
        <v/>
      </c>
    </row>
    <row r="86" customFormat="false" ht="15" hidden="false" customHeight="false" outlineLevel="0" collapsed="false">
      <c r="F86" s="66" t="str">
        <f aca="false">IF($E86="","",V86)</f>
        <v/>
      </c>
      <c r="G86" s="66" t="str">
        <f aca="false">IF($E86="","",ROUND(W86+IF($B86=Precificação!$B$26,$F$3/$E86,0),2))</f>
        <v/>
      </c>
      <c r="H86" s="30" t="str">
        <f aca="false">IF($E86="","",F86+G86)</f>
        <v/>
      </c>
      <c r="I86" s="30" t="str">
        <f aca="false">IF($E86="","",$E86*F86)</f>
        <v/>
      </c>
      <c r="J86" s="30" t="str">
        <f aca="false">IF($E86="","",$E86*G86)</f>
        <v/>
      </c>
      <c r="K86" s="30" t="str">
        <f aca="false">IF($E86="","",I86+J86)</f>
        <v/>
      </c>
      <c r="L86" s="53" t="str">
        <f aca="false">IF($E86="","",IF(R86=0,"SEM CUSTO — falta linha de custo","OK"))</f>
        <v/>
      </c>
      <c r="M86" s="67" t="str">
        <f aca="false">IF(AND(ISNUMBER(E86),NOT(ISNUMBER(E85))),"F"&amp;ROW()&amp;":G"&amp;X86,"")</f>
        <v/>
      </c>
      <c r="N86" s="30" t="str">
        <f aca="false">IF($E86="","",SUMIFS('Rateio Anexo'!$K$6:$K$600,'Rateio Anexo'!$D$6:$D$600,$B86,'Rateio Anexo'!$B$6:$B$600,"MAT"))</f>
        <v/>
      </c>
      <c r="O86" s="30" t="str">
        <f aca="false">IF($E86="","",SUMIFS('Rateio Anexo'!$K$6:$K$600,'Rateio Anexo'!$D$6:$D$600,$B86,'Rateio Anexo'!$B$6:$B$600,"MO"))</f>
        <v/>
      </c>
      <c r="P86" s="30" t="str">
        <f aca="false">IF($E86="","",IF($N$3=0,0,N86/$N$3*$R$4))</f>
        <v/>
      </c>
      <c r="Q86" s="30" t="str">
        <f aca="false">IF($E86="","",IF($O$3=0,0,O86/$O$3*$T$4))</f>
        <v/>
      </c>
      <c r="R86" s="30" t="str">
        <f aca="false">IF($E86="","",N86+O86+P86+Q86)</f>
        <v/>
      </c>
      <c r="S86" s="30" t="str">
        <f aca="false">IF($E86="","",(N86+P86)*Precificação!$B$19)</f>
        <v/>
      </c>
      <c r="T86" s="30" t="str">
        <f aca="false">IF($E86="","",(O86+Q86)*Precificação!$B$20)</f>
        <v/>
      </c>
      <c r="U86" s="68" t="str">
        <f aca="false">IF($E86="","",IF($E86=INT($E86),0.01,IF($E86*2=INT($E86*2),0.02,0.05)))</f>
        <v/>
      </c>
      <c r="V86" s="30" t="str">
        <f aca="false">IF($E86="","",ROUND(S86/$E86/U86,0)*U86)</f>
        <v/>
      </c>
      <c r="W86" s="30" t="str">
        <f aca="false">IF($E86="","",ROUND(T86/$E86/U86,0)*U86)</f>
        <v/>
      </c>
      <c r="X86" s="14" t="str">
        <f aca="false">IF(NOT(ISNUMBER(E86)),"",IF(NOT(ISNUMBER(E87)),ROW(),X87))</f>
        <v/>
      </c>
    </row>
    <row r="87" customFormat="false" ht="15" hidden="false" customHeight="false" outlineLevel="0" collapsed="false">
      <c r="F87" s="66" t="str">
        <f aca="false">IF($E87="","",V87)</f>
        <v/>
      </c>
      <c r="G87" s="66" t="str">
        <f aca="false">IF($E87="","",ROUND(W87+IF($B87=Precificação!$B$26,$F$3/$E87,0),2))</f>
        <v/>
      </c>
      <c r="H87" s="30" t="str">
        <f aca="false">IF($E87="","",F87+G87)</f>
        <v/>
      </c>
      <c r="I87" s="30" t="str">
        <f aca="false">IF($E87="","",$E87*F87)</f>
        <v/>
      </c>
      <c r="J87" s="30" t="str">
        <f aca="false">IF($E87="","",$E87*G87)</f>
        <v/>
      </c>
      <c r="K87" s="30" t="str">
        <f aca="false">IF($E87="","",I87+J87)</f>
        <v/>
      </c>
      <c r="L87" s="53" t="str">
        <f aca="false">IF($E87="","",IF(R87=0,"SEM CUSTO — falta linha de custo","OK"))</f>
        <v/>
      </c>
      <c r="M87" s="67" t="str">
        <f aca="false">IF(AND(ISNUMBER(E87),NOT(ISNUMBER(E86))),"F"&amp;ROW()&amp;":G"&amp;X87,"")</f>
        <v/>
      </c>
      <c r="N87" s="30" t="str">
        <f aca="false">IF($E87="","",SUMIFS('Rateio Anexo'!$K$6:$K$600,'Rateio Anexo'!$D$6:$D$600,$B87,'Rateio Anexo'!$B$6:$B$600,"MAT"))</f>
        <v/>
      </c>
      <c r="O87" s="30" t="str">
        <f aca="false">IF($E87="","",SUMIFS('Rateio Anexo'!$K$6:$K$600,'Rateio Anexo'!$D$6:$D$600,$B87,'Rateio Anexo'!$B$6:$B$600,"MO"))</f>
        <v/>
      </c>
      <c r="P87" s="30" t="str">
        <f aca="false">IF($E87="","",IF($N$3=0,0,N87/$N$3*$R$4))</f>
        <v/>
      </c>
      <c r="Q87" s="30" t="str">
        <f aca="false">IF($E87="","",IF($O$3=0,0,O87/$O$3*$T$4))</f>
        <v/>
      </c>
      <c r="R87" s="30" t="str">
        <f aca="false">IF($E87="","",N87+O87+P87+Q87)</f>
        <v/>
      </c>
      <c r="S87" s="30" t="str">
        <f aca="false">IF($E87="","",(N87+P87)*Precificação!$B$19)</f>
        <v/>
      </c>
      <c r="T87" s="30" t="str">
        <f aca="false">IF($E87="","",(O87+Q87)*Precificação!$B$20)</f>
        <v/>
      </c>
      <c r="U87" s="68" t="str">
        <f aca="false">IF($E87="","",IF($E87=INT($E87),0.01,IF($E87*2=INT($E87*2),0.02,0.05)))</f>
        <v/>
      </c>
      <c r="V87" s="30" t="str">
        <f aca="false">IF($E87="","",ROUND(S87/$E87/U87,0)*U87)</f>
        <v/>
      </c>
      <c r="W87" s="30" t="str">
        <f aca="false">IF($E87="","",ROUND(T87/$E87/U87,0)*U87)</f>
        <v/>
      </c>
      <c r="X87" s="14" t="str">
        <f aca="false">IF(NOT(ISNUMBER(E87)),"",IF(NOT(ISNUMBER(E88)),ROW(),X88))</f>
        <v/>
      </c>
    </row>
    <row r="88" customFormat="false" ht="15" hidden="false" customHeight="false" outlineLevel="0" collapsed="false">
      <c r="F88" s="66" t="str">
        <f aca="false">IF($E88="","",V88)</f>
        <v/>
      </c>
      <c r="G88" s="66" t="str">
        <f aca="false">IF($E88="","",ROUND(W88+IF($B88=Precificação!$B$26,$F$3/$E88,0),2))</f>
        <v/>
      </c>
      <c r="H88" s="30" t="str">
        <f aca="false">IF($E88="","",F88+G88)</f>
        <v/>
      </c>
      <c r="I88" s="30" t="str">
        <f aca="false">IF($E88="","",$E88*F88)</f>
        <v/>
      </c>
      <c r="J88" s="30" t="str">
        <f aca="false">IF($E88="","",$E88*G88)</f>
        <v/>
      </c>
      <c r="K88" s="30" t="str">
        <f aca="false">IF($E88="","",I88+J88)</f>
        <v/>
      </c>
      <c r="L88" s="53" t="str">
        <f aca="false">IF($E88="","",IF(R88=0,"SEM CUSTO — falta linha de custo","OK"))</f>
        <v/>
      </c>
      <c r="M88" s="67" t="str">
        <f aca="false">IF(AND(ISNUMBER(E88),NOT(ISNUMBER(E87))),"F"&amp;ROW()&amp;":G"&amp;X88,"")</f>
        <v/>
      </c>
      <c r="N88" s="30" t="str">
        <f aca="false">IF($E88="","",SUMIFS('Rateio Anexo'!$K$6:$K$600,'Rateio Anexo'!$D$6:$D$600,$B88,'Rateio Anexo'!$B$6:$B$600,"MAT"))</f>
        <v/>
      </c>
      <c r="O88" s="30" t="str">
        <f aca="false">IF($E88="","",SUMIFS('Rateio Anexo'!$K$6:$K$600,'Rateio Anexo'!$D$6:$D$600,$B88,'Rateio Anexo'!$B$6:$B$600,"MO"))</f>
        <v/>
      </c>
      <c r="P88" s="30" t="str">
        <f aca="false">IF($E88="","",IF($N$3=0,0,N88/$N$3*$R$4))</f>
        <v/>
      </c>
      <c r="Q88" s="30" t="str">
        <f aca="false">IF($E88="","",IF($O$3=0,0,O88/$O$3*$T$4))</f>
        <v/>
      </c>
      <c r="R88" s="30" t="str">
        <f aca="false">IF($E88="","",N88+O88+P88+Q88)</f>
        <v/>
      </c>
      <c r="S88" s="30" t="str">
        <f aca="false">IF($E88="","",(N88+P88)*Precificação!$B$19)</f>
        <v/>
      </c>
      <c r="T88" s="30" t="str">
        <f aca="false">IF($E88="","",(O88+Q88)*Precificação!$B$20)</f>
        <v/>
      </c>
      <c r="U88" s="68" t="str">
        <f aca="false">IF($E88="","",IF($E88=INT($E88),0.01,IF($E88*2=INT($E88*2),0.02,0.05)))</f>
        <v/>
      </c>
      <c r="V88" s="30" t="str">
        <f aca="false">IF($E88="","",ROUND(S88/$E88/U88,0)*U88)</f>
        <v/>
      </c>
      <c r="W88" s="30" t="str">
        <f aca="false">IF($E88="","",ROUND(T88/$E88/U88,0)*U88)</f>
        <v/>
      </c>
      <c r="X88" s="14" t="str">
        <f aca="false">IF(NOT(ISNUMBER(E88)),"",IF(NOT(ISNUMBER(E89)),ROW(),X89))</f>
        <v/>
      </c>
    </row>
    <row r="89" customFormat="false" ht="15" hidden="false" customHeight="false" outlineLevel="0" collapsed="false">
      <c r="F89" s="66" t="str">
        <f aca="false">IF($E89="","",V89)</f>
        <v/>
      </c>
      <c r="G89" s="66" t="str">
        <f aca="false">IF($E89="","",ROUND(W89+IF($B89=Precificação!$B$26,$F$3/$E89,0),2))</f>
        <v/>
      </c>
      <c r="H89" s="30" t="str">
        <f aca="false">IF($E89="","",F89+G89)</f>
        <v/>
      </c>
      <c r="I89" s="30" t="str">
        <f aca="false">IF($E89="","",$E89*F89)</f>
        <v/>
      </c>
      <c r="J89" s="30" t="str">
        <f aca="false">IF($E89="","",$E89*G89)</f>
        <v/>
      </c>
      <c r="K89" s="30" t="str">
        <f aca="false">IF($E89="","",I89+J89)</f>
        <v/>
      </c>
      <c r="L89" s="53" t="str">
        <f aca="false">IF($E89="","",IF(R89=0,"SEM CUSTO — falta linha de custo","OK"))</f>
        <v/>
      </c>
      <c r="M89" s="67" t="str">
        <f aca="false">IF(AND(ISNUMBER(E89),NOT(ISNUMBER(E88))),"F"&amp;ROW()&amp;":G"&amp;X89,"")</f>
        <v/>
      </c>
      <c r="N89" s="30" t="str">
        <f aca="false">IF($E89="","",SUMIFS('Rateio Anexo'!$K$6:$K$600,'Rateio Anexo'!$D$6:$D$600,$B89,'Rateio Anexo'!$B$6:$B$600,"MAT"))</f>
        <v/>
      </c>
      <c r="O89" s="30" t="str">
        <f aca="false">IF($E89="","",SUMIFS('Rateio Anexo'!$K$6:$K$600,'Rateio Anexo'!$D$6:$D$600,$B89,'Rateio Anexo'!$B$6:$B$600,"MO"))</f>
        <v/>
      </c>
      <c r="P89" s="30" t="str">
        <f aca="false">IF($E89="","",IF($N$3=0,0,N89/$N$3*$R$4))</f>
        <v/>
      </c>
      <c r="Q89" s="30" t="str">
        <f aca="false">IF($E89="","",IF($O$3=0,0,O89/$O$3*$T$4))</f>
        <v/>
      </c>
      <c r="R89" s="30" t="str">
        <f aca="false">IF($E89="","",N89+O89+P89+Q89)</f>
        <v/>
      </c>
      <c r="S89" s="30" t="str">
        <f aca="false">IF($E89="","",(N89+P89)*Precificação!$B$19)</f>
        <v/>
      </c>
      <c r="T89" s="30" t="str">
        <f aca="false">IF($E89="","",(O89+Q89)*Precificação!$B$20)</f>
        <v/>
      </c>
      <c r="U89" s="68" t="str">
        <f aca="false">IF($E89="","",IF($E89=INT($E89),0.01,IF($E89*2=INT($E89*2),0.02,0.05)))</f>
        <v/>
      </c>
      <c r="V89" s="30" t="str">
        <f aca="false">IF($E89="","",ROUND(S89/$E89/U89,0)*U89)</f>
        <v/>
      </c>
      <c r="W89" s="30" t="str">
        <f aca="false">IF($E89="","",ROUND(T89/$E89/U89,0)*U89)</f>
        <v/>
      </c>
      <c r="X89" s="14" t="str">
        <f aca="false">IF(NOT(ISNUMBER(E89)),"",IF(NOT(ISNUMBER(E90)),ROW(),X90))</f>
        <v/>
      </c>
    </row>
    <row r="90" customFormat="false" ht="15" hidden="false" customHeight="false" outlineLevel="0" collapsed="false">
      <c r="F90" s="66" t="str">
        <f aca="false">IF($E90="","",V90)</f>
        <v/>
      </c>
      <c r="G90" s="66" t="str">
        <f aca="false">IF($E90="","",ROUND(W90+IF($B90=Precificação!$B$26,$F$3/$E90,0),2))</f>
        <v/>
      </c>
      <c r="H90" s="30" t="str">
        <f aca="false">IF($E90="","",F90+G90)</f>
        <v/>
      </c>
      <c r="I90" s="30" t="str">
        <f aca="false">IF($E90="","",$E90*F90)</f>
        <v/>
      </c>
      <c r="J90" s="30" t="str">
        <f aca="false">IF($E90="","",$E90*G90)</f>
        <v/>
      </c>
      <c r="K90" s="30" t="str">
        <f aca="false">IF($E90="","",I90+J90)</f>
        <v/>
      </c>
      <c r="L90" s="53" t="str">
        <f aca="false">IF($E90="","",IF(R90=0,"SEM CUSTO — falta linha de custo","OK"))</f>
        <v/>
      </c>
      <c r="M90" s="67" t="str">
        <f aca="false">IF(AND(ISNUMBER(E90),NOT(ISNUMBER(E89))),"F"&amp;ROW()&amp;":G"&amp;X90,"")</f>
        <v/>
      </c>
      <c r="N90" s="30" t="str">
        <f aca="false">IF($E90="","",SUMIFS('Rateio Anexo'!$K$6:$K$600,'Rateio Anexo'!$D$6:$D$600,$B90,'Rateio Anexo'!$B$6:$B$600,"MAT"))</f>
        <v/>
      </c>
      <c r="O90" s="30" t="str">
        <f aca="false">IF($E90="","",SUMIFS('Rateio Anexo'!$K$6:$K$600,'Rateio Anexo'!$D$6:$D$600,$B90,'Rateio Anexo'!$B$6:$B$600,"MO"))</f>
        <v/>
      </c>
      <c r="P90" s="30" t="str">
        <f aca="false">IF($E90="","",IF($N$3=0,0,N90/$N$3*$R$4))</f>
        <v/>
      </c>
      <c r="Q90" s="30" t="str">
        <f aca="false">IF($E90="","",IF($O$3=0,0,O90/$O$3*$T$4))</f>
        <v/>
      </c>
      <c r="R90" s="30" t="str">
        <f aca="false">IF($E90="","",N90+O90+P90+Q90)</f>
        <v/>
      </c>
      <c r="S90" s="30" t="str">
        <f aca="false">IF($E90="","",(N90+P90)*Precificação!$B$19)</f>
        <v/>
      </c>
      <c r="T90" s="30" t="str">
        <f aca="false">IF($E90="","",(O90+Q90)*Precificação!$B$20)</f>
        <v/>
      </c>
      <c r="U90" s="68" t="str">
        <f aca="false">IF($E90="","",IF($E90=INT($E90),0.01,IF($E90*2=INT($E90*2),0.02,0.05)))</f>
        <v/>
      </c>
      <c r="V90" s="30" t="str">
        <f aca="false">IF($E90="","",ROUND(S90/$E90/U90,0)*U90)</f>
        <v/>
      </c>
      <c r="W90" s="30" t="str">
        <f aca="false">IF($E90="","",ROUND(T90/$E90/U90,0)*U90)</f>
        <v/>
      </c>
      <c r="X90" s="14" t="str">
        <f aca="false">IF(NOT(ISNUMBER(E90)),"",IF(NOT(ISNUMBER(E91)),ROW(),X91))</f>
        <v/>
      </c>
    </row>
    <row r="91" customFormat="false" ht="15" hidden="false" customHeight="false" outlineLevel="0" collapsed="false">
      <c r="F91" s="66" t="str">
        <f aca="false">IF($E91="","",V91)</f>
        <v/>
      </c>
      <c r="G91" s="66" t="str">
        <f aca="false">IF($E91="","",ROUND(W91+IF($B91=Precificação!$B$26,$F$3/$E91,0),2))</f>
        <v/>
      </c>
      <c r="H91" s="30" t="str">
        <f aca="false">IF($E91="","",F91+G91)</f>
        <v/>
      </c>
      <c r="I91" s="30" t="str">
        <f aca="false">IF($E91="","",$E91*F91)</f>
        <v/>
      </c>
      <c r="J91" s="30" t="str">
        <f aca="false">IF($E91="","",$E91*G91)</f>
        <v/>
      </c>
      <c r="K91" s="30" t="str">
        <f aca="false">IF($E91="","",I91+J91)</f>
        <v/>
      </c>
      <c r="L91" s="53" t="str">
        <f aca="false">IF($E91="","",IF(R91=0,"SEM CUSTO — falta linha de custo","OK"))</f>
        <v/>
      </c>
      <c r="M91" s="67" t="str">
        <f aca="false">IF(AND(ISNUMBER(E91),NOT(ISNUMBER(E90))),"F"&amp;ROW()&amp;":G"&amp;X91,"")</f>
        <v/>
      </c>
      <c r="N91" s="30" t="str">
        <f aca="false">IF($E91="","",SUMIFS('Rateio Anexo'!$K$6:$K$600,'Rateio Anexo'!$D$6:$D$600,$B91,'Rateio Anexo'!$B$6:$B$600,"MAT"))</f>
        <v/>
      </c>
      <c r="O91" s="30" t="str">
        <f aca="false">IF($E91="","",SUMIFS('Rateio Anexo'!$K$6:$K$600,'Rateio Anexo'!$D$6:$D$600,$B91,'Rateio Anexo'!$B$6:$B$600,"MO"))</f>
        <v/>
      </c>
      <c r="P91" s="30" t="str">
        <f aca="false">IF($E91="","",IF($N$3=0,0,N91/$N$3*$R$4))</f>
        <v/>
      </c>
      <c r="Q91" s="30" t="str">
        <f aca="false">IF($E91="","",IF($O$3=0,0,O91/$O$3*$T$4))</f>
        <v/>
      </c>
      <c r="R91" s="30" t="str">
        <f aca="false">IF($E91="","",N91+O91+P91+Q91)</f>
        <v/>
      </c>
      <c r="S91" s="30" t="str">
        <f aca="false">IF($E91="","",(N91+P91)*Precificação!$B$19)</f>
        <v/>
      </c>
      <c r="T91" s="30" t="str">
        <f aca="false">IF($E91="","",(O91+Q91)*Precificação!$B$20)</f>
        <v/>
      </c>
      <c r="U91" s="68" t="str">
        <f aca="false">IF($E91="","",IF($E91=INT($E91),0.01,IF($E91*2=INT($E91*2),0.02,0.05)))</f>
        <v/>
      </c>
      <c r="V91" s="30" t="str">
        <f aca="false">IF($E91="","",ROUND(S91/$E91/U91,0)*U91)</f>
        <v/>
      </c>
      <c r="W91" s="30" t="str">
        <f aca="false">IF($E91="","",ROUND(T91/$E91/U91,0)*U91)</f>
        <v/>
      </c>
      <c r="X91" s="14" t="str">
        <f aca="false">IF(NOT(ISNUMBER(E91)),"",IF(NOT(ISNUMBER(E92)),ROW(),X92))</f>
        <v/>
      </c>
    </row>
    <row r="92" customFormat="false" ht="15" hidden="false" customHeight="false" outlineLevel="0" collapsed="false">
      <c r="F92" s="66" t="str">
        <f aca="false">IF($E92="","",V92)</f>
        <v/>
      </c>
      <c r="G92" s="66" t="str">
        <f aca="false">IF($E92="","",ROUND(W92+IF($B92=Precificação!$B$26,$F$3/$E92,0),2))</f>
        <v/>
      </c>
      <c r="H92" s="30" t="str">
        <f aca="false">IF($E92="","",F92+G92)</f>
        <v/>
      </c>
      <c r="I92" s="30" t="str">
        <f aca="false">IF($E92="","",$E92*F92)</f>
        <v/>
      </c>
      <c r="J92" s="30" t="str">
        <f aca="false">IF($E92="","",$E92*G92)</f>
        <v/>
      </c>
      <c r="K92" s="30" t="str">
        <f aca="false">IF($E92="","",I92+J92)</f>
        <v/>
      </c>
      <c r="L92" s="53" t="str">
        <f aca="false">IF($E92="","",IF(R92=0,"SEM CUSTO — falta linha de custo","OK"))</f>
        <v/>
      </c>
      <c r="M92" s="67" t="str">
        <f aca="false">IF(AND(ISNUMBER(E92),NOT(ISNUMBER(E91))),"F"&amp;ROW()&amp;":G"&amp;X92,"")</f>
        <v/>
      </c>
      <c r="N92" s="30" t="str">
        <f aca="false">IF($E92="","",SUMIFS('Rateio Anexo'!$K$6:$K$600,'Rateio Anexo'!$D$6:$D$600,$B92,'Rateio Anexo'!$B$6:$B$600,"MAT"))</f>
        <v/>
      </c>
      <c r="O92" s="30" t="str">
        <f aca="false">IF($E92="","",SUMIFS('Rateio Anexo'!$K$6:$K$600,'Rateio Anexo'!$D$6:$D$600,$B92,'Rateio Anexo'!$B$6:$B$600,"MO"))</f>
        <v/>
      </c>
      <c r="P92" s="30" t="str">
        <f aca="false">IF($E92="","",IF($N$3=0,0,N92/$N$3*$R$4))</f>
        <v/>
      </c>
      <c r="Q92" s="30" t="str">
        <f aca="false">IF($E92="","",IF($O$3=0,0,O92/$O$3*$T$4))</f>
        <v/>
      </c>
      <c r="R92" s="30" t="str">
        <f aca="false">IF($E92="","",N92+O92+P92+Q92)</f>
        <v/>
      </c>
      <c r="S92" s="30" t="str">
        <f aca="false">IF($E92="","",(N92+P92)*Precificação!$B$19)</f>
        <v/>
      </c>
      <c r="T92" s="30" t="str">
        <f aca="false">IF($E92="","",(O92+Q92)*Precificação!$B$20)</f>
        <v/>
      </c>
      <c r="U92" s="68" t="str">
        <f aca="false">IF($E92="","",IF($E92=INT($E92),0.01,IF($E92*2=INT($E92*2),0.02,0.05)))</f>
        <v/>
      </c>
      <c r="V92" s="30" t="str">
        <f aca="false">IF($E92="","",ROUND(S92/$E92/U92,0)*U92)</f>
        <v/>
      </c>
      <c r="W92" s="30" t="str">
        <f aca="false">IF($E92="","",ROUND(T92/$E92/U92,0)*U92)</f>
        <v/>
      </c>
      <c r="X92" s="14" t="str">
        <f aca="false">IF(NOT(ISNUMBER(E92)),"",IF(NOT(ISNUMBER(E93)),ROW(),X93))</f>
        <v/>
      </c>
    </row>
    <row r="93" customFormat="false" ht="15" hidden="false" customHeight="false" outlineLevel="0" collapsed="false">
      <c r="F93" s="66" t="str">
        <f aca="false">IF($E93="","",V93)</f>
        <v/>
      </c>
      <c r="G93" s="66" t="str">
        <f aca="false">IF($E93="","",ROUND(W93+IF($B93=Precificação!$B$26,$F$3/$E93,0),2))</f>
        <v/>
      </c>
      <c r="H93" s="30" t="str">
        <f aca="false">IF($E93="","",F93+G93)</f>
        <v/>
      </c>
      <c r="I93" s="30" t="str">
        <f aca="false">IF($E93="","",$E93*F93)</f>
        <v/>
      </c>
      <c r="J93" s="30" t="str">
        <f aca="false">IF($E93="","",$E93*G93)</f>
        <v/>
      </c>
      <c r="K93" s="30" t="str">
        <f aca="false">IF($E93="","",I93+J93)</f>
        <v/>
      </c>
      <c r="L93" s="53" t="str">
        <f aca="false">IF($E93="","",IF(R93=0,"SEM CUSTO — falta linha de custo","OK"))</f>
        <v/>
      </c>
      <c r="M93" s="67" t="str">
        <f aca="false">IF(AND(ISNUMBER(E93),NOT(ISNUMBER(E92))),"F"&amp;ROW()&amp;":G"&amp;X93,"")</f>
        <v/>
      </c>
      <c r="N93" s="30" t="str">
        <f aca="false">IF($E93="","",SUMIFS('Rateio Anexo'!$K$6:$K$600,'Rateio Anexo'!$D$6:$D$600,$B93,'Rateio Anexo'!$B$6:$B$600,"MAT"))</f>
        <v/>
      </c>
      <c r="O93" s="30" t="str">
        <f aca="false">IF($E93="","",SUMIFS('Rateio Anexo'!$K$6:$K$600,'Rateio Anexo'!$D$6:$D$600,$B93,'Rateio Anexo'!$B$6:$B$600,"MO"))</f>
        <v/>
      </c>
      <c r="P93" s="30" t="str">
        <f aca="false">IF($E93="","",IF($N$3=0,0,N93/$N$3*$R$4))</f>
        <v/>
      </c>
      <c r="Q93" s="30" t="str">
        <f aca="false">IF($E93="","",IF($O$3=0,0,O93/$O$3*$T$4))</f>
        <v/>
      </c>
      <c r="R93" s="30" t="str">
        <f aca="false">IF($E93="","",N93+O93+P93+Q93)</f>
        <v/>
      </c>
      <c r="S93" s="30" t="str">
        <f aca="false">IF($E93="","",(N93+P93)*Precificação!$B$19)</f>
        <v/>
      </c>
      <c r="T93" s="30" t="str">
        <f aca="false">IF($E93="","",(O93+Q93)*Precificação!$B$20)</f>
        <v/>
      </c>
      <c r="U93" s="68" t="str">
        <f aca="false">IF($E93="","",IF($E93=INT($E93),0.01,IF($E93*2=INT($E93*2),0.02,0.05)))</f>
        <v/>
      </c>
      <c r="V93" s="30" t="str">
        <f aca="false">IF($E93="","",ROUND(S93/$E93/U93,0)*U93)</f>
        <v/>
      </c>
      <c r="W93" s="30" t="str">
        <f aca="false">IF($E93="","",ROUND(T93/$E93/U93,0)*U93)</f>
        <v/>
      </c>
      <c r="X93" s="14" t="str">
        <f aca="false">IF(NOT(ISNUMBER(E93)),"",IF(NOT(ISNUMBER(E94)),ROW(),X94))</f>
        <v/>
      </c>
    </row>
    <row r="94" customFormat="false" ht="15" hidden="false" customHeight="false" outlineLevel="0" collapsed="false">
      <c r="F94" s="66" t="str">
        <f aca="false">IF($E94="","",V94)</f>
        <v/>
      </c>
      <c r="G94" s="66" t="str">
        <f aca="false">IF($E94="","",ROUND(W94+IF($B94=Precificação!$B$26,$F$3/$E94,0),2))</f>
        <v/>
      </c>
      <c r="H94" s="30" t="str">
        <f aca="false">IF($E94="","",F94+G94)</f>
        <v/>
      </c>
      <c r="I94" s="30" t="str">
        <f aca="false">IF($E94="","",$E94*F94)</f>
        <v/>
      </c>
      <c r="J94" s="30" t="str">
        <f aca="false">IF($E94="","",$E94*G94)</f>
        <v/>
      </c>
      <c r="K94" s="30" t="str">
        <f aca="false">IF($E94="","",I94+J94)</f>
        <v/>
      </c>
      <c r="L94" s="53" t="str">
        <f aca="false">IF($E94="","",IF(R94=0,"SEM CUSTO — falta linha de custo","OK"))</f>
        <v/>
      </c>
      <c r="M94" s="67" t="str">
        <f aca="false">IF(AND(ISNUMBER(E94),NOT(ISNUMBER(E93))),"F"&amp;ROW()&amp;":G"&amp;X94,"")</f>
        <v/>
      </c>
      <c r="N94" s="30" t="str">
        <f aca="false">IF($E94="","",SUMIFS('Rateio Anexo'!$K$6:$K$600,'Rateio Anexo'!$D$6:$D$600,$B94,'Rateio Anexo'!$B$6:$B$600,"MAT"))</f>
        <v/>
      </c>
      <c r="O94" s="30" t="str">
        <f aca="false">IF($E94="","",SUMIFS('Rateio Anexo'!$K$6:$K$600,'Rateio Anexo'!$D$6:$D$600,$B94,'Rateio Anexo'!$B$6:$B$600,"MO"))</f>
        <v/>
      </c>
      <c r="P94" s="30" t="str">
        <f aca="false">IF($E94="","",IF($N$3=0,0,N94/$N$3*$R$4))</f>
        <v/>
      </c>
      <c r="Q94" s="30" t="str">
        <f aca="false">IF($E94="","",IF($O$3=0,0,O94/$O$3*$T$4))</f>
        <v/>
      </c>
      <c r="R94" s="30" t="str">
        <f aca="false">IF($E94="","",N94+O94+P94+Q94)</f>
        <v/>
      </c>
      <c r="S94" s="30" t="str">
        <f aca="false">IF($E94="","",(N94+P94)*Precificação!$B$19)</f>
        <v/>
      </c>
      <c r="T94" s="30" t="str">
        <f aca="false">IF($E94="","",(O94+Q94)*Precificação!$B$20)</f>
        <v/>
      </c>
      <c r="U94" s="68" t="str">
        <f aca="false">IF($E94="","",IF($E94=INT($E94),0.01,IF($E94*2=INT($E94*2),0.02,0.05)))</f>
        <v/>
      </c>
      <c r="V94" s="30" t="str">
        <f aca="false">IF($E94="","",ROUND(S94/$E94/U94,0)*U94)</f>
        <v/>
      </c>
      <c r="W94" s="30" t="str">
        <f aca="false">IF($E94="","",ROUND(T94/$E94/U94,0)*U94)</f>
        <v/>
      </c>
      <c r="X94" s="14" t="str">
        <f aca="false">IF(NOT(ISNUMBER(E94)),"",IF(NOT(ISNUMBER(E95)),ROW(),X95))</f>
        <v/>
      </c>
    </row>
    <row r="95" customFormat="false" ht="15" hidden="false" customHeight="false" outlineLevel="0" collapsed="false">
      <c r="F95" s="66" t="str">
        <f aca="false">IF($E95="","",V95)</f>
        <v/>
      </c>
      <c r="G95" s="66" t="str">
        <f aca="false">IF($E95="","",ROUND(W95+IF($B95=Precificação!$B$26,$F$3/$E95,0),2))</f>
        <v/>
      </c>
      <c r="H95" s="30" t="str">
        <f aca="false">IF($E95="","",F95+G95)</f>
        <v/>
      </c>
      <c r="I95" s="30" t="str">
        <f aca="false">IF($E95="","",$E95*F95)</f>
        <v/>
      </c>
      <c r="J95" s="30" t="str">
        <f aca="false">IF($E95="","",$E95*G95)</f>
        <v/>
      </c>
      <c r="K95" s="30" t="str">
        <f aca="false">IF($E95="","",I95+J95)</f>
        <v/>
      </c>
      <c r="L95" s="53" t="str">
        <f aca="false">IF($E95="","",IF(R95=0,"SEM CUSTO — falta linha de custo","OK"))</f>
        <v/>
      </c>
      <c r="M95" s="67" t="str">
        <f aca="false">IF(AND(ISNUMBER(E95),NOT(ISNUMBER(E94))),"F"&amp;ROW()&amp;":G"&amp;X95,"")</f>
        <v/>
      </c>
      <c r="N95" s="30" t="str">
        <f aca="false">IF($E95="","",SUMIFS('Rateio Anexo'!$K$6:$K$600,'Rateio Anexo'!$D$6:$D$600,$B95,'Rateio Anexo'!$B$6:$B$600,"MAT"))</f>
        <v/>
      </c>
      <c r="O95" s="30" t="str">
        <f aca="false">IF($E95="","",SUMIFS('Rateio Anexo'!$K$6:$K$600,'Rateio Anexo'!$D$6:$D$600,$B95,'Rateio Anexo'!$B$6:$B$600,"MO"))</f>
        <v/>
      </c>
      <c r="P95" s="30" t="str">
        <f aca="false">IF($E95="","",IF($N$3=0,0,N95/$N$3*$R$4))</f>
        <v/>
      </c>
      <c r="Q95" s="30" t="str">
        <f aca="false">IF($E95="","",IF($O$3=0,0,O95/$O$3*$T$4))</f>
        <v/>
      </c>
      <c r="R95" s="30" t="str">
        <f aca="false">IF($E95="","",N95+O95+P95+Q95)</f>
        <v/>
      </c>
      <c r="S95" s="30" t="str">
        <f aca="false">IF($E95="","",(N95+P95)*Precificação!$B$19)</f>
        <v/>
      </c>
      <c r="T95" s="30" t="str">
        <f aca="false">IF($E95="","",(O95+Q95)*Precificação!$B$20)</f>
        <v/>
      </c>
      <c r="U95" s="68" t="str">
        <f aca="false">IF($E95="","",IF($E95=INT($E95),0.01,IF($E95*2=INT($E95*2),0.02,0.05)))</f>
        <v/>
      </c>
      <c r="V95" s="30" t="str">
        <f aca="false">IF($E95="","",ROUND(S95/$E95/U95,0)*U95)</f>
        <v/>
      </c>
      <c r="W95" s="30" t="str">
        <f aca="false">IF($E95="","",ROUND(T95/$E95/U95,0)*U95)</f>
        <v/>
      </c>
      <c r="X95" s="14" t="str">
        <f aca="false">IF(NOT(ISNUMBER(E95)),"",IF(NOT(ISNUMBER(E96)),ROW(),X96))</f>
        <v/>
      </c>
    </row>
    <row r="96" customFormat="false" ht="15" hidden="false" customHeight="false" outlineLevel="0" collapsed="false">
      <c r="F96" s="66" t="str">
        <f aca="false">IF($E96="","",V96)</f>
        <v/>
      </c>
      <c r="G96" s="66" t="str">
        <f aca="false">IF($E96="","",ROUND(W96+IF($B96=Precificação!$B$26,$F$3/$E96,0),2))</f>
        <v/>
      </c>
      <c r="H96" s="30" t="str">
        <f aca="false">IF($E96="","",F96+G96)</f>
        <v/>
      </c>
      <c r="I96" s="30" t="str">
        <f aca="false">IF($E96="","",$E96*F96)</f>
        <v/>
      </c>
      <c r="J96" s="30" t="str">
        <f aca="false">IF($E96="","",$E96*G96)</f>
        <v/>
      </c>
      <c r="K96" s="30" t="str">
        <f aca="false">IF($E96="","",I96+J96)</f>
        <v/>
      </c>
      <c r="L96" s="53" t="str">
        <f aca="false">IF($E96="","",IF(R96=0,"SEM CUSTO — falta linha de custo","OK"))</f>
        <v/>
      </c>
      <c r="M96" s="67" t="str">
        <f aca="false">IF(AND(ISNUMBER(E96),NOT(ISNUMBER(E95))),"F"&amp;ROW()&amp;":G"&amp;X96,"")</f>
        <v/>
      </c>
      <c r="N96" s="30" t="str">
        <f aca="false">IF($E96="","",SUMIFS('Rateio Anexo'!$K$6:$K$600,'Rateio Anexo'!$D$6:$D$600,$B96,'Rateio Anexo'!$B$6:$B$600,"MAT"))</f>
        <v/>
      </c>
      <c r="O96" s="30" t="str">
        <f aca="false">IF($E96="","",SUMIFS('Rateio Anexo'!$K$6:$K$600,'Rateio Anexo'!$D$6:$D$600,$B96,'Rateio Anexo'!$B$6:$B$600,"MO"))</f>
        <v/>
      </c>
      <c r="P96" s="30" t="str">
        <f aca="false">IF($E96="","",IF($N$3=0,0,N96/$N$3*$R$4))</f>
        <v/>
      </c>
      <c r="Q96" s="30" t="str">
        <f aca="false">IF($E96="","",IF($O$3=0,0,O96/$O$3*$T$4))</f>
        <v/>
      </c>
      <c r="R96" s="30" t="str">
        <f aca="false">IF($E96="","",N96+O96+P96+Q96)</f>
        <v/>
      </c>
      <c r="S96" s="30" t="str">
        <f aca="false">IF($E96="","",(N96+P96)*Precificação!$B$19)</f>
        <v/>
      </c>
      <c r="T96" s="30" t="str">
        <f aca="false">IF($E96="","",(O96+Q96)*Precificação!$B$20)</f>
        <v/>
      </c>
      <c r="U96" s="68" t="str">
        <f aca="false">IF($E96="","",IF($E96=INT($E96),0.01,IF($E96*2=INT($E96*2),0.02,0.05)))</f>
        <v/>
      </c>
      <c r="V96" s="30" t="str">
        <f aca="false">IF($E96="","",ROUND(S96/$E96/U96,0)*U96)</f>
        <v/>
      </c>
      <c r="W96" s="30" t="str">
        <f aca="false">IF($E96="","",ROUND(T96/$E96/U96,0)*U96)</f>
        <v/>
      </c>
      <c r="X96" s="14" t="str">
        <f aca="false">IF(NOT(ISNUMBER(E96)),"",IF(NOT(ISNUMBER(E97)),ROW(),X97))</f>
        <v/>
      </c>
    </row>
    <row r="97" customFormat="false" ht="15" hidden="false" customHeight="false" outlineLevel="0" collapsed="false">
      <c r="F97" s="66" t="str">
        <f aca="false">IF($E97="","",V97)</f>
        <v/>
      </c>
      <c r="G97" s="66" t="str">
        <f aca="false">IF($E97="","",ROUND(W97+IF($B97=Precificação!$B$26,$F$3/$E97,0),2))</f>
        <v/>
      </c>
      <c r="H97" s="30" t="str">
        <f aca="false">IF($E97="","",F97+G97)</f>
        <v/>
      </c>
      <c r="I97" s="30" t="str">
        <f aca="false">IF($E97="","",$E97*F97)</f>
        <v/>
      </c>
      <c r="J97" s="30" t="str">
        <f aca="false">IF($E97="","",$E97*G97)</f>
        <v/>
      </c>
      <c r="K97" s="30" t="str">
        <f aca="false">IF($E97="","",I97+J97)</f>
        <v/>
      </c>
      <c r="L97" s="53" t="str">
        <f aca="false">IF($E97="","",IF(R97=0,"SEM CUSTO — falta linha de custo","OK"))</f>
        <v/>
      </c>
      <c r="M97" s="67" t="str">
        <f aca="false">IF(AND(ISNUMBER(E97),NOT(ISNUMBER(E96))),"F"&amp;ROW()&amp;":G"&amp;X97,"")</f>
        <v/>
      </c>
      <c r="N97" s="30" t="str">
        <f aca="false">IF($E97="","",SUMIFS('Rateio Anexo'!$K$6:$K$600,'Rateio Anexo'!$D$6:$D$600,$B97,'Rateio Anexo'!$B$6:$B$600,"MAT"))</f>
        <v/>
      </c>
      <c r="O97" s="30" t="str">
        <f aca="false">IF($E97="","",SUMIFS('Rateio Anexo'!$K$6:$K$600,'Rateio Anexo'!$D$6:$D$600,$B97,'Rateio Anexo'!$B$6:$B$600,"MO"))</f>
        <v/>
      </c>
      <c r="P97" s="30" t="str">
        <f aca="false">IF($E97="","",IF($N$3=0,0,N97/$N$3*$R$4))</f>
        <v/>
      </c>
      <c r="Q97" s="30" t="str">
        <f aca="false">IF($E97="","",IF($O$3=0,0,O97/$O$3*$T$4))</f>
        <v/>
      </c>
      <c r="R97" s="30" t="str">
        <f aca="false">IF($E97="","",N97+O97+P97+Q97)</f>
        <v/>
      </c>
      <c r="S97" s="30" t="str">
        <f aca="false">IF($E97="","",(N97+P97)*Precificação!$B$19)</f>
        <v/>
      </c>
      <c r="T97" s="30" t="str">
        <f aca="false">IF($E97="","",(O97+Q97)*Precificação!$B$20)</f>
        <v/>
      </c>
      <c r="U97" s="68" t="str">
        <f aca="false">IF($E97="","",IF($E97=INT($E97),0.01,IF($E97*2=INT($E97*2),0.02,0.05)))</f>
        <v/>
      </c>
      <c r="V97" s="30" t="str">
        <f aca="false">IF($E97="","",ROUND(S97/$E97/U97,0)*U97)</f>
        <v/>
      </c>
      <c r="W97" s="30" t="str">
        <f aca="false">IF($E97="","",ROUND(T97/$E97/U97,0)*U97)</f>
        <v/>
      </c>
      <c r="X97" s="14" t="str">
        <f aca="false">IF(NOT(ISNUMBER(E97)),"",IF(NOT(ISNUMBER(E98)),ROW(),X98))</f>
        <v/>
      </c>
    </row>
    <row r="98" customFormat="false" ht="15" hidden="false" customHeight="false" outlineLevel="0" collapsed="false">
      <c r="F98" s="66" t="str">
        <f aca="false">IF($E98="","",V98)</f>
        <v/>
      </c>
      <c r="G98" s="66" t="str">
        <f aca="false">IF($E98="","",ROUND(W98+IF($B98=Precificação!$B$26,$F$3/$E98,0),2))</f>
        <v/>
      </c>
      <c r="H98" s="30" t="str">
        <f aca="false">IF($E98="","",F98+G98)</f>
        <v/>
      </c>
      <c r="I98" s="30" t="str">
        <f aca="false">IF($E98="","",$E98*F98)</f>
        <v/>
      </c>
      <c r="J98" s="30" t="str">
        <f aca="false">IF($E98="","",$E98*G98)</f>
        <v/>
      </c>
      <c r="K98" s="30" t="str">
        <f aca="false">IF($E98="","",I98+J98)</f>
        <v/>
      </c>
      <c r="L98" s="53" t="str">
        <f aca="false">IF($E98="","",IF(R98=0,"SEM CUSTO — falta linha de custo","OK"))</f>
        <v/>
      </c>
      <c r="M98" s="67" t="str">
        <f aca="false">IF(AND(ISNUMBER(E98),NOT(ISNUMBER(E97))),"F"&amp;ROW()&amp;":G"&amp;X98,"")</f>
        <v/>
      </c>
      <c r="N98" s="30" t="str">
        <f aca="false">IF($E98="","",SUMIFS('Rateio Anexo'!$K$6:$K$600,'Rateio Anexo'!$D$6:$D$600,$B98,'Rateio Anexo'!$B$6:$B$600,"MAT"))</f>
        <v/>
      </c>
      <c r="O98" s="30" t="str">
        <f aca="false">IF($E98="","",SUMIFS('Rateio Anexo'!$K$6:$K$600,'Rateio Anexo'!$D$6:$D$600,$B98,'Rateio Anexo'!$B$6:$B$600,"MO"))</f>
        <v/>
      </c>
      <c r="P98" s="30" t="str">
        <f aca="false">IF($E98="","",IF($N$3=0,0,N98/$N$3*$R$4))</f>
        <v/>
      </c>
      <c r="Q98" s="30" t="str">
        <f aca="false">IF($E98="","",IF($O$3=0,0,O98/$O$3*$T$4))</f>
        <v/>
      </c>
      <c r="R98" s="30" t="str">
        <f aca="false">IF($E98="","",N98+O98+P98+Q98)</f>
        <v/>
      </c>
      <c r="S98" s="30" t="str">
        <f aca="false">IF($E98="","",(N98+P98)*Precificação!$B$19)</f>
        <v/>
      </c>
      <c r="T98" s="30" t="str">
        <f aca="false">IF($E98="","",(O98+Q98)*Precificação!$B$20)</f>
        <v/>
      </c>
      <c r="U98" s="68" t="str">
        <f aca="false">IF($E98="","",IF($E98=INT($E98),0.01,IF($E98*2=INT($E98*2),0.02,0.05)))</f>
        <v/>
      </c>
      <c r="V98" s="30" t="str">
        <f aca="false">IF($E98="","",ROUND(S98/$E98/U98,0)*U98)</f>
        <v/>
      </c>
      <c r="W98" s="30" t="str">
        <f aca="false">IF($E98="","",ROUND(T98/$E98/U98,0)*U98)</f>
        <v/>
      </c>
      <c r="X98" s="14" t="str">
        <f aca="false">IF(NOT(ISNUMBER(E98)),"",IF(NOT(ISNUMBER(E99)),ROW(),X99))</f>
        <v/>
      </c>
    </row>
    <row r="99" customFormat="false" ht="15" hidden="false" customHeight="false" outlineLevel="0" collapsed="false">
      <c r="F99" s="66" t="str">
        <f aca="false">IF($E99="","",V99)</f>
        <v/>
      </c>
      <c r="G99" s="66" t="str">
        <f aca="false">IF($E99="","",ROUND(W99+IF($B99=Precificação!$B$26,$F$3/$E99,0),2))</f>
        <v/>
      </c>
      <c r="H99" s="30" t="str">
        <f aca="false">IF($E99="","",F99+G99)</f>
        <v/>
      </c>
      <c r="I99" s="30" t="str">
        <f aca="false">IF($E99="","",$E99*F99)</f>
        <v/>
      </c>
      <c r="J99" s="30" t="str">
        <f aca="false">IF($E99="","",$E99*G99)</f>
        <v/>
      </c>
      <c r="K99" s="30" t="str">
        <f aca="false">IF($E99="","",I99+J99)</f>
        <v/>
      </c>
      <c r="L99" s="53" t="str">
        <f aca="false">IF($E99="","",IF(R99=0,"SEM CUSTO — falta linha de custo","OK"))</f>
        <v/>
      </c>
      <c r="M99" s="67" t="str">
        <f aca="false">IF(AND(ISNUMBER(E99),NOT(ISNUMBER(E98))),"F"&amp;ROW()&amp;":G"&amp;X99,"")</f>
        <v/>
      </c>
      <c r="N99" s="30" t="str">
        <f aca="false">IF($E99="","",SUMIFS('Rateio Anexo'!$K$6:$K$600,'Rateio Anexo'!$D$6:$D$600,$B99,'Rateio Anexo'!$B$6:$B$600,"MAT"))</f>
        <v/>
      </c>
      <c r="O99" s="30" t="str">
        <f aca="false">IF($E99="","",SUMIFS('Rateio Anexo'!$K$6:$K$600,'Rateio Anexo'!$D$6:$D$600,$B99,'Rateio Anexo'!$B$6:$B$600,"MO"))</f>
        <v/>
      </c>
      <c r="P99" s="30" t="str">
        <f aca="false">IF($E99="","",IF($N$3=0,0,N99/$N$3*$R$4))</f>
        <v/>
      </c>
      <c r="Q99" s="30" t="str">
        <f aca="false">IF($E99="","",IF($O$3=0,0,O99/$O$3*$T$4))</f>
        <v/>
      </c>
      <c r="R99" s="30" t="str">
        <f aca="false">IF($E99="","",N99+O99+P99+Q99)</f>
        <v/>
      </c>
      <c r="S99" s="30" t="str">
        <f aca="false">IF($E99="","",(N99+P99)*Precificação!$B$19)</f>
        <v/>
      </c>
      <c r="T99" s="30" t="str">
        <f aca="false">IF($E99="","",(O99+Q99)*Precificação!$B$20)</f>
        <v/>
      </c>
      <c r="U99" s="68" t="str">
        <f aca="false">IF($E99="","",IF($E99=INT($E99),0.01,IF($E99*2=INT($E99*2),0.02,0.05)))</f>
        <v/>
      </c>
      <c r="V99" s="30" t="str">
        <f aca="false">IF($E99="","",ROUND(S99/$E99/U99,0)*U99)</f>
        <v/>
      </c>
      <c r="W99" s="30" t="str">
        <f aca="false">IF($E99="","",ROUND(T99/$E99/U99,0)*U99)</f>
        <v/>
      </c>
      <c r="X99" s="14" t="str">
        <f aca="false">IF(NOT(ISNUMBER(E99)),"",IF(NOT(ISNUMBER(E100)),ROW(),X100))</f>
        <v/>
      </c>
    </row>
    <row r="100" customFormat="false" ht="15" hidden="false" customHeight="false" outlineLevel="0" collapsed="false">
      <c r="F100" s="66" t="str">
        <f aca="false">IF($E100="","",V100)</f>
        <v/>
      </c>
      <c r="G100" s="66" t="str">
        <f aca="false">IF($E100="","",ROUND(W100+IF($B100=Precificação!$B$26,$F$3/$E100,0),2))</f>
        <v/>
      </c>
      <c r="H100" s="30" t="str">
        <f aca="false">IF($E100="","",F100+G100)</f>
        <v/>
      </c>
      <c r="I100" s="30" t="str">
        <f aca="false">IF($E100="","",$E100*F100)</f>
        <v/>
      </c>
      <c r="J100" s="30" t="str">
        <f aca="false">IF($E100="","",$E100*G100)</f>
        <v/>
      </c>
      <c r="K100" s="30" t="str">
        <f aca="false">IF($E100="","",I100+J100)</f>
        <v/>
      </c>
      <c r="L100" s="53" t="str">
        <f aca="false">IF($E100="","",IF(R100=0,"SEM CUSTO — falta linha de custo","OK"))</f>
        <v/>
      </c>
      <c r="M100" s="67" t="str">
        <f aca="false">IF(AND(ISNUMBER(E100),NOT(ISNUMBER(E99))),"F"&amp;ROW()&amp;":G"&amp;X100,"")</f>
        <v/>
      </c>
      <c r="N100" s="30" t="str">
        <f aca="false">IF($E100="","",SUMIFS('Rateio Anexo'!$K$6:$K$600,'Rateio Anexo'!$D$6:$D$600,$B100,'Rateio Anexo'!$B$6:$B$600,"MAT"))</f>
        <v/>
      </c>
      <c r="O100" s="30" t="str">
        <f aca="false">IF($E100="","",SUMIFS('Rateio Anexo'!$K$6:$K$600,'Rateio Anexo'!$D$6:$D$600,$B100,'Rateio Anexo'!$B$6:$B$600,"MO"))</f>
        <v/>
      </c>
      <c r="P100" s="30" t="str">
        <f aca="false">IF($E100="","",IF($N$3=0,0,N100/$N$3*$R$4))</f>
        <v/>
      </c>
      <c r="Q100" s="30" t="str">
        <f aca="false">IF($E100="","",IF($O$3=0,0,O100/$O$3*$T$4))</f>
        <v/>
      </c>
      <c r="R100" s="30" t="str">
        <f aca="false">IF($E100="","",N100+O100+P100+Q100)</f>
        <v/>
      </c>
      <c r="S100" s="30" t="str">
        <f aca="false">IF($E100="","",(N100+P100)*Precificação!$B$19)</f>
        <v/>
      </c>
      <c r="T100" s="30" t="str">
        <f aca="false">IF($E100="","",(O100+Q100)*Precificação!$B$20)</f>
        <v/>
      </c>
      <c r="U100" s="68" t="str">
        <f aca="false">IF($E100="","",IF($E100=INT($E100),0.01,IF($E100*2=INT($E100*2),0.02,0.05)))</f>
        <v/>
      </c>
      <c r="V100" s="30" t="str">
        <f aca="false">IF($E100="","",ROUND(S100/$E100/U100,0)*U100)</f>
        <v/>
      </c>
      <c r="W100" s="30" t="str">
        <f aca="false">IF($E100="","",ROUND(T100/$E100/U100,0)*U100)</f>
        <v/>
      </c>
      <c r="X100" s="14" t="str">
        <f aca="false">IF(NOT(ISNUMBER(E100)),"",IF(NOT(ISNUMBER(E101)),ROW(),X101))</f>
        <v/>
      </c>
    </row>
    <row r="101" customFormat="false" ht="15" hidden="false" customHeight="false" outlineLevel="0" collapsed="false">
      <c r="F101" s="66" t="str">
        <f aca="false">IF($E101="","",V101)</f>
        <v/>
      </c>
      <c r="G101" s="66" t="str">
        <f aca="false">IF($E101="","",ROUND(W101+IF($B101=Precificação!$B$26,$F$3/$E101,0),2))</f>
        <v/>
      </c>
      <c r="H101" s="30" t="str">
        <f aca="false">IF($E101="","",F101+G101)</f>
        <v/>
      </c>
      <c r="I101" s="30" t="str">
        <f aca="false">IF($E101="","",$E101*F101)</f>
        <v/>
      </c>
      <c r="J101" s="30" t="str">
        <f aca="false">IF($E101="","",$E101*G101)</f>
        <v/>
      </c>
      <c r="K101" s="30" t="str">
        <f aca="false">IF($E101="","",I101+J101)</f>
        <v/>
      </c>
      <c r="L101" s="53" t="str">
        <f aca="false">IF($E101="","",IF(R101=0,"SEM CUSTO — falta linha de custo","OK"))</f>
        <v/>
      </c>
      <c r="M101" s="67" t="str">
        <f aca="false">IF(AND(ISNUMBER(E101),NOT(ISNUMBER(E100))),"F"&amp;ROW()&amp;":G"&amp;X101,"")</f>
        <v/>
      </c>
      <c r="N101" s="30" t="str">
        <f aca="false">IF($E101="","",SUMIFS('Rateio Anexo'!$K$6:$K$600,'Rateio Anexo'!$D$6:$D$600,$B101,'Rateio Anexo'!$B$6:$B$600,"MAT"))</f>
        <v/>
      </c>
      <c r="O101" s="30" t="str">
        <f aca="false">IF($E101="","",SUMIFS('Rateio Anexo'!$K$6:$K$600,'Rateio Anexo'!$D$6:$D$600,$B101,'Rateio Anexo'!$B$6:$B$600,"MO"))</f>
        <v/>
      </c>
      <c r="P101" s="30" t="str">
        <f aca="false">IF($E101="","",IF($N$3=0,0,N101/$N$3*$R$4))</f>
        <v/>
      </c>
      <c r="Q101" s="30" t="str">
        <f aca="false">IF($E101="","",IF($O$3=0,0,O101/$O$3*$T$4))</f>
        <v/>
      </c>
      <c r="R101" s="30" t="str">
        <f aca="false">IF($E101="","",N101+O101+P101+Q101)</f>
        <v/>
      </c>
      <c r="S101" s="30" t="str">
        <f aca="false">IF($E101="","",(N101+P101)*Precificação!$B$19)</f>
        <v/>
      </c>
      <c r="T101" s="30" t="str">
        <f aca="false">IF($E101="","",(O101+Q101)*Precificação!$B$20)</f>
        <v/>
      </c>
      <c r="U101" s="68" t="str">
        <f aca="false">IF($E101="","",IF($E101=INT($E101),0.01,IF($E101*2=INT($E101*2),0.02,0.05)))</f>
        <v/>
      </c>
      <c r="V101" s="30" t="str">
        <f aca="false">IF($E101="","",ROUND(S101/$E101/U101,0)*U101)</f>
        <v/>
      </c>
      <c r="W101" s="30" t="str">
        <f aca="false">IF($E101="","",ROUND(T101/$E101/U101,0)*U101)</f>
        <v/>
      </c>
      <c r="X101" s="14" t="str">
        <f aca="false">IF(NOT(ISNUMBER(E101)),"",IF(NOT(ISNUMBER(E102)),ROW(),X102))</f>
        <v/>
      </c>
    </row>
    <row r="102" customFormat="false" ht="15" hidden="false" customHeight="false" outlineLevel="0" collapsed="false">
      <c r="F102" s="66" t="str">
        <f aca="false">IF($E102="","",V102)</f>
        <v/>
      </c>
      <c r="G102" s="66" t="str">
        <f aca="false">IF($E102="","",ROUND(W102+IF($B102=Precificação!$B$26,$F$3/$E102,0),2))</f>
        <v/>
      </c>
      <c r="H102" s="30" t="str">
        <f aca="false">IF($E102="","",F102+G102)</f>
        <v/>
      </c>
      <c r="I102" s="30" t="str">
        <f aca="false">IF($E102="","",$E102*F102)</f>
        <v/>
      </c>
      <c r="J102" s="30" t="str">
        <f aca="false">IF($E102="","",$E102*G102)</f>
        <v/>
      </c>
      <c r="K102" s="30" t="str">
        <f aca="false">IF($E102="","",I102+J102)</f>
        <v/>
      </c>
      <c r="L102" s="53" t="str">
        <f aca="false">IF($E102="","",IF(R102=0,"SEM CUSTO — falta linha de custo","OK"))</f>
        <v/>
      </c>
      <c r="M102" s="67" t="str">
        <f aca="false">IF(AND(ISNUMBER(E102),NOT(ISNUMBER(E101))),"F"&amp;ROW()&amp;":G"&amp;X102,"")</f>
        <v/>
      </c>
      <c r="N102" s="30" t="str">
        <f aca="false">IF($E102="","",SUMIFS('Rateio Anexo'!$K$6:$K$600,'Rateio Anexo'!$D$6:$D$600,$B102,'Rateio Anexo'!$B$6:$B$600,"MAT"))</f>
        <v/>
      </c>
      <c r="O102" s="30" t="str">
        <f aca="false">IF($E102="","",SUMIFS('Rateio Anexo'!$K$6:$K$600,'Rateio Anexo'!$D$6:$D$600,$B102,'Rateio Anexo'!$B$6:$B$600,"MO"))</f>
        <v/>
      </c>
      <c r="P102" s="30" t="str">
        <f aca="false">IF($E102="","",IF($N$3=0,0,N102/$N$3*$R$4))</f>
        <v/>
      </c>
      <c r="Q102" s="30" t="str">
        <f aca="false">IF($E102="","",IF($O$3=0,0,O102/$O$3*$T$4))</f>
        <v/>
      </c>
      <c r="R102" s="30" t="str">
        <f aca="false">IF($E102="","",N102+O102+P102+Q102)</f>
        <v/>
      </c>
      <c r="S102" s="30" t="str">
        <f aca="false">IF($E102="","",(N102+P102)*Precificação!$B$19)</f>
        <v/>
      </c>
      <c r="T102" s="30" t="str">
        <f aca="false">IF($E102="","",(O102+Q102)*Precificação!$B$20)</f>
        <v/>
      </c>
      <c r="U102" s="68" t="str">
        <f aca="false">IF($E102="","",IF($E102=INT($E102),0.01,IF($E102*2=INT($E102*2),0.02,0.05)))</f>
        <v/>
      </c>
      <c r="V102" s="30" t="str">
        <f aca="false">IF($E102="","",ROUND(S102/$E102/U102,0)*U102)</f>
        <v/>
      </c>
      <c r="W102" s="30" t="str">
        <f aca="false">IF($E102="","",ROUND(T102/$E102/U102,0)*U102)</f>
        <v/>
      </c>
      <c r="X102" s="14" t="str">
        <f aca="false">IF(NOT(ISNUMBER(E102)),"",IF(NOT(ISNUMBER(E103)),ROW(),X103))</f>
        <v/>
      </c>
    </row>
    <row r="103" customFormat="false" ht="15" hidden="false" customHeight="false" outlineLevel="0" collapsed="false">
      <c r="F103" s="66" t="str">
        <f aca="false">IF($E103="","",V103)</f>
        <v/>
      </c>
      <c r="G103" s="66" t="str">
        <f aca="false">IF($E103="","",ROUND(W103+IF($B103=Precificação!$B$26,$F$3/$E103,0),2))</f>
        <v/>
      </c>
      <c r="H103" s="30" t="str">
        <f aca="false">IF($E103="","",F103+G103)</f>
        <v/>
      </c>
      <c r="I103" s="30" t="str">
        <f aca="false">IF($E103="","",$E103*F103)</f>
        <v/>
      </c>
      <c r="J103" s="30" t="str">
        <f aca="false">IF($E103="","",$E103*G103)</f>
        <v/>
      </c>
      <c r="K103" s="30" t="str">
        <f aca="false">IF($E103="","",I103+J103)</f>
        <v/>
      </c>
      <c r="L103" s="53" t="str">
        <f aca="false">IF($E103="","",IF(R103=0,"SEM CUSTO — falta linha de custo","OK"))</f>
        <v/>
      </c>
      <c r="M103" s="67" t="str">
        <f aca="false">IF(AND(ISNUMBER(E103),NOT(ISNUMBER(E102))),"F"&amp;ROW()&amp;":G"&amp;X103,"")</f>
        <v/>
      </c>
      <c r="N103" s="30" t="str">
        <f aca="false">IF($E103="","",SUMIFS('Rateio Anexo'!$K$6:$K$600,'Rateio Anexo'!$D$6:$D$600,$B103,'Rateio Anexo'!$B$6:$B$600,"MAT"))</f>
        <v/>
      </c>
      <c r="O103" s="30" t="str">
        <f aca="false">IF($E103="","",SUMIFS('Rateio Anexo'!$K$6:$K$600,'Rateio Anexo'!$D$6:$D$600,$B103,'Rateio Anexo'!$B$6:$B$600,"MO"))</f>
        <v/>
      </c>
      <c r="P103" s="30" t="str">
        <f aca="false">IF($E103="","",IF($N$3=0,0,N103/$N$3*$R$4))</f>
        <v/>
      </c>
      <c r="Q103" s="30" t="str">
        <f aca="false">IF($E103="","",IF($O$3=0,0,O103/$O$3*$T$4))</f>
        <v/>
      </c>
      <c r="R103" s="30" t="str">
        <f aca="false">IF($E103="","",N103+O103+P103+Q103)</f>
        <v/>
      </c>
      <c r="S103" s="30" t="str">
        <f aca="false">IF($E103="","",(N103+P103)*Precificação!$B$19)</f>
        <v/>
      </c>
      <c r="T103" s="30" t="str">
        <f aca="false">IF($E103="","",(O103+Q103)*Precificação!$B$20)</f>
        <v/>
      </c>
      <c r="U103" s="68" t="str">
        <f aca="false">IF($E103="","",IF($E103=INT($E103),0.01,IF($E103*2=INT($E103*2),0.02,0.05)))</f>
        <v/>
      </c>
      <c r="V103" s="30" t="str">
        <f aca="false">IF($E103="","",ROUND(S103/$E103/U103,0)*U103)</f>
        <v/>
      </c>
      <c r="W103" s="30" t="str">
        <f aca="false">IF($E103="","",ROUND(T103/$E103/U103,0)*U103)</f>
        <v/>
      </c>
      <c r="X103" s="14" t="str">
        <f aca="false">IF(NOT(ISNUMBER(E103)),"",IF(NOT(ISNUMBER(E104)),ROW(),X104))</f>
        <v/>
      </c>
    </row>
    <row r="104" customFormat="false" ht="15" hidden="false" customHeight="false" outlineLevel="0" collapsed="false">
      <c r="F104" s="66" t="str">
        <f aca="false">IF($E104="","",V104)</f>
        <v/>
      </c>
      <c r="G104" s="66" t="str">
        <f aca="false">IF($E104="","",ROUND(W104+IF($B104=Precificação!$B$26,$F$3/$E104,0),2))</f>
        <v/>
      </c>
      <c r="H104" s="30" t="str">
        <f aca="false">IF($E104="","",F104+G104)</f>
        <v/>
      </c>
      <c r="I104" s="30" t="str">
        <f aca="false">IF($E104="","",$E104*F104)</f>
        <v/>
      </c>
      <c r="J104" s="30" t="str">
        <f aca="false">IF($E104="","",$E104*G104)</f>
        <v/>
      </c>
      <c r="K104" s="30" t="str">
        <f aca="false">IF($E104="","",I104+J104)</f>
        <v/>
      </c>
      <c r="L104" s="53" t="str">
        <f aca="false">IF($E104="","",IF(R104=0,"SEM CUSTO — falta linha de custo","OK"))</f>
        <v/>
      </c>
      <c r="M104" s="67" t="str">
        <f aca="false">IF(AND(ISNUMBER(E104),NOT(ISNUMBER(E103))),"F"&amp;ROW()&amp;":G"&amp;X104,"")</f>
        <v/>
      </c>
      <c r="N104" s="30" t="str">
        <f aca="false">IF($E104="","",SUMIFS('Rateio Anexo'!$K$6:$K$600,'Rateio Anexo'!$D$6:$D$600,$B104,'Rateio Anexo'!$B$6:$B$600,"MAT"))</f>
        <v/>
      </c>
      <c r="O104" s="30" t="str">
        <f aca="false">IF($E104="","",SUMIFS('Rateio Anexo'!$K$6:$K$600,'Rateio Anexo'!$D$6:$D$600,$B104,'Rateio Anexo'!$B$6:$B$600,"MO"))</f>
        <v/>
      </c>
      <c r="P104" s="30" t="str">
        <f aca="false">IF($E104="","",IF($N$3=0,0,N104/$N$3*$R$4))</f>
        <v/>
      </c>
      <c r="Q104" s="30" t="str">
        <f aca="false">IF($E104="","",IF($O$3=0,0,O104/$O$3*$T$4))</f>
        <v/>
      </c>
      <c r="R104" s="30" t="str">
        <f aca="false">IF($E104="","",N104+O104+P104+Q104)</f>
        <v/>
      </c>
      <c r="S104" s="30" t="str">
        <f aca="false">IF($E104="","",(N104+P104)*Precificação!$B$19)</f>
        <v/>
      </c>
      <c r="T104" s="30" t="str">
        <f aca="false">IF($E104="","",(O104+Q104)*Precificação!$B$20)</f>
        <v/>
      </c>
      <c r="U104" s="68" t="str">
        <f aca="false">IF($E104="","",IF($E104=INT($E104),0.01,IF($E104*2=INT($E104*2),0.02,0.05)))</f>
        <v/>
      </c>
      <c r="V104" s="30" t="str">
        <f aca="false">IF($E104="","",ROUND(S104/$E104/U104,0)*U104)</f>
        <v/>
      </c>
      <c r="W104" s="30" t="str">
        <f aca="false">IF($E104="","",ROUND(T104/$E104/U104,0)*U104)</f>
        <v/>
      </c>
      <c r="X104" s="14" t="str">
        <f aca="false">IF(NOT(ISNUMBER(E104)),"",IF(NOT(ISNUMBER(E105)),ROW(),X105))</f>
        <v/>
      </c>
    </row>
    <row r="105" customFormat="false" ht="15" hidden="false" customHeight="false" outlineLevel="0" collapsed="false">
      <c r="F105" s="66" t="str">
        <f aca="false">IF($E105="","",V105)</f>
        <v/>
      </c>
      <c r="G105" s="66" t="str">
        <f aca="false">IF($E105="","",ROUND(W105+IF($B105=Precificação!$B$26,$F$3/$E105,0),2))</f>
        <v/>
      </c>
      <c r="H105" s="30" t="str">
        <f aca="false">IF($E105="","",F105+G105)</f>
        <v/>
      </c>
      <c r="I105" s="30" t="str">
        <f aca="false">IF($E105="","",$E105*F105)</f>
        <v/>
      </c>
      <c r="J105" s="30" t="str">
        <f aca="false">IF($E105="","",$E105*G105)</f>
        <v/>
      </c>
      <c r="K105" s="30" t="str">
        <f aca="false">IF($E105="","",I105+J105)</f>
        <v/>
      </c>
      <c r="L105" s="53" t="str">
        <f aca="false">IF($E105="","",IF(R105=0,"SEM CUSTO — falta linha de custo","OK"))</f>
        <v/>
      </c>
      <c r="M105" s="67" t="str">
        <f aca="false">IF(AND(ISNUMBER(E105),NOT(ISNUMBER(E104))),"F"&amp;ROW()&amp;":G"&amp;X105,"")</f>
        <v/>
      </c>
      <c r="N105" s="30" t="str">
        <f aca="false">IF($E105="","",SUMIFS('Rateio Anexo'!$K$6:$K$600,'Rateio Anexo'!$D$6:$D$600,$B105,'Rateio Anexo'!$B$6:$B$600,"MAT"))</f>
        <v/>
      </c>
      <c r="O105" s="30" t="str">
        <f aca="false">IF($E105="","",SUMIFS('Rateio Anexo'!$K$6:$K$600,'Rateio Anexo'!$D$6:$D$600,$B105,'Rateio Anexo'!$B$6:$B$600,"MO"))</f>
        <v/>
      </c>
      <c r="P105" s="30" t="str">
        <f aca="false">IF($E105="","",IF($N$3=0,0,N105/$N$3*$R$4))</f>
        <v/>
      </c>
      <c r="Q105" s="30" t="str">
        <f aca="false">IF($E105="","",IF($O$3=0,0,O105/$O$3*$T$4))</f>
        <v/>
      </c>
      <c r="R105" s="30" t="str">
        <f aca="false">IF($E105="","",N105+O105+P105+Q105)</f>
        <v/>
      </c>
      <c r="S105" s="30" t="str">
        <f aca="false">IF($E105="","",(N105+P105)*Precificação!$B$19)</f>
        <v/>
      </c>
      <c r="T105" s="30" t="str">
        <f aca="false">IF($E105="","",(O105+Q105)*Precificação!$B$20)</f>
        <v/>
      </c>
      <c r="U105" s="68" t="str">
        <f aca="false">IF($E105="","",IF($E105=INT($E105),0.01,IF($E105*2=INT($E105*2),0.02,0.05)))</f>
        <v/>
      </c>
      <c r="V105" s="30" t="str">
        <f aca="false">IF($E105="","",ROUND(S105/$E105/U105,0)*U105)</f>
        <v/>
      </c>
      <c r="W105" s="30" t="str">
        <f aca="false">IF($E105="","",ROUND(T105/$E105/U105,0)*U105)</f>
        <v/>
      </c>
      <c r="X105" s="14" t="str">
        <f aca="false">IF(NOT(ISNUMBER(E105)),"",IF(NOT(ISNUMBER(E106)),ROW(),X106))</f>
        <v/>
      </c>
    </row>
    <row r="106" customFormat="false" ht="15" hidden="false" customHeight="false" outlineLevel="0" collapsed="false">
      <c r="F106" s="66" t="str">
        <f aca="false">IF($E106="","",V106)</f>
        <v/>
      </c>
      <c r="G106" s="66" t="str">
        <f aca="false">IF($E106="","",ROUND(W106+IF($B106=Precificação!$B$26,$F$3/$E106,0),2))</f>
        <v/>
      </c>
      <c r="H106" s="30" t="str">
        <f aca="false">IF($E106="","",F106+G106)</f>
        <v/>
      </c>
      <c r="I106" s="30" t="str">
        <f aca="false">IF($E106="","",$E106*F106)</f>
        <v/>
      </c>
      <c r="J106" s="30" t="str">
        <f aca="false">IF($E106="","",$E106*G106)</f>
        <v/>
      </c>
      <c r="K106" s="30" t="str">
        <f aca="false">IF($E106="","",I106+J106)</f>
        <v/>
      </c>
      <c r="L106" s="53" t="str">
        <f aca="false">IF($E106="","",IF(R106=0,"SEM CUSTO — falta linha de custo","OK"))</f>
        <v/>
      </c>
      <c r="M106" s="67" t="str">
        <f aca="false">IF(AND(ISNUMBER(E106),NOT(ISNUMBER(E105))),"F"&amp;ROW()&amp;":G"&amp;X106,"")</f>
        <v/>
      </c>
      <c r="N106" s="30" t="str">
        <f aca="false">IF($E106="","",SUMIFS('Rateio Anexo'!$K$6:$K$600,'Rateio Anexo'!$D$6:$D$600,$B106,'Rateio Anexo'!$B$6:$B$600,"MAT"))</f>
        <v/>
      </c>
      <c r="O106" s="30" t="str">
        <f aca="false">IF($E106="","",SUMIFS('Rateio Anexo'!$K$6:$K$600,'Rateio Anexo'!$D$6:$D$600,$B106,'Rateio Anexo'!$B$6:$B$600,"MO"))</f>
        <v/>
      </c>
      <c r="P106" s="30" t="str">
        <f aca="false">IF($E106="","",IF($N$3=0,0,N106/$N$3*$R$4))</f>
        <v/>
      </c>
      <c r="Q106" s="30" t="str">
        <f aca="false">IF($E106="","",IF($O$3=0,0,O106/$O$3*$T$4))</f>
        <v/>
      </c>
      <c r="R106" s="30" t="str">
        <f aca="false">IF($E106="","",N106+O106+P106+Q106)</f>
        <v/>
      </c>
      <c r="S106" s="30" t="str">
        <f aca="false">IF($E106="","",(N106+P106)*Precificação!$B$19)</f>
        <v/>
      </c>
      <c r="T106" s="30" t="str">
        <f aca="false">IF($E106="","",(O106+Q106)*Precificação!$B$20)</f>
        <v/>
      </c>
      <c r="U106" s="68" t="str">
        <f aca="false">IF($E106="","",IF($E106=INT($E106),0.01,IF($E106*2=INT($E106*2),0.02,0.05)))</f>
        <v/>
      </c>
      <c r="V106" s="30" t="str">
        <f aca="false">IF($E106="","",ROUND(S106/$E106/U106,0)*U106)</f>
        <v/>
      </c>
      <c r="W106" s="30" t="str">
        <f aca="false">IF($E106="","",ROUND(T106/$E106/U106,0)*U106)</f>
        <v/>
      </c>
      <c r="X106" s="14" t="str">
        <f aca="false">IF(NOT(ISNUMBER(E106)),"",IF(NOT(ISNUMBER(E107)),ROW(),X107))</f>
        <v/>
      </c>
    </row>
    <row r="107" customFormat="false" ht="15" hidden="false" customHeight="false" outlineLevel="0" collapsed="false">
      <c r="F107" s="66" t="str">
        <f aca="false">IF($E107="","",V107)</f>
        <v/>
      </c>
      <c r="G107" s="66" t="str">
        <f aca="false">IF($E107="","",ROUND(W107+IF($B107=Precificação!$B$26,$F$3/$E107,0),2))</f>
        <v/>
      </c>
      <c r="H107" s="30" t="str">
        <f aca="false">IF($E107="","",F107+G107)</f>
        <v/>
      </c>
      <c r="I107" s="30" t="str">
        <f aca="false">IF($E107="","",$E107*F107)</f>
        <v/>
      </c>
      <c r="J107" s="30" t="str">
        <f aca="false">IF($E107="","",$E107*G107)</f>
        <v/>
      </c>
      <c r="K107" s="30" t="str">
        <f aca="false">IF($E107="","",I107+J107)</f>
        <v/>
      </c>
      <c r="L107" s="53" t="str">
        <f aca="false">IF($E107="","",IF(R107=0,"SEM CUSTO — falta linha de custo","OK"))</f>
        <v/>
      </c>
      <c r="M107" s="67" t="str">
        <f aca="false">IF(AND(ISNUMBER(E107),NOT(ISNUMBER(E106))),"F"&amp;ROW()&amp;":G"&amp;X107,"")</f>
        <v/>
      </c>
      <c r="N107" s="30" t="str">
        <f aca="false">IF($E107="","",SUMIFS('Rateio Anexo'!$K$6:$K$600,'Rateio Anexo'!$D$6:$D$600,$B107,'Rateio Anexo'!$B$6:$B$600,"MAT"))</f>
        <v/>
      </c>
      <c r="O107" s="30" t="str">
        <f aca="false">IF($E107="","",SUMIFS('Rateio Anexo'!$K$6:$K$600,'Rateio Anexo'!$D$6:$D$600,$B107,'Rateio Anexo'!$B$6:$B$600,"MO"))</f>
        <v/>
      </c>
      <c r="P107" s="30" t="str">
        <f aca="false">IF($E107="","",IF($N$3=0,0,N107/$N$3*$R$4))</f>
        <v/>
      </c>
      <c r="Q107" s="30" t="str">
        <f aca="false">IF($E107="","",IF($O$3=0,0,O107/$O$3*$T$4))</f>
        <v/>
      </c>
      <c r="R107" s="30" t="str">
        <f aca="false">IF($E107="","",N107+O107+P107+Q107)</f>
        <v/>
      </c>
      <c r="S107" s="30" t="str">
        <f aca="false">IF($E107="","",(N107+P107)*Precificação!$B$19)</f>
        <v/>
      </c>
      <c r="T107" s="30" t="str">
        <f aca="false">IF($E107="","",(O107+Q107)*Precificação!$B$20)</f>
        <v/>
      </c>
      <c r="U107" s="68" t="str">
        <f aca="false">IF($E107="","",IF($E107=INT($E107),0.01,IF($E107*2=INT($E107*2),0.02,0.05)))</f>
        <v/>
      </c>
      <c r="V107" s="30" t="str">
        <f aca="false">IF($E107="","",ROUND(S107/$E107/U107,0)*U107)</f>
        <v/>
      </c>
      <c r="W107" s="30" t="str">
        <f aca="false">IF($E107="","",ROUND(T107/$E107/U107,0)*U107)</f>
        <v/>
      </c>
      <c r="X107" s="14" t="str">
        <f aca="false">IF(NOT(ISNUMBER(E107)),"",IF(NOT(ISNUMBER(E108)),ROW(),X108))</f>
        <v/>
      </c>
    </row>
    <row r="108" customFormat="false" ht="15" hidden="false" customHeight="false" outlineLevel="0" collapsed="false">
      <c r="F108" s="66" t="str">
        <f aca="false">IF($E108="","",V108)</f>
        <v/>
      </c>
      <c r="G108" s="66" t="str">
        <f aca="false">IF($E108="","",ROUND(W108+IF($B108=Precificação!$B$26,$F$3/$E108,0),2))</f>
        <v/>
      </c>
      <c r="H108" s="30" t="str">
        <f aca="false">IF($E108="","",F108+G108)</f>
        <v/>
      </c>
      <c r="I108" s="30" t="str">
        <f aca="false">IF($E108="","",$E108*F108)</f>
        <v/>
      </c>
      <c r="J108" s="30" t="str">
        <f aca="false">IF($E108="","",$E108*G108)</f>
        <v/>
      </c>
      <c r="K108" s="30" t="str">
        <f aca="false">IF($E108="","",I108+J108)</f>
        <v/>
      </c>
      <c r="L108" s="53" t="str">
        <f aca="false">IF($E108="","",IF(R108=0,"SEM CUSTO — falta linha de custo","OK"))</f>
        <v/>
      </c>
      <c r="M108" s="67" t="str">
        <f aca="false">IF(AND(ISNUMBER(E108),NOT(ISNUMBER(E107))),"F"&amp;ROW()&amp;":G"&amp;X108,"")</f>
        <v/>
      </c>
      <c r="N108" s="30" t="str">
        <f aca="false">IF($E108="","",SUMIFS('Rateio Anexo'!$K$6:$K$600,'Rateio Anexo'!$D$6:$D$600,$B108,'Rateio Anexo'!$B$6:$B$600,"MAT"))</f>
        <v/>
      </c>
      <c r="O108" s="30" t="str">
        <f aca="false">IF($E108="","",SUMIFS('Rateio Anexo'!$K$6:$K$600,'Rateio Anexo'!$D$6:$D$600,$B108,'Rateio Anexo'!$B$6:$B$600,"MO"))</f>
        <v/>
      </c>
      <c r="P108" s="30" t="str">
        <f aca="false">IF($E108="","",IF($N$3=0,0,N108/$N$3*$R$4))</f>
        <v/>
      </c>
      <c r="Q108" s="30" t="str">
        <f aca="false">IF($E108="","",IF($O$3=0,0,O108/$O$3*$T$4))</f>
        <v/>
      </c>
      <c r="R108" s="30" t="str">
        <f aca="false">IF($E108="","",N108+O108+P108+Q108)</f>
        <v/>
      </c>
      <c r="S108" s="30" t="str">
        <f aca="false">IF($E108="","",(N108+P108)*Precificação!$B$19)</f>
        <v/>
      </c>
      <c r="T108" s="30" t="str">
        <f aca="false">IF($E108="","",(O108+Q108)*Precificação!$B$20)</f>
        <v/>
      </c>
      <c r="U108" s="68" t="str">
        <f aca="false">IF($E108="","",IF($E108=INT($E108),0.01,IF($E108*2=INT($E108*2),0.02,0.05)))</f>
        <v/>
      </c>
      <c r="V108" s="30" t="str">
        <f aca="false">IF($E108="","",ROUND(S108/$E108/U108,0)*U108)</f>
        <v/>
      </c>
      <c r="W108" s="30" t="str">
        <f aca="false">IF($E108="","",ROUND(T108/$E108/U108,0)*U108)</f>
        <v/>
      </c>
      <c r="X108" s="14" t="str">
        <f aca="false">IF(NOT(ISNUMBER(E108)),"",IF(NOT(ISNUMBER(E109)),ROW(),X109))</f>
        <v/>
      </c>
    </row>
    <row r="109" customFormat="false" ht="15" hidden="false" customHeight="false" outlineLevel="0" collapsed="false">
      <c r="F109" s="66" t="str">
        <f aca="false">IF($E109="","",V109)</f>
        <v/>
      </c>
      <c r="G109" s="66" t="str">
        <f aca="false">IF($E109="","",ROUND(W109+IF($B109=Precificação!$B$26,$F$3/$E109,0),2))</f>
        <v/>
      </c>
      <c r="H109" s="30" t="str">
        <f aca="false">IF($E109="","",F109+G109)</f>
        <v/>
      </c>
      <c r="I109" s="30" t="str">
        <f aca="false">IF($E109="","",$E109*F109)</f>
        <v/>
      </c>
      <c r="J109" s="30" t="str">
        <f aca="false">IF($E109="","",$E109*G109)</f>
        <v/>
      </c>
      <c r="K109" s="30" t="str">
        <f aca="false">IF($E109="","",I109+J109)</f>
        <v/>
      </c>
      <c r="L109" s="53" t="str">
        <f aca="false">IF($E109="","",IF(R109=0,"SEM CUSTO — falta linha de custo","OK"))</f>
        <v/>
      </c>
      <c r="M109" s="67" t="str">
        <f aca="false">IF(AND(ISNUMBER(E109),NOT(ISNUMBER(E108))),"F"&amp;ROW()&amp;":G"&amp;X109,"")</f>
        <v/>
      </c>
      <c r="N109" s="30" t="str">
        <f aca="false">IF($E109="","",SUMIFS('Rateio Anexo'!$K$6:$K$600,'Rateio Anexo'!$D$6:$D$600,$B109,'Rateio Anexo'!$B$6:$B$600,"MAT"))</f>
        <v/>
      </c>
      <c r="O109" s="30" t="str">
        <f aca="false">IF($E109="","",SUMIFS('Rateio Anexo'!$K$6:$K$600,'Rateio Anexo'!$D$6:$D$600,$B109,'Rateio Anexo'!$B$6:$B$600,"MO"))</f>
        <v/>
      </c>
      <c r="P109" s="30" t="str">
        <f aca="false">IF($E109="","",IF($N$3=0,0,N109/$N$3*$R$4))</f>
        <v/>
      </c>
      <c r="Q109" s="30" t="str">
        <f aca="false">IF($E109="","",IF($O$3=0,0,O109/$O$3*$T$4))</f>
        <v/>
      </c>
      <c r="R109" s="30" t="str">
        <f aca="false">IF($E109="","",N109+O109+P109+Q109)</f>
        <v/>
      </c>
      <c r="S109" s="30" t="str">
        <f aca="false">IF($E109="","",(N109+P109)*Precificação!$B$19)</f>
        <v/>
      </c>
      <c r="T109" s="30" t="str">
        <f aca="false">IF($E109="","",(O109+Q109)*Precificação!$B$20)</f>
        <v/>
      </c>
      <c r="U109" s="68" t="str">
        <f aca="false">IF($E109="","",IF($E109=INT($E109),0.01,IF($E109*2=INT($E109*2),0.02,0.05)))</f>
        <v/>
      </c>
      <c r="V109" s="30" t="str">
        <f aca="false">IF($E109="","",ROUND(S109/$E109/U109,0)*U109)</f>
        <v/>
      </c>
      <c r="W109" s="30" t="str">
        <f aca="false">IF($E109="","",ROUND(T109/$E109/U109,0)*U109)</f>
        <v/>
      </c>
      <c r="X109" s="14" t="str">
        <f aca="false">IF(NOT(ISNUMBER(E109)),"",IF(NOT(ISNUMBER(E110)),ROW(),X110))</f>
        <v/>
      </c>
    </row>
    <row r="110" customFormat="false" ht="15" hidden="false" customHeight="false" outlineLevel="0" collapsed="false">
      <c r="F110" s="66" t="str">
        <f aca="false">IF($E110="","",V110)</f>
        <v/>
      </c>
      <c r="G110" s="66" t="str">
        <f aca="false">IF($E110="","",ROUND(W110+IF($B110=Precificação!$B$26,$F$3/$E110,0),2))</f>
        <v/>
      </c>
      <c r="H110" s="30" t="str">
        <f aca="false">IF($E110="","",F110+G110)</f>
        <v/>
      </c>
      <c r="I110" s="30" t="str">
        <f aca="false">IF($E110="","",$E110*F110)</f>
        <v/>
      </c>
      <c r="J110" s="30" t="str">
        <f aca="false">IF($E110="","",$E110*G110)</f>
        <v/>
      </c>
      <c r="K110" s="30" t="str">
        <f aca="false">IF($E110="","",I110+J110)</f>
        <v/>
      </c>
      <c r="L110" s="53" t="str">
        <f aca="false">IF($E110="","",IF(R110=0,"SEM CUSTO — falta linha de custo","OK"))</f>
        <v/>
      </c>
      <c r="M110" s="67" t="str">
        <f aca="false">IF(AND(ISNUMBER(E110),NOT(ISNUMBER(E109))),"F"&amp;ROW()&amp;":G"&amp;X110,"")</f>
        <v/>
      </c>
      <c r="N110" s="30" t="str">
        <f aca="false">IF($E110="","",SUMIFS('Rateio Anexo'!$K$6:$K$600,'Rateio Anexo'!$D$6:$D$600,$B110,'Rateio Anexo'!$B$6:$B$600,"MAT"))</f>
        <v/>
      </c>
      <c r="O110" s="30" t="str">
        <f aca="false">IF($E110="","",SUMIFS('Rateio Anexo'!$K$6:$K$600,'Rateio Anexo'!$D$6:$D$600,$B110,'Rateio Anexo'!$B$6:$B$600,"MO"))</f>
        <v/>
      </c>
      <c r="P110" s="30" t="str">
        <f aca="false">IF($E110="","",IF($N$3=0,0,N110/$N$3*$R$4))</f>
        <v/>
      </c>
      <c r="Q110" s="30" t="str">
        <f aca="false">IF($E110="","",IF($O$3=0,0,O110/$O$3*$T$4))</f>
        <v/>
      </c>
      <c r="R110" s="30" t="str">
        <f aca="false">IF($E110="","",N110+O110+P110+Q110)</f>
        <v/>
      </c>
      <c r="S110" s="30" t="str">
        <f aca="false">IF($E110="","",(N110+P110)*Precificação!$B$19)</f>
        <v/>
      </c>
      <c r="T110" s="30" t="str">
        <f aca="false">IF($E110="","",(O110+Q110)*Precificação!$B$20)</f>
        <v/>
      </c>
      <c r="U110" s="68" t="str">
        <f aca="false">IF($E110="","",IF($E110=INT($E110),0.01,IF($E110*2=INT($E110*2),0.02,0.05)))</f>
        <v/>
      </c>
      <c r="V110" s="30" t="str">
        <f aca="false">IF($E110="","",ROUND(S110/$E110/U110,0)*U110)</f>
        <v/>
      </c>
      <c r="W110" s="30" t="str">
        <f aca="false">IF($E110="","",ROUND(T110/$E110/U110,0)*U110)</f>
        <v/>
      </c>
      <c r="X110" s="14" t="str">
        <f aca="false">IF(NOT(ISNUMBER(E110)),"",IF(NOT(ISNUMBER(E111)),ROW(),X111))</f>
        <v/>
      </c>
    </row>
    <row r="111" customFormat="false" ht="15" hidden="false" customHeight="false" outlineLevel="0" collapsed="false">
      <c r="F111" s="66" t="str">
        <f aca="false">IF($E111="","",V111)</f>
        <v/>
      </c>
      <c r="G111" s="66" t="str">
        <f aca="false">IF($E111="","",ROUND(W111+IF($B111=Precificação!$B$26,$F$3/$E111,0),2))</f>
        <v/>
      </c>
      <c r="H111" s="30" t="str">
        <f aca="false">IF($E111="","",F111+G111)</f>
        <v/>
      </c>
      <c r="I111" s="30" t="str">
        <f aca="false">IF($E111="","",$E111*F111)</f>
        <v/>
      </c>
      <c r="J111" s="30" t="str">
        <f aca="false">IF($E111="","",$E111*G111)</f>
        <v/>
      </c>
      <c r="K111" s="30" t="str">
        <f aca="false">IF($E111="","",I111+J111)</f>
        <v/>
      </c>
      <c r="L111" s="53" t="str">
        <f aca="false">IF($E111="","",IF(R111=0,"SEM CUSTO — falta linha de custo","OK"))</f>
        <v/>
      </c>
      <c r="M111" s="67" t="str">
        <f aca="false">IF(AND(ISNUMBER(E111),NOT(ISNUMBER(E110))),"F"&amp;ROW()&amp;":G"&amp;X111,"")</f>
        <v/>
      </c>
      <c r="N111" s="30" t="str">
        <f aca="false">IF($E111="","",SUMIFS('Rateio Anexo'!$K$6:$K$600,'Rateio Anexo'!$D$6:$D$600,$B111,'Rateio Anexo'!$B$6:$B$600,"MAT"))</f>
        <v/>
      </c>
      <c r="O111" s="30" t="str">
        <f aca="false">IF($E111="","",SUMIFS('Rateio Anexo'!$K$6:$K$600,'Rateio Anexo'!$D$6:$D$600,$B111,'Rateio Anexo'!$B$6:$B$600,"MO"))</f>
        <v/>
      </c>
      <c r="P111" s="30" t="str">
        <f aca="false">IF($E111="","",IF($N$3=0,0,N111/$N$3*$R$4))</f>
        <v/>
      </c>
      <c r="Q111" s="30" t="str">
        <f aca="false">IF($E111="","",IF($O$3=0,0,O111/$O$3*$T$4))</f>
        <v/>
      </c>
      <c r="R111" s="30" t="str">
        <f aca="false">IF($E111="","",N111+O111+P111+Q111)</f>
        <v/>
      </c>
      <c r="S111" s="30" t="str">
        <f aca="false">IF($E111="","",(N111+P111)*Precificação!$B$19)</f>
        <v/>
      </c>
      <c r="T111" s="30" t="str">
        <f aca="false">IF($E111="","",(O111+Q111)*Precificação!$B$20)</f>
        <v/>
      </c>
      <c r="U111" s="68" t="str">
        <f aca="false">IF($E111="","",IF($E111=INT($E111),0.01,IF($E111*2=INT($E111*2),0.02,0.05)))</f>
        <v/>
      </c>
      <c r="V111" s="30" t="str">
        <f aca="false">IF($E111="","",ROUND(S111/$E111/U111,0)*U111)</f>
        <v/>
      </c>
      <c r="W111" s="30" t="str">
        <f aca="false">IF($E111="","",ROUND(T111/$E111/U111,0)*U111)</f>
        <v/>
      </c>
      <c r="X111" s="14" t="str">
        <f aca="false">IF(NOT(ISNUMBER(E111)),"",IF(NOT(ISNUMBER(E112)),ROW(),X112))</f>
        <v/>
      </c>
    </row>
    <row r="112" customFormat="false" ht="15" hidden="false" customHeight="false" outlineLevel="0" collapsed="false">
      <c r="F112" s="66" t="str">
        <f aca="false">IF($E112="","",V112)</f>
        <v/>
      </c>
      <c r="G112" s="66" t="str">
        <f aca="false">IF($E112="","",ROUND(W112+IF($B112=Precificação!$B$26,$F$3/$E112,0),2))</f>
        <v/>
      </c>
      <c r="H112" s="30" t="str">
        <f aca="false">IF($E112="","",F112+G112)</f>
        <v/>
      </c>
      <c r="I112" s="30" t="str">
        <f aca="false">IF($E112="","",$E112*F112)</f>
        <v/>
      </c>
      <c r="J112" s="30" t="str">
        <f aca="false">IF($E112="","",$E112*G112)</f>
        <v/>
      </c>
      <c r="K112" s="30" t="str">
        <f aca="false">IF($E112="","",I112+J112)</f>
        <v/>
      </c>
      <c r="L112" s="53" t="str">
        <f aca="false">IF($E112="","",IF(R112=0,"SEM CUSTO — falta linha de custo","OK"))</f>
        <v/>
      </c>
      <c r="M112" s="67" t="str">
        <f aca="false">IF(AND(ISNUMBER(E112),NOT(ISNUMBER(E111))),"F"&amp;ROW()&amp;":G"&amp;X112,"")</f>
        <v/>
      </c>
      <c r="N112" s="30" t="str">
        <f aca="false">IF($E112="","",SUMIFS('Rateio Anexo'!$K$6:$K$600,'Rateio Anexo'!$D$6:$D$600,$B112,'Rateio Anexo'!$B$6:$B$600,"MAT"))</f>
        <v/>
      </c>
      <c r="O112" s="30" t="str">
        <f aca="false">IF($E112="","",SUMIFS('Rateio Anexo'!$K$6:$K$600,'Rateio Anexo'!$D$6:$D$600,$B112,'Rateio Anexo'!$B$6:$B$600,"MO"))</f>
        <v/>
      </c>
      <c r="P112" s="30" t="str">
        <f aca="false">IF($E112="","",IF($N$3=0,0,N112/$N$3*$R$4))</f>
        <v/>
      </c>
      <c r="Q112" s="30" t="str">
        <f aca="false">IF($E112="","",IF($O$3=0,0,O112/$O$3*$T$4))</f>
        <v/>
      </c>
      <c r="R112" s="30" t="str">
        <f aca="false">IF($E112="","",N112+O112+P112+Q112)</f>
        <v/>
      </c>
      <c r="S112" s="30" t="str">
        <f aca="false">IF($E112="","",(N112+P112)*Precificação!$B$19)</f>
        <v/>
      </c>
      <c r="T112" s="30" t="str">
        <f aca="false">IF($E112="","",(O112+Q112)*Precificação!$B$20)</f>
        <v/>
      </c>
      <c r="U112" s="68" t="str">
        <f aca="false">IF($E112="","",IF($E112=INT($E112),0.01,IF($E112*2=INT($E112*2),0.02,0.05)))</f>
        <v/>
      </c>
      <c r="V112" s="30" t="str">
        <f aca="false">IF($E112="","",ROUND(S112/$E112/U112,0)*U112)</f>
        <v/>
      </c>
      <c r="W112" s="30" t="str">
        <f aca="false">IF($E112="","",ROUND(T112/$E112/U112,0)*U112)</f>
        <v/>
      </c>
      <c r="X112" s="14" t="str">
        <f aca="false">IF(NOT(ISNUMBER(E112)),"",IF(NOT(ISNUMBER(E113)),ROW(),X113))</f>
        <v/>
      </c>
    </row>
    <row r="113" customFormat="false" ht="15" hidden="false" customHeight="false" outlineLevel="0" collapsed="false">
      <c r="F113" s="66" t="str">
        <f aca="false">IF($E113="","",V113)</f>
        <v/>
      </c>
      <c r="G113" s="66" t="str">
        <f aca="false">IF($E113="","",ROUND(W113+IF($B113=Precificação!$B$26,$F$3/$E113,0),2))</f>
        <v/>
      </c>
      <c r="H113" s="30" t="str">
        <f aca="false">IF($E113="","",F113+G113)</f>
        <v/>
      </c>
      <c r="I113" s="30" t="str">
        <f aca="false">IF($E113="","",$E113*F113)</f>
        <v/>
      </c>
      <c r="J113" s="30" t="str">
        <f aca="false">IF($E113="","",$E113*G113)</f>
        <v/>
      </c>
      <c r="K113" s="30" t="str">
        <f aca="false">IF($E113="","",I113+J113)</f>
        <v/>
      </c>
      <c r="L113" s="53" t="str">
        <f aca="false">IF($E113="","",IF(R113=0,"SEM CUSTO — falta linha de custo","OK"))</f>
        <v/>
      </c>
      <c r="M113" s="67" t="str">
        <f aca="false">IF(AND(ISNUMBER(E113),NOT(ISNUMBER(E112))),"F"&amp;ROW()&amp;":G"&amp;X113,"")</f>
        <v/>
      </c>
      <c r="N113" s="30" t="str">
        <f aca="false">IF($E113="","",SUMIFS('Rateio Anexo'!$K$6:$K$600,'Rateio Anexo'!$D$6:$D$600,$B113,'Rateio Anexo'!$B$6:$B$600,"MAT"))</f>
        <v/>
      </c>
      <c r="O113" s="30" t="str">
        <f aca="false">IF($E113="","",SUMIFS('Rateio Anexo'!$K$6:$K$600,'Rateio Anexo'!$D$6:$D$600,$B113,'Rateio Anexo'!$B$6:$B$600,"MO"))</f>
        <v/>
      </c>
      <c r="P113" s="30" t="str">
        <f aca="false">IF($E113="","",IF($N$3=0,0,N113/$N$3*$R$4))</f>
        <v/>
      </c>
      <c r="Q113" s="30" t="str">
        <f aca="false">IF($E113="","",IF($O$3=0,0,O113/$O$3*$T$4))</f>
        <v/>
      </c>
      <c r="R113" s="30" t="str">
        <f aca="false">IF($E113="","",N113+O113+P113+Q113)</f>
        <v/>
      </c>
      <c r="S113" s="30" t="str">
        <f aca="false">IF($E113="","",(N113+P113)*Precificação!$B$19)</f>
        <v/>
      </c>
      <c r="T113" s="30" t="str">
        <f aca="false">IF($E113="","",(O113+Q113)*Precificação!$B$20)</f>
        <v/>
      </c>
      <c r="U113" s="68" t="str">
        <f aca="false">IF($E113="","",IF($E113=INT($E113),0.01,IF($E113*2=INT($E113*2),0.02,0.05)))</f>
        <v/>
      </c>
      <c r="V113" s="30" t="str">
        <f aca="false">IF($E113="","",ROUND(S113/$E113/U113,0)*U113)</f>
        <v/>
      </c>
      <c r="W113" s="30" t="str">
        <f aca="false">IF($E113="","",ROUND(T113/$E113/U113,0)*U113)</f>
        <v/>
      </c>
      <c r="X113" s="14" t="str">
        <f aca="false">IF(NOT(ISNUMBER(E113)),"",IF(NOT(ISNUMBER(E114)),ROW(),X114))</f>
        <v/>
      </c>
    </row>
    <row r="114" customFormat="false" ht="15" hidden="false" customHeight="false" outlineLevel="0" collapsed="false">
      <c r="F114" s="66" t="str">
        <f aca="false">IF($E114="","",V114)</f>
        <v/>
      </c>
      <c r="G114" s="66" t="str">
        <f aca="false">IF($E114="","",ROUND(W114+IF($B114=Precificação!$B$26,$F$3/$E114,0),2))</f>
        <v/>
      </c>
      <c r="H114" s="30" t="str">
        <f aca="false">IF($E114="","",F114+G114)</f>
        <v/>
      </c>
      <c r="I114" s="30" t="str">
        <f aca="false">IF($E114="","",$E114*F114)</f>
        <v/>
      </c>
      <c r="J114" s="30" t="str">
        <f aca="false">IF($E114="","",$E114*G114)</f>
        <v/>
      </c>
      <c r="K114" s="30" t="str">
        <f aca="false">IF($E114="","",I114+J114)</f>
        <v/>
      </c>
      <c r="L114" s="53" t="str">
        <f aca="false">IF($E114="","",IF(R114=0,"SEM CUSTO — falta linha de custo","OK"))</f>
        <v/>
      </c>
      <c r="M114" s="67" t="str">
        <f aca="false">IF(AND(ISNUMBER(E114),NOT(ISNUMBER(E113))),"F"&amp;ROW()&amp;":G"&amp;X114,"")</f>
        <v/>
      </c>
      <c r="N114" s="30" t="str">
        <f aca="false">IF($E114="","",SUMIFS('Rateio Anexo'!$K$6:$K$600,'Rateio Anexo'!$D$6:$D$600,$B114,'Rateio Anexo'!$B$6:$B$600,"MAT"))</f>
        <v/>
      </c>
      <c r="O114" s="30" t="str">
        <f aca="false">IF($E114="","",SUMIFS('Rateio Anexo'!$K$6:$K$600,'Rateio Anexo'!$D$6:$D$600,$B114,'Rateio Anexo'!$B$6:$B$600,"MO"))</f>
        <v/>
      </c>
      <c r="P114" s="30" t="str">
        <f aca="false">IF($E114="","",IF($N$3=0,0,N114/$N$3*$R$4))</f>
        <v/>
      </c>
      <c r="Q114" s="30" t="str">
        <f aca="false">IF($E114="","",IF($O$3=0,0,O114/$O$3*$T$4))</f>
        <v/>
      </c>
      <c r="R114" s="30" t="str">
        <f aca="false">IF($E114="","",N114+O114+P114+Q114)</f>
        <v/>
      </c>
      <c r="S114" s="30" t="str">
        <f aca="false">IF($E114="","",(N114+P114)*Precificação!$B$19)</f>
        <v/>
      </c>
      <c r="T114" s="30" t="str">
        <f aca="false">IF($E114="","",(O114+Q114)*Precificação!$B$20)</f>
        <v/>
      </c>
      <c r="U114" s="68" t="str">
        <f aca="false">IF($E114="","",IF($E114=INT($E114),0.01,IF($E114*2=INT($E114*2),0.02,0.05)))</f>
        <v/>
      </c>
      <c r="V114" s="30" t="str">
        <f aca="false">IF($E114="","",ROUND(S114/$E114/U114,0)*U114)</f>
        <v/>
      </c>
      <c r="W114" s="30" t="str">
        <f aca="false">IF($E114="","",ROUND(T114/$E114/U114,0)*U114)</f>
        <v/>
      </c>
      <c r="X114" s="14" t="str">
        <f aca="false">IF(NOT(ISNUMBER(E114)),"",IF(NOT(ISNUMBER(E115)),ROW(),X115))</f>
        <v/>
      </c>
    </row>
    <row r="115" customFormat="false" ht="15" hidden="false" customHeight="false" outlineLevel="0" collapsed="false">
      <c r="F115" s="66" t="str">
        <f aca="false">IF($E115="","",V115)</f>
        <v/>
      </c>
      <c r="G115" s="66" t="str">
        <f aca="false">IF($E115="","",ROUND(W115+IF($B115=Precificação!$B$26,$F$3/$E115,0),2))</f>
        <v/>
      </c>
      <c r="H115" s="30" t="str">
        <f aca="false">IF($E115="","",F115+G115)</f>
        <v/>
      </c>
      <c r="I115" s="30" t="str">
        <f aca="false">IF($E115="","",$E115*F115)</f>
        <v/>
      </c>
      <c r="J115" s="30" t="str">
        <f aca="false">IF($E115="","",$E115*G115)</f>
        <v/>
      </c>
      <c r="K115" s="30" t="str">
        <f aca="false">IF($E115="","",I115+J115)</f>
        <v/>
      </c>
      <c r="L115" s="53" t="str">
        <f aca="false">IF($E115="","",IF(R115=0,"SEM CUSTO — falta linha de custo","OK"))</f>
        <v/>
      </c>
      <c r="M115" s="67" t="str">
        <f aca="false">IF(AND(ISNUMBER(E115),NOT(ISNUMBER(E114))),"F"&amp;ROW()&amp;":G"&amp;X115,"")</f>
        <v/>
      </c>
      <c r="N115" s="30" t="str">
        <f aca="false">IF($E115="","",SUMIFS('Rateio Anexo'!$K$6:$K$600,'Rateio Anexo'!$D$6:$D$600,$B115,'Rateio Anexo'!$B$6:$B$600,"MAT"))</f>
        <v/>
      </c>
      <c r="O115" s="30" t="str">
        <f aca="false">IF($E115="","",SUMIFS('Rateio Anexo'!$K$6:$K$600,'Rateio Anexo'!$D$6:$D$600,$B115,'Rateio Anexo'!$B$6:$B$600,"MO"))</f>
        <v/>
      </c>
      <c r="P115" s="30" t="str">
        <f aca="false">IF($E115="","",IF($N$3=0,0,N115/$N$3*$R$4))</f>
        <v/>
      </c>
      <c r="Q115" s="30" t="str">
        <f aca="false">IF($E115="","",IF($O$3=0,0,O115/$O$3*$T$4))</f>
        <v/>
      </c>
      <c r="R115" s="30" t="str">
        <f aca="false">IF($E115="","",N115+O115+P115+Q115)</f>
        <v/>
      </c>
      <c r="S115" s="30" t="str">
        <f aca="false">IF($E115="","",(N115+P115)*Precificação!$B$19)</f>
        <v/>
      </c>
      <c r="T115" s="30" t="str">
        <f aca="false">IF($E115="","",(O115+Q115)*Precificação!$B$20)</f>
        <v/>
      </c>
      <c r="U115" s="68" t="str">
        <f aca="false">IF($E115="","",IF($E115=INT($E115),0.01,IF($E115*2=INT($E115*2),0.02,0.05)))</f>
        <v/>
      </c>
      <c r="V115" s="30" t="str">
        <f aca="false">IF($E115="","",ROUND(S115/$E115/U115,0)*U115)</f>
        <v/>
      </c>
      <c r="W115" s="30" t="str">
        <f aca="false">IF($E115="","",ROUND(T115/$E115/U115,0)*U115)</f>
        <v/>
      </c>
      <c r="X115" s="14" t="str">
        <f aca="false">IF(NOT(ISNUMBER(E115)),"",IF(NOT(ISNUMBER(E116)),ROW(),X116))</f>
        <v/>
      </c>
    </row>
    <row r="116" customFormat="false" ht="15" hidden="false" customHeight="false" outlineLevel="0" collapsed="false">
      <c r="F116" s="66" t="str">
        <f aca="false">IF($E116="","",V116)</f>
        <v/>
      </c>
      <c r="G116" s="66" t="str">
        <f aca="false">IF($E116="","",ROUND(W116+IF($B116=Precificação!$B$26,$F$3/$E116,0),2))</f>
        <v/>
      </c>
      <c r="H116" s="30" t="str">
        <f aca="false">IF($E116="","",F116+G116)</f>
        <v/>
      </c>
      <c r="I116" s="30" t="str">
        <f aca="false">IF($E116="","",$E116*F116)</f>
        <v/>
      </c>
      <c r="J116" s="30" t="str">
        <f aca="false">IF($E116="","",$E116*G116)</f>
        <v/>
      </c>
      <c r="K116" s="30" t="str">
        <f aca="false">IF($E116="","",I116+J116)</f>
        <v/>
      </c>
      <c r="L116" s="53" t="str">
        <f aca="false">IF($E116="","",IF(R116=0,"SEM CUSTO — falta linha de custo","OK"))</f>
        <v/>
      </c>
      <c r="M116" s="67" t="str">
        <f aca="false">IF(AND(ISNUMBER(E116),NOT(ISNUMBER(E115))),"F"&amp;ROW()&amp;":G"&amp;X116,"")</f>
        <v/>
      </c>
      <c r="N116" s="30" t="str">
        <f aca="false">IF($E116="","",SUMIFS('Rateio Anexo'!$K$6:$K$600,'Rateio Anexo'!$D$6:$D$600,$B116,'Rateio Anexo'!$B$6:$B$600,"MAT"))</f>
        <v/>
      </c>
      <c r="O116" s="30" t="str">
        <f aca="false">IF($E116="","",SUMIFS('Rateio Anexo'!$K$6:$K$600,'Rateio Anexo'!$D$6:$D$600,$B116,'Rateio Anexo'!$B$6:$B$600,"MO"))</f>
        <v/>
      </c>
      <c r="P116" s="30" t="str">
        <f aca="false">IF($E116="","",IF($N$3=0,0,N116/$N$3*$R$4))</f>
        <v/>
      </c>
      <c r="Q116" s="30" t="str">
        <f aca="false">IF($E116="","",IF($O$3=0,0,O116/$O$3*$T$4))</f>
        <v/>
      </c>
      <c r="R116" s="30" t="str">
        <f aca="false">IF($E116="","",N116+O116+P116+Q116)</f>
        <v/>
      </c>
      <c r="S116" s="30" t="str">
        <f aca="false">IF($E116="","",(N116+P116)*Precificação!$B$19)</f>
        <v/>
      </c>
      <c r="T116" s="30" t="str">
        <f aca="false">IF($E116="","",(O116+Q116)*Precificação!$B$20)</f>
        <v/>
      </c>
      <c r="U116" s="68" t="str">
        <f aca="false">IF($E116="","",IF($E116=INT($E116),0.01,IF($E116*2=INT($E116*2),0.02,0.05)))</f>
        <v/>
      </c>
      <c r="V116" s="30" t="str">
        <f aca="false">IF($E116="","",ROUND(S116/$E116/U116,0)*U116)</f>
        <v/>
      </c>
      <c r="W116" s="30" t="str">
        <f aca="false">IF($E116="","",ROUND(T116/$E116/U116,0)*U116)</f>
        <v/>
      </c>
      <c r="X116" s="14" t="str">
        <f aca="false">IF(NOT(ISNUMBER(E116)),"",IF(NOT(ISNUMBER(E117)),ROW(),X117))</f>
        <v/>
      </c>
    </row>
    <row r="117" customFormat="false" ht="15" hidden="false" customHeight="false" outlineLevel="0" collapsed="false">
      <c r="F117" s="66" t="str">
        <f aca="false">IF($E117="","",V117)</f>
        <v/>
      </c>
      <c r="G117" s="66" t="str">
        <f aca="false">IF($E117="","",ROUND(W117+IF($B117=Precificação!$B$26,$F$3/$E117,0),2))</f>
        <v/>
      </c>
      <c r="H117" s="30" t="str">
        <f aca="false">IF($E117="","",F117+G117)</f>
        <v/>
      </c>
      <c r="I117" s="30" t="str">
        <f aca="false">IF($E117="","",$E117*F117)</f>
        <v/>
      </c>
      <c r="J117" s="30" t="str">
        <f aca="false">IF($E117="","",$E117*G117)</f>
        <v/>
      </c>
      <c r="K117" s="30" t="str">
        <f aca="false">IF($E117="","",I117+J117)</f>
        <v/>
      </c>
      <c r="L117" s="53" t="str">
        <f aca="false">IF($E117="","",IF(R117=0,"SEM CUSTO — falta linha de custo","OK"))</f>
        <v/>
      </c>
      <c r="M117" s="67" t="str">
        <f aca="false">IF(AND(ISNUMBER(E117),NOT(ISNUMBER(E116))),"F"&amp;ROW()&amp;":G"&amp;X117,"")</f>
        <v/>
      </c>
      <c r="N117" s="30" t="str">
        <f aca="false">IF($E117="","",SUMIFS('Rateio Anexo'!$K$6:$K$600,'Rateio Anexo'!$D$6:$D$600,$B117,'Rateio Anexo'!$B$6:$B$600,"MAT"))</f>
        <v/>
      </c>
      <c r="O117" s="30" t="str">
        <f aca="false">IF($E117="","",SUMIFS('Rateio Anexo'!$K$6:$K$600,'Rateio Anexo'!$D$6:$D$600,$B117,'Rateio Anexo'!$B$6:$B$600,"MO"))</f>
        <v/>
      </c>
      <c r="P117" s="30" t="str">
        <f aca="false">IF($E117="","",IF($N$3=0,0,N117/$N$3*$R$4))</f>
        <v/>
      </c>
      <c r="Q117" s="30" t="str">
        <f aca="false">IF($E117="","",IF($O$3=0,0,O117/$O$3*$T$4))</f>
        <v/>
      </c>
      <c r="R117" s="30" t="str">
        <f aca="false">IF($E117="","",N117+O117+P117+Q117)</f>
        <v/>
      </c>
      <c r="S117" s="30" t="str">
        <f aca="false">IF($E117="","",(N117+P117)*Precificação!$B$19)</f>
        <v/>
      </c>
      <c r="T117" s="30" t="str">
        <f aca="false">IF($E117="","",(O117+Q117)*Precificação!$B$20)</f>
        <v/>
      </c>
      <c r="U117" s="68" t="str">
        <f aca="false">IF($E117="","",IF($E117=INT($E117),0.01,IF($E117*2=INT($E117*2),0.02,0.05)))</f>
        <v/>
      </c>
      <c r="V117" s="30" t="str">
        <f aca="false">IF($E117="","",ROUND(S117/$E117/U117,0)*U117)</f>
        <v/>
      </c>
      <c r="W117" s="30" t="str">
        <f aca="false">IF($E117="","",ROUND(T117/$E117/U117,0)*U117)</f>
        <v/>
      </c>
      <c r="X117" s="14" t="str">
        <f aca="false">IF(NOT(ISNUMBER(E117)),"",IF(NOT(ISNUMBER(E118)),ROW(),X118))</f>
        <v/>
      </c>
    </row>
    <row r="118" customFormat="false" ht="15" hidden="false" customHeight="false" outlineLevel="0" collapsed="false">
      <c r="F118" s="66" t="str">
        <f aca="false">IF($E118="","",V118)</f>
        <v/>
      </c>
      <c r="G118" s="66" t="str">
        <f aca="false">IF($E118="","",ROUND(W118+IF($B118=Precificação!$B$26,$F$3/$E118,0),2))</f>
        <v/>
      </c>
      <c r="H118" s="30" t="str">
        <f aca="false">IF($E118="","",F118+G118)</f>
        <v/>
      </c>
      <c r="I118" s="30" t="str">
        <f aca="false">IF($E118="","",$E118*F118)</f>
        <v/>
      </c>
      <c r="J118" s="30" t="str">
        <f aca="false">IF($E118="","",$E118*G118)</f>
        <v/>
      </c>
      <c r="K118" s="30" t="str">
        <f aca="false">IF($E118="","",I118+J118)</f>
        <v/>
      </c>
      <c r="L118" s="53" t="str">
        <f aca="false">IF($E118="","",IF(R118=0,"SEM CUSTO — falta linha de custo","OK"))</f>
        <v/>
      </c>
      <c r="M118" s="67" t="str">
        <f aca="false">IF(AND(ISNUMBER(E118),NOT(ISNUMBER(E117))),"F"&amp;ROW()&amp;":G"&amp;X118,"")</f>
        <v/>
      </c>
      <c r="N118" s="30" t="str">
        <f aca="false">IF($E118="","",SUMIFS('Rateio Anexo'!$K$6:$K$600,'Rateio Anexo'!$D$6:$D$600,$B118,'Rateio Anexo'!$B$6:$B$600,"MAT"))</f>
        <v/>
      </c>
      <c r="O118" s="30" t="str">
        <f aca="false">IF($E118="","",SUMIFS('Rateio Anexo'!$K$6:$K$600,'Rateio Anexo'!$D$6:$D$600,$B118,'Rateio Anexo'!$B$6:$B$600,"MO"))</f>
        <v/>
      </c>
      <c r="P118" s="30" t="str">
        <f aca="false">IF($E118="","",IF($N$3=0,0,N118/$N$3*$R$4))</f>
        <v/>
      </c>
      <c r="Q118" s="30" t="str">
        <f aca="false">IF($E118="","",IF($O$3=0,0,O118/$O$3*$T$4))</f>
        <v/>
      </c>
      <c r="R118" s="30" t="str">
        <f aca="false">IF($E118="","",N118+O118+P118+Q118)</f>
        <v/>
      </c>
      <c r="S118" s="30" t="str">
        <f aca="false">IF($E118="","",(N118+P118)*Precificação!$B$19)</f>
        <v/>
      </c>
      <c r="T118" s="30" t="str">
        <f aca="false">IF($E118="","",(O118+Q118)*Precificação!$B$20)</f>
        <v/>
      </c>
      <c r="U118" s="68" t="str">
        <f aca="false">IF($E118="","",IF($E118=INT($E118),0.01,IF($E118*2=INT($E118*2),0.02,0.05)))</f>
        <v/>
      </c>
      <c r="V118" s="30" t="str">
        <f aca="false">IF($E118="","",ROUND(S118/$E118/U118,0)*U118)</f>
        <v/>
      </c>
      <c r="W118" s="30" t="str">
        <f aca="false">IF($E118="","",ROUND(T118/$E118/U118,0)*U118)</f>
        <v/>
      </c>
      <c r="X118" s="14" t="str">
        <f aca="false">IF(NOT(ISNUMBER(E118)),"",IF(NOT(ISNUMBER(E119)),ROW(),X119))</f>
        <v/>
      </c>
    </row>
    <row r="119" customFormat="false" ht="15" hidden="false" customHeight="false" outlineLevel="0" collapsed="false">
      <c r="F119" s="66" t="str">
        <f aca="false">IF($E119="","",V119)</f>
        <v/>
      </c>
      <c r="G119" s="66" t="str">
        <f aca="false">IF($E119="","",ROUND(W119+IF($B119=Precificação!$B$26,$F$3/$E119,0),2))</f>
        <v/>
      </c>
      <c r="H119" s="30" t="str">
        <f aca="false">IF($E119="","",F119+G119)</f>
        <v/>
      </c>
      <c r="I119" s="30" t="str">
        <f aca="false">IF($E119="","",$E119*F119)</f>
        <v/>
      </c>
      <c r="J119" s="30" t="str">
        <f aca="false">IF($E119="","",$E119*G119)</f>
        <v/>
      </c>
      <c r="K119" s="30" t="str">
        <f aca="false">IF($E119="","",I119+J119)</f>
        <v/>
      </c>
      <c r="L119" s="53" t="str">
        <f aca="false">IF($E119="","",IF(R119=0,"SEM CUSTO — falta linha de custo","OK"))</f>
        <v/>
      </c>
      <c r="M119" s="67" t="str">
        <f aca="false">IF(AND(ISNUMBER(E119),NOT(ISNUMBER(E118))),"F"&amp;ROW()&amp;":G"&amp;X119,"")</f>
        <v/>
      </c>
      <c r="N119" s="30" t="str">
        <f aca="false">IF($E119="","",SUMIFS('Rateio Anexo'!$K$6:$K$600,'Rateio Anexo'!$D$6:$D$600,$B119,'Rateio Anexo'!$B$6:$B$600,"MAT"))</f>
        <v/>
      </c>
      <c r="O119" s="30" t="str">
        <f aca="false">IF($E119="","",SUMIFS('Rateio Anexo'!$K$6:$K$600,'Rateio Anexo'!$D$6:$D$600,$B119,'Rateio Anexo'!$B$6:$B$600,"MO"))</f>
        <v/>
      </c>
      <c r="P119" s="30" t="str">
        <f aca="false">IF($E119="","",IF($N$3=0,0,N119/$N$3*$R$4))</f>
        <v/>
      </c>
      <c r="Q119" s="30" t="str">
        <f aca="false">IF($E119="","",IF($O$3=0,0,O119/$O$3*$T$4))</f>
        <v/>
      </c>
      <c r="R119" s="30" t="str">
        <f aca="false">IF($E119="","",N119+O119+P119+Q119)</f>
        <v/>
      </c>
      <c r="S119" s="30" t="str">
        <f aca="false">IF($E119="","",(N119+P119)*Precificação!$B$19)</f>
        <v/>
      </c>
      <c r="T119" s="30" t="str">
        <f aca="false">IF($E119="","",(O119+Q119)*Precificação!$B$20)</f>
        <v/>
      </c>
      <c r="U119" s="68" t="str">
        <f aca="false">IF($E119="","",IF($E119=INT($E119),0.01,IF($E119*2=INT($E119*2),0.02,0.05)))</f>
        <v/>
      </c>
      <c r="V119" s="30" t="str">
        <f aca="false">IF($E119="","",ROUND(S119/$E119/U119,0)*U119)</f>
        <v/>
      </c>
      <c r="W119" s="30" t="str">
        <f aca="false">IF($E119="","",ROUND(T119/$E119/U119,0)*U119)</f>
        <v/>
      </c>
      <c r="X119" s="14" t="str">
        <f aca="false">IF(NOT(ISNUMBER(E119)),"",IF(NOT(ISNUMBER(E120)),ROW(),X120))</f>
        <v/>
      </c>
    </row>
    <row r="120" customFormat="false" ht="15" hidden="false" customHeight="false" outlineLevel="0" collapsed="false">
      <c r="F120" s="66" t="str">
        <f aca="false">IF($E120="","",V120)</f>
        <v/>
      </c>
      <c r="G120" s="66" t="str">
        <f aca="false">IF($E120="","",ROUND(W120+IF($B120=Precificação!$B$26,$F$3/$E120,0),2))</f>
        <v/>
      </c>
      <c r="H120" s="30" t="str">
        <f aca="false">IF($E120="","",F120+G120)</f>
        <v/>
      </c>
      <c r="I120" s="30" t="str">
        <f aca="false">IF($E120="","",$E120*F120)</f>
        <v/>
      </c>
      <c r="J120" s="30" t="str">
        <f aca="false">IF($E120="","",$E120*G120)</f>
        <v/>
      </c>
      <c r="K120" s="30" t="str">
        <f aca="false">IF($E120="","",I120+J120)</f>
        <v/>
      </c>
      <c r="L120" s="53" t="str">
        <f aca="false">IF($E120="","",IF(R120=0,"SEM CUSTO — falta linha de custo","OK"))</f>
        <v/>
      </c>
      <c r="M120" s="67" t="str">
        <f aca="false">IF(AND(ISNUMBER(E120),NOT(ISNUMBER(E119))),"F"&amp;ROW()&amp;":G"&amp;X120,"")</f>
        <v/>
      </c>
      <c r="N120" s="30" t="str">
        <f aca="false">IF($E120="","",SUMIFS('Rateio Anexo'!$K$6:$K$600,'Rateio Anexo'!$D$6:$D$600,$B120,'Rateio Anexo'!$B$6:$B$600,"MAT"))</f>
        <v/>
      </c>
      <c r="O120" s="30" t="str">
        <f aca="false">IF($E120="","",SUMIFS('Rateio Anexo'!$K$6:$K$600,'Rateio Anexo'!$D$6:$D$600,$B120,'Rateio Anexo'!$B$6:$B$600,"MO"))</f>
        <v/>
      </c>
      <c r="P120" s="30" t="str">
        <f aca="false">IF($E120="","",IF($N$3=0,0,N120/$N$3*$R$4))</f>
        <v/>
      </c>
      <c r="Q120" s="30" t="str">
        <f aca="false">IF($E120="","",IF($O$3=0,0,O120/$O$3*$T$4))</f>
        <v/>
      </c>
      <c r="R120" s="30" t="str">
        <f aca="false">IF($E120="","",N120+O120+P120+Q120)</f>
        <v/>
      </c>
      <c r="S120" s="30" t="str">
        <f aca="false">IF($E120="","",(N120+P120)*Precificação!$B$19)</f>
        <v/>
      </c>
      <c r="T120" s="30" t="str">
        <f aca="false">IF($E120="","",(O120+Q120)*Precificação!$B$20)</f>
        <v/>
      </c>
      <c r="U120" s="68" t="str">
        <f aca="false">IF($E120="","",IF($E120=INT($E120),0.01,IF($E120*2=INT($E120*2),0.02,0.05)))</f>
        <v/>
      </c>
      <c r="V120" s="30" t="str">
        <f aca="false">IF($E120="","",ROUND(S120/$E120/U120,0)*U120)</f>
        <v/>
      </c>
      <c r="W120" s="30" t="str">
        <f aca="false">IF($E120="","",ROUND(T120/$E120/U120,0)*U120)</f>
        <v/>
      </c>
      <c r="X120" s="14" t="str">
        <f aca="false">IF(NOT(ISNUMBER(E120)),"",IF(NOT(ISNUMBER(E121)),ROW(),X121))</f>
        <v/>
      </c>
    </row>
    <row r="121" customFormat="false" ht="15" hidden="false" customHeight="false" outlineLevel="0" collapsed="false">
      <c r="F121" s="66" t="str">
        <f aca="false">IF($E121="","",V121)</f>
        <v/>
      </c>
      <c r="G121" s="66" t="str">
        <f aca="false">IF($E121="","",ROUND(W121+IF($B121=Precificação!$B$26,$F$3/$E121,0),2))</f>
        <v/>
      </c>
      <c r="H121" s="30" t="str">
        <f aca="false">IF($E121="","",F121+G121)</f>
        <v/>
      </c>
      <c r="I121" s="30" t="str">
        <f aca="false">IF($E121="","",$E121*F121)</f>
        <v/>
      </c>
      <c r="J121" s="30" t="str">
        <f aca="false">IF($E121="","",$E121*G121)</f>
        <v/>
      </c>
      <c r="K121" s="30" t="str">
        <f aca="false">IF($E121="","",I121+J121)</f>
        <v/>
      </c>
      <c r="L121" s="53" t="str">
        <f aca="false">IF($E121="","",IF(R121=0,"SEM CUSTO — falta linha de custo","OK"))</f>
        <v/>
      </c>
      <c r="M121" s="67" t="str">
        <f aca="false">IF(AND(ISNUMBER(E121),NOT(ISNUMBER(E120))),"F"&amp;ROW()&amp;":G"&amp;X121,"")</f>
        <v/>
      </c>
      <c r="N121" s="30" t="str">
        <f aca="false">IF($E121="","",SUMIFS('Rateio Anexo'!$K$6:$K$600,'Rateio Anexo'!$D$6:$D$600,$B121,'Rateio Anexo'!$B$6:$B$600,"MAT"))</f>
        <v/>
      </c>
      <c r="O121" s="30" t="str">
        <f aca="false">IF($E121="","",SUMIFS('Rateio Anexo'!$K$6:$K$600,'Rateio Anexo'!$D$6:$D$600,$B121,'Rateio Anexo'!$B$6:$B$600,"MO"))</f>
        <v/>
      </c>
      <c r="P121" s="30" t="str">
        <f aca="false">IF($E121="","",IF($N$3=0,0,N121/$N$3*$R$4))</f>
        <v/>
      </c>
      <c r="Q121" s="30" t="str">
        <f aca="false">IF($E121="","",IF($O$3=0,0,O121/$O$3*$T$4))</f>
        <v/>
      </c>
      <c r="R121" s="30" t="str">
        <f aca="false">IF($E121="","",N121+O121+P121+Q121)</f>
        <v/>
      </c>
      <c r="S121" s="30" t="str">
        <f aca="false">IF($E121="","",(N121+P121)*Precificação!$B$19)</f>
        <v/>
      </c>
      <c r="T121" s="30" t="str">
        <f aca="false">IF($E121="","",(O121+Q121)*Precificação!$B$20)</f>
        <v/>
      </c>
      <c r="U121" s="68" t="str">
        <f aca="false">IF($E121="","",IF($E121=INT($E121),0.01,IF($E121*2=INT($E121*2),0.02,0.05)))</f>
        <v/>
      </c>
      <c r="V121" s="30" t="str">
        <f aca="false">IF($E121="","",ROUND(S121/$E121/U121,0)*U121)</f>
        <v/>
      </c>
      <c r="W121" s="30" t="str">
        <f aca="false">IF($E121="","",ROUND(T121/$E121/U121,0)*U121)</f>
        <v/>
      </c>
      <c r="X121" s="14" t="str">
        <f aca="false">IF(NOT(ISNUMBER(E121)),"",IF(NOT(ISNUMBER(E122)),ROW(),X122))</f>
        <v/>
      </c>
    </row>
    <row r="122" customFormat="false" ht="15" hidden="false" customHeight="false" outlineLevel="0" collapsed="false">
      <c r="F122" s="66" t="str">
        <f aca="false">IF($E122="","",V122)</f>
        <v/>
      </c>
      <c r="G122" s="66" t="str">
        <f aca="false">IF($E122="","",ROUND(W122+IF($B122=Precificação!$B$26,$F$3/$E122,0),2))</f>
        <v/>
      </c>
      <c r="H122" s="30" t="str">
        <f aca="false">IF($E122="","",F122+G122)</f>
        <v/>
      </c>
      <c r="I122" s="30" t="str">
        <f aca="false">IF($E122="","",$E122*F122)</f>
        <v/>
      </c>
      <c r="J122" s="30" t="str">
        <f aca="false">IF($E122="","",$E122*G122)</f>
        <v/>
      </c>
      <c r="K122" s="30" t="str">
        <f aca="false">IF($E122="","",I122+J122)</f>
        <v/>
      </c>
      <c r="L122" s="53" t="str">
        <f aca="false">IF($E122="","",IF(R122=0,"SEM CUSTO — falta linha de custo","OK"))</f>
        <v/>
      </c>
      <c r="M122" s="67" t="str">
        <f aca="false">IF(AND(ISNUMBER(E122),NOT(ISNUMBER(E121))),"F"&amp;ROW()&amp;":G"&amp;X122,"")</f>
        <v/>
      </c>
      <c r="N122" s="30" t="str">
        <f aca="false">IF($E122="","",SUMIFS('Rateio Anexo'!$K$6:$K$600,'Rateio Anexo'!$D$6:$D$600,$B122,'Rateio Anexo'!$B$6:$B$600,"MAT"))</f>
        <v/>
      </c>
      <c r="O122" s="30" t="str">
        <f aca="false">IF($E122="","",SUMIFS('Rateio Anexo'!$K$6:$K$600,'Rateio Anexo'!$D$6:$D$600,$B122,'Rateio Anexo'!$B$6:$B$600,"MO"))</f>
        <v/>
      </c>
      <c r="P122" s="30" t="str">
        <f aca="false">IF($E122="","",IF($N$3=0,0,N122/$N$3*$R$4))</f>
        <v/>
      </c>
      <c r="Q122" s="30" t="str">
        <f aca="false">IF($E122="","",IF($O$3=0,0,O122/$O$3*$T$4))</f>
        <v/>
      </c>
      <c r="R122" s="30" t="str">
        <f aca="false">IF($E122="","",N122+O122+P122+Q122)</f>
        <v/>
      </c>
      <c r="S122" s="30" t="str">
        <f aca="false">IF($E122="","",(N122+P122)*Precificação!$B$19)</f>
        <v/>
      </c>
      <c r="T122" s="30" t="str">
        <f aca="false">IF($E122="","",(O122+Q122)*Precificação!$B$20)</f>
        <v/>
      </c>
      <c r="U122" s="68" t="str">
        <f aca="false">IF($E122="","",IF($E122=INT($E122),0.01,IF($E122*2=INT($E122*2),0.02,0.05)))</f>
        <v/>
      </c>
      <c r="V122" s="30" t="str">
        <f aca="false">IF($E122="","",ROUND(S122/$E122/U122,0)*U122)</f>
        <v/>
      </c>
      <c r="W122" s="30" t="str">
        <f aca="false">IF($E122="","",ROUND(T122/$E122/U122,0)*U122)</f>
        <v/>
      </c>
      <c r="X122" s="14" t="str">
        <f aca="false">IF(NOT(ISNUMBER(E122)),"",IF(NOT(ISNUMBER(E123)),ROW(),X123))</f>
        <v/>
      </c>
    </row>
    <row r="123" customFormat="false" ht="15" hidden="false" customHeight="false" outlineLevel="0" collapsed="false">
      <c r="F123" s="66" t="str">
        <f aca="false">IF($E123="","",V123)</f>
        <v/>
      </c>
      <c r="G123" s="66" t="str">
        <f aca="false">IF($E123="","",ROUND(W123+IF($B123=Precificação!$B$26,$F$3/$E123,0),2))</f>
        <v/>
      </c>
      <c r="H123" s="30" t="str">
        <f aca="false">IF($E123="","",F123+G123)</f>
        <v/>
      </c>
      <c r="I123" s="30" t="str">
        <f aca="false">IF($E123="","",$E123*F123)</f>
        <v/>
      </c>
      <c r="J123" s="30" t="str">
        <f aca="false">IF($E123="","",$E123*G123)</f>
        <v/>
      </c>
      <c r="K123" s="30" t="str">
        <f aca="false">IF($E123="","",I123+J123)</f>
        <v/>
      </c>
      <c r="L123" s="53" t="str">
        <f aca="false">IF($E123="","",IF(R123=0,"SEM CUSTO — falta linha de custo","OK"))</f>
        <v/>
      </c>
      <c r="M123" s="67" t="str">
        <f aca="false">IF(AND(ISNUMBER(E123),NOT(ISNUMBER(E122))),"F"&amp;ROW()&amp;":G"&amp;X123,"")</f>
        <v/>
      </c>
      <c r="N123" s="30" t="str">
        <f aca="false">IF($E123="","",SUMIFS('Rateio Anexo'!$K$6:$K$600,'Rateio Anexo'!$D$6:$D$600,$B123,'Rateio Anexo'!$B$6:$B$600,"MAT"))</f>
        <v/>
      </c>
      <c r="O123" s="30" t="str">
        <f aca="false">IF($E123="","",SUMIFS('Rateio Anexo'!$K$6:$K$600,'Rateio Anexo'!$D$6:$D$600,$B123,'Rateio Anexo'!$B$6:$B$600,"MO"))</f>
        <v/>
      </c>
      <c r="P123" s="30" t="str">
        <f aca="false">IF($E123="","",IF($N$3=0,0,N123/$N$3*$R$4))</f>
        <v/>
      </c>
      <c r="Q123" s="30" t="str">
        <f aca="false">IF($E123="","",IF($O$3=0,0,O123/$O$3*$T$4))</f>
        <v/>
      </c>
      <c r="R123" s="30" t="str">
        <f aca="false">IF($E123="","",N123+O123+P123+Q123)</f>
        <v/>
      </c>
      <c r="S123" s="30" t="str">
        <f aca="false">IF($E123="","",(N123+P123)*Precificação!$B$19)</f>
        <v/>
      </c>
      <c r="T123" s="30" t="str">
        <f aca="false">IF($E123="","",(O123+Q123)*Precificação!$B$20)</f>
        <v/>
      </c>
      <c r="U123" s="68" t="str">
        <f aca="false">IF($E123="","",IF($E123=INT($E123),0.01,IF($E123*2=INT($E123*2),0.02,0.05)))</f>
        <v/>
      </c>
      <c r="V123" s="30" t="str">
        <f aca="false">IF($E123="","",ROUND(S123/$E123/U123,0)*U123)</f>
        <v/>
      </c>
      <c r="W123" s="30" t="str">
        <f aca="false">IF($E123="","",ROUND(T123/$E123/U123,0)*U123)</f>
        <v/>
      </c>
      <c r="X123" s="14" t="str">
        <f aca="false">IF(NOT(ISNUMBER(E123)),"",IF(NOT(ISNUMBER(E124)),ROW(),X124))</f>
        <v/>
      </c>
    </row>
    <row r="124" customFormat="false" ht="15" hidden="false" customHeight="false" outlineLevel="0" collapsed="false">
      <c r="F124" s="66" t="str">
        <f aca="false">IF($E124="","",V124)</f>
        <v/>
      </c>
      <c r="G124" s="66" t="str">
        <f aca="false">IF($E124="","",ROUND(W124+IF($B124=Precificação!$B$26,$F$3/$E124,0),2))</f>
        <v/>
      </c>
      <c r="H124" s="30" t="str">
        <f aca="false">IF($E124="","",F124+G124)</f>
        <v/>
      </c>
      <c r="I124" s="30" t="str">
        <f aca="false">IF($E124="","",$E124*F124)</f>
        <v/>
      </c>
      <c r="J124" s="30" t="str">
        <f aca="false">IF($E124="","",$E124*G124)</f>
        <v/>
      </c>
      <c r="K124" s="30" t="str">
        <f aca="false">IF($E124="","",I124+J124)</f>
        <v/>
      </c>
      <c r="L124" s="53" t="str">
        <f aca="false">IF($E124="","",IF(R124=0,"SEM CUSTO — falta linha de custo","OK"))</f>
        <v/>
      </c>
      <c r="M124" s="67" t="str">
        <f aca="false">IF(AND(ISNUMBER(E124),NOT(ISNUMBER(E123))),"F"&amp;ROW()&amp;":G"&amp;X124,"")</f>
        <v/>
      </c>
      <c r="N124" s="30" t="str">
        <f aca="false">IF($E124="","",SUMIFS('Rateio Anexo'!$K$6:$K$600,'Rateio Anexo'!$D$6:$D$600,$B124,'Rateio Anexo'!$B$6:$B$600,"MAT"))</f>
        <v/>
      </c>
      <c r="O124" s="30" t="str">
        <f aca="false">IF($E124="","",SUMIFS('Rateio Anexo'!$K$6:$K$600,'Rateio Anexo'!$D$6:$D$600,$B124,'Rateio Anexo'!$B$6:$B$600,"MO"))</f>
        <v/>
      </c>
      <c r="P124" s="30" t="str">
        <f aca="false">IF($E124="","",IF($N$3=0,0,N124/$N$3*$R$4))</f>
        <v/>
      </c>
      <c r="Q124" s="30" t="str">
        <f aca="false">IF($E124="","",IF($O$3=0,0,O124/$O$3*$T$4))</f>
        <v/>
      </c>
      <c r="R124" s="30" t="str">
        <f aca="false">IF($E124="","",N124+O124+P124+Q124)</f>
        <v/>
      </c>
      <c r="S124" s="30" t="str">
        <f aca="false">IF($E124="","",(N124+P124)*Precificação!$B$19)</f>
        <v/>
      </c>
      <c r="T124" s="30" t="str">
        <f aca="false">IF($E124="","",(O124+Q124)*Precificação!$B$20)</f>
        <v/>
      </c>
      <c r="U124" s="68" t="str">
        <f aca="false">IF($E124="","",IF($E124=INT($E124),0.01,IF($E124*2=INT($E124*2),0.02,0.05)))</f>
        <v/>
      </c>
      <c r="V124" s="30" t="str">
        <f aca="false">IF($E124="","",ROUND(S124/$E124/U124,0)*U124)</f>
        <v/>
      </c>
      <c r="W124" s="30" t="str">
        <f aca="false">IF($E124="","",ROUND(T124/$E124/U124,0)*U124)</f>
        <v/>
      </c>
      <c r="X124" s="14" t="str">
        <f aca="false">IF(NOT(ISNUMBER(E124)),"",IF(NOT(ISNUMBER(E125)),ROW(),X125))</f>
        <v/>
      </c>
    </row>
    <row r="125" customFormat="false" ht="15" hidden="false" customHeight="false" outlineLevel="0" collapsed="false">
      <c r="F125" s="66" t="str">
        <f aca="false">IF($E125="","",V125)</f>
        <v/>
      </c>
      <c r="G125" s="66" t="str">
        <f aca="false">IF($E125="","",ROUND(W125+IF($B125=Precificação!$B$26,$F$3/$E125,0),2))</f>
        <v/>
      </c>
      <c r="H125" s="30" t="str">
        <f aca="false">IF($E125="","",F125+G125)</f>
        <v/>
      </c>
      <c r="I125" s="30" t="str">
        <f aca="false">IF($E125="","",$E125*F125)</f>
        <v/>
      </c>
      <c r="J125" s="30" t="str">
        <f aca="false">IF($E125="","",$E125*G125)</f>
        <v/>
      </c>
      <c r="K125" s="30" t="str">
        <f aca="false">IF($E125="","",I125+J125)</f>
        <v/>
      </c>
      <c r="L125" s="53" t="str">
        <f aca="false">IF($E125="","",IF(R125=0,"SEM CUSTO — falta linha de custo","OK"))</f>
        <v/>
      </c>
      <c r="M125" s="67" t="str">
        <f aca="false">IF(AND(ISNUMBER(E125),NOT(ISNUMBER(E124))),"F"&amp;ROW()&amp;":G"&amp;X125,"")</f>
        <v/>
      </c>
      <c r="N125" s="30" t="str">
        <f aca="false">IF($E125="","",SUMIFS('Rateio Anexo'!$K$6:$K$600,'Rateio Anexo'!$D$6:$D$600,$B125,'Rateio Anexo'!$B$6:$B$600,"MAT"))</f>
        <v/>
      </c>
      <c r="O125" s="30" t="str">
        <f aca="false">IF($E125="","",SUMIFS('Rateio Anexo'!$K$6:$K$600,'Rateio Anexo'!$D$6:$D$600,$B125,'Rateio Anexo'!$B$6:$B$600,"MO"))</f>
        <v/>
      </c>
      <c r="P125" s="30" t="str">
        <f aca="false">IF($E125="","",IF($N$3=0,0,N125/$N$3*$R$4))</f>
        <v/>
      </c>
      <c r="Q125" s="30" t="str">
        <f aca="false">IF($E125="","",IF($O$3=0,0,O125/$O$3*$T$4))</f>
        <v/>
      </c>
      <c r="R125" s="30" t="str">
        <f aca="false">IF($E125="","",N125+O125+P125+Q125)</f>
        <v/>
      </c>
      <c r="S125" s="30" t="str">
        <f aca="false">IF($E125="","",(N125+P125)*Precificação!$B$19)</f>
        <v/>
      </c>
      <c r="T125" s="30" t="str">
        <f aca="false">IF($E125="","",(O125+Q125)*Precificação!$B$20)</f>
        <v/>
      </c>
      <c r="U125" s="68" t="str">
        <f aca="false">IF($E125="","",IF($E125=INT($E125),0.01,IF($E125*2=INT($E125*2),0.02,0.05)))</f>
        <v/>
      </c>
      <c r="V125" s="30" t="str">
        <f aca="false">IF($E125="","",ROUND(S125/$E125/U125,0)*U125)</f>
        <v/>
      </c>
      <c r="W125" s="30" t="str">
        <f aca="false">IF($E125="","",ROUND(T125/$E125/U125,0)*U125)</f>
        <v/>
      </c>
      <c r="X125" s="14" t="str">
        <f aca="false">IF(NOT(ISNUMBER(E125)),"",IF(NOT(ISNUMBER(E126)),ROW(),X126))</f>
        <v/>
      </c>
    </row>
    <row r="126" customFormat="false" ht="15" hidden="false" customHeight="false" outlineLevel="0" collapsed="false">
      <c r="F126" s="66" t="str">
        <f aca="false">IF($E126="","",V126)</f>
        <v/>
      </c>
      <c r="G126" s="66" t="str">
        <f aca="false">IF($E126="","",ROUND(W126+IF($B126=Precificação!$B$26,$F$3/$E126,0),2))</f>
        <v/>
      </c>
      <c r="H126" s="30" t="str">
        <f aca="false">IF($E126="","",F126+G126)</f>
        <v/>
      </c>
      <c r="I126" s="30" t="str">
        <f aca="false">IF($E126="","",$E126*F126)</f>
        <v/>
      </c>
      <c r="J126" s="30" t="str">
        <f aca="false">IF($E126="","",$E126*G126)</f>
        <v/>
      </c>
      <c r="K126" s="30" t="str">
        <f aca="false">IF($E126="","",I126+J126)</f>
        <v/>
      </c>
      <c r="L126" s="53" t="str">
        <f aca="false">IF($E126="","",IF(R126=0,"SEM CUSTO — falta linha de custo","OK"))</f>
        <v/>
      </c>
      <c r="M126" s="67" t="str">
        <f aca="false">IF(AND(ISNUMBER(E126),NOT(ISNUMBER(E125))),"F"&amp;ROW()&amp;":G"&amp;X126,"")</f>
        <v/>
      </c>
      <c r="N126" s="30" t="str">
        <f aca="false">IF($E126="","",SUMIFS('Rateio Anexo'!$K$6:$K$600,'Rateio Anexo'!$D$6:$D$600,$B126,'Rateio Anexo'!$B$6:$B$600,"MAT"))</f>
        <v/>
      </c>
      <c r="O126" s="30" t="str">
        <f aca="false">IF($E126="","",SUMIFS('Rateio Anexo'!$K$6:$K$600,'Rateio Anexo'!$D$6:$D$600,$B126,'Rateio Anexo'!$B$6:$B$600,"MO"))</f>
        <v/>
      </c>
      <c r="P126" s="30" t="str">
        <f aca="false">IF($E126="","",IF($N$3=0,0,N126/$N$3*$R$4))</f>
        <v/>
      </c>
      <c r="Q126" s="30" t="str">
        <f aca="false">IF($E126="","",IF($O$3=0,0,O126/$O$3*$T$4))</f>
        <v/>
      </c>
      <c r="R126" s="30" t="str">
        <f aca="false">IF($E126="","",N126+O126+P126+Q126)</f>
        <v/>
      </c>
      <c r="S126" s="30" t="str">
        <f aca="false">IF($E126="","",(N126+P126)*Precificação!$B$19)</f>
        <v/>
      </c>
      <c r="T126" s="30" t="str">
        <f aca="false">IF($E126="","",(O126+Q126)*Precificação!$B$20)</f>
        <v/>
      </c>
      <c r="U126" s="68" t="str">
        <f aca="false">IF($E126="","",IF($E126=INT($E126),0.01,IF($E126*2=INT($E126*2),0.02,0.05)))</f>
        <v/>
      </c>
      <c r="V126" s="30" t="str">
        <f aca="false">IF($E126="","",ROUND(S126/$E126/U126,0)*U126)</f>
        <v/>
      </c>
      <c r="W126" s="30" t="str">
        <f aca="false">IF($E126="","",ROUND(T126/$E126/U126,0)*U126)</f>
        <v/>
      </c>
      <c r="X126" s="14" t="str">
        <f aca="false">IF(NOT(ISNUMBER(E126)),"",IF(NOT(ISNUMBER(E127)),ROW(),X127))</f>
        <v/>
      </c>
    </row>
    <row r="127" customFormat="false" ht="15" hidden="false" customHeight="false" outlineLevel="0" collapsed="false">
      <c r="F127" s="66" t="str">
        <f aca="false">IF($E127="","",V127)</f>
        <v/>
      </c>
      <c r="G127" s="66" t="str">
        <f aca="false">IF($E127="","",ROUND(W127+IF($B127=Precificação!$B$26,$F$3/$E127,0),2))</f>
        <v/>
      </c>
      <c r="H127" s="30" t="str">
        <f aca="false">IF($E127="","",F127+G127)</f>
        <v/>
      </c>
      <c r="I127" s="30" t="str">
        <f aca="false">IF($E127="","",$E127*F127)</f>
        <v/>
      </c>
      <c r="J127" s="30" t="str">
        <f aca="false">IF($E127="","",$E127*G127)</f>
        <v/>
      </c>
      <c r="K127" s="30" t="str">
        <f aca="false">IF($E127="","",I127+J127)</f>
        <v/>
      </c>
      <c r="L127" s="53" t="str">
        <f aca="false">IF($E127="","",IF(R127=0,"SEM CUSTO — falta linha de custo","OK"))</f>
        <v/>
      </c>
      <c r="M127" s="67" t="str">
        <f aca="false">IF(AND(ISNUMBER(E127),NOT(ISNUMBER(E126))),"F"&amp;ROW()&amp;":G"&amp;X127,"")</f>
        <v/>
      </c>
      <c r="N127" s="30" t="str">
        <f aca="false">IF($E127="","",SUMIFS('Rateio Anexo'!$K$6:$K$600,'Rateio Anexo'!$D$6:$D$600,$B127,'Rateio Anexo'!$B$6:$B$600,"MAT"))</f>
        <v/>
      </c>
      <c r="O127" s="30" t="str">
        <f aca="false">IF($E127="","",SUMIFS('Rateio Anexo'!$K$6:$K$600,'Rateio Anexo'!$D$6:$D$600,$B127,'Rateio Anexo'!$B$6:$B$600,"MO"))</f>
        <v/>
      </c>
      <c r="P127" s="30" t="str">
        <f aca="false">IF($E127="","",IF($N$3=0,0,N127/$N$3*$R$4))</f>
        <v/>
      </c>
      <c r="Q127" s="30" t="str">
        <f aca="false">IF($E127="","",IF($O$3=0,0,O127/$O$3*$T$4))</f>
        <v/>
      </c>
      <c r="R127" s="30" t="str">
        <f aca="false">IF($E127="","",N127+O127+P127+Q127)</f>
        <v/>
      </c>
      <c r="S127" s="30" t="str">
        <f aca="false">IF($E127="","",(N127+P127)*Precificação!$B$19)</f>
        <v/>
      </c>
      <c r="T127" s="30" t="str">
        <f aca="false">IF($E127="","",(O127+Q127)*Precificação!$B$20)</f>
        <v/>
      </c>
      <c r="U127" s="68" t="str">
        <f aca="false">IF($E127="","",IF($E127=INT($E127),0.01,IF($E127*2=INT($E127*2),0.02,0.05)))</f>
        <v/>
      </c>
      <c r="V127" s="30" t="str">
        <f aca="false">IF($E127="","",ROUND(S127/$E127/U127,0)*U127)</f>
        <v/>
      </c>
      <c r="W127" s="30" t="str">
        <f aca="false">IF($E127="","",ROUND(T127/$E127/U127,0)*U127)</f>
        <v/>
      </c>
      <c r="X127" s="14" t="str">
        <f aca="false">IF(NOT(ISNUMBER(E127)),"",IF(NOT(ISNUMBER(E128)),ROW(),X128))</f>
        <v/>
      </c>
    </row>
    <row r="128" customFormat="false" ht="15" hidden="false" customHeight="false" outlineLevel="0" collapsed="false">
      <c r="F128" s="66" t="str">
        <f aca="false">IF($E128="","",V128)</f>
        <v/>
      </c>
      <c r="G128" s="66" t="str">
        <f aca="false">IF($E128="","",ROUND(W128+IF($B128=Precificação!$B$26,$F$3/$E128,0),2))</f>
        <v/>
      </c>
      <c r="H128" s="30" t="str">
        <f aca="false">IF($E128="","",F128+G128)</f>
        <v/>
      </c>
      <c r="I128" s="30" t="str">
        <f aca="false">IF($E128="","",$E128*F128)</f>
        <v/>
      </c>
      <c r="J128" s="30" t="str">
        <f aca="false">IF($E128="","",$E128*G128)</f>
        <v/>
      </c>
      <c r="K128" s="30" t="str">
        <f aca="false">IF($E128="","",I128+J128)</f>
        <v/>
      </c>
      <c r="L128" s="53" t="str">
        <f aca="false">IF($E128="","",IF(R128=0,"SEM CUSTO — falta linha de custo","OK"))</f>
        <v/>
      </c>
      <c r="M128" s="67" t="str">
        <f aca="false">IF(AND(ISNUMBER(E128),NOT(ISNUMBER(E127))),"F"&amp;ROW()&amp;":G"&amp;X128,"")</f>
        <v/>
      </c>
      <c r="N128" s="30" t="str">
        <f aca="false">IF($E128="","",SUMIFS('Rateio Anexo'!$K$6:$K$600,'Rateio Anexo'!$D$6:$D$600,$B128,'Rateio Anexo'!$B$6:$B$600,"MAT"))</f>
        <v/>
      </c>
      <c r="O128" s="30" t="str">
        <f aca="false">IF($E128="","",SUMIFS('Rateio Anexo'!$K$6:$K$600,'Rateio Anexo'!$D$6:$D$600,$B128,'Rateio Anexo'!$B$6:$B$600,"MO"))</f>
        <v/>
      </c>
      <c r="P128" s="30" t="str">
        <f aca="false">IF($E128="","",IF($N$3=0,0,N128/$N$3*$R$4))</f>
        <v/>
      </c>
      <c r="Q128" s="30" t="str">
        <f aca="false">IF($E128="","",IF($O$3=0,0,O128/$O$3*$T$4))</f>
        <v/>
      </c>
      <c r="R128" s="30" t="str">
        <f aca="false">IF($E128="","",N128+O128+P128+Q128)</f>
        <v/>
      </c>
      <c r="S128" s="30" t="str">
        <f aca="false">IF($E128="","",(N128+P128)*Precificação!$B$19)</f>
        <v/>
      </c>
      <c r="T128" s="30" t="str">
        <f aca="false">IF($E128="","",(O128+Q128)*Precificação!$B$20)</f>
        <v/>
      </c>
      <c r="U128" s="68" t="str">
        <f aca="false">IF($E128="","",IF($E128=INT($E128),0.01,IF($E128*2=INT($E128*2),0.02,0.05)))</f>
        <v/>
      </c>
      <c r="V128" s="30" t="str">
        <f aca="false">IF($E128="","",ROUND(S128/$E128/U128,0)*U128)</f>
        <v/>
      </c>
      <c r="W128" s="30" t="str">
        <f aca="false">IF($E128="","",ROUND(T128/$E128/U128,0)*U128)</f>
        <v/>
      </c>
      <c r="X128" s="14" t="str">
        <f aca="false">IF(NOT(ISNUMBER(E128)),"",IF(NOT(ISNUMBER(E129)),ROW(),X129))</f>
        <v/>
      </c>
    </row>
    <row r="129" customFormat="false" ht="15" hidden="false" customHeight="false" outlineLevel="0" collapsed="false">
      <c r="F129" s="66" t="str">
        <f aca="false">IF($E129="","",V129)</f>
        <v/>
      </c>
      <c r="G129" s="66" t="str">
        <f aca="false">IF($E129="","",ROUND(W129+IF($B129=Precificação!$B$26,$F$3/$E129,0),2))</f>
        <v/>
      </c>
      <c r="H129" s="30" t="str">
        <f aca="false">IF($E129="","",F129+G129)</f>
        <v/>
      </c>
      <c r="I129" s="30" t="str">
        <f aca="false">IF($E129="","",$E129*F129)</f>
        <v/>
      </c>
      <c r="J129" s="30" t="str">
        <f aca="false">IF($E129="","",$E129*G129)</f>
        <v/>
      </c>
      <c r="K129" s="30" t="str">
        <f aca="false">IF($E129="","",I129+J129)</f>
        <v/>
      </c>
      <c r="L129" s="53" t="str">
        <f aca="false">IF($E129="","",IF(R129=0,"SEM CUSTO — falta linha de custo","OK"))</f>
        <v/>
      </c>
      <c r="M129" s="67" t="str">
        <f aca="false">IF(AND(ISNUMBER(E129),NOT(ISNUMBER(E128))),"F"&amp;ROW()&amp;":G"&amp;X129,"")</f>
        <v/>
      </c>
      <c r="N129" s="30" t="str">
        <f aca="false">IF($E129="","",SUMIFS('Rateio Anexo'!$K$6:$K$600,'Rateio Anexo'!$D$6:$D$600,$B129,'Rateio Anexo'!$B$6:$B$600,"MAT"))</f>
        <v/>
      </c>
      <c r="O129" s="30" t="str">
        <f aca="false">IF($E129="","",SUMIFS('Rateio Anexo'!$K$6:$K$600,'Rateio Anexo'!$D$6:$D$600,$B129,'Rateio Anexo'!$B$6:$B$600,"MO"))</f>
        <v/>
      </c>
      <c r="P129" s="30" t="str">
        <f aca="false">IF($E129="","",IF($N$3=0,0,N129/$N$3*$R$4))</f>
        <v/>
      </c>
      <c r="Q129" s="30" t="str">
        <f aca="false">IF($E129="","",IF($O$3=0,0,O129/$O$3*$T$4))</f>
        <v/>
      </c>
      <c r="R129" s="30" t="str">
        <f aca="false">IF($E129="","",N129+O129+P129+Q129)</f>
        <v/>
      </c>
      <c r="S129" s="30" t="str">
        <f aca="false">IF($E129="","",(N129+P129)*Precificação!$B$19)</f>
        <v/>
      </c>
      <c r="T129" s="30" t="str">
        <f aca="false">IF($E129="","",(O129+Q129)*Precificação!$B$20)</f>
        <v/>
      </c>
      <c r="U129" s="68" t="str">
        <f aca="false">IF($E129="","",IF($E129=INT($E129),0.01,IF($E129*2=INT($E129*2),0.02,0.05)))</f>
        <v/>
      </c>
      <c r="V129" s="30" t="str">
        <f aca="false">IF($E129="","",ROUND(S129/$E129/U129,0)*U129)</f>
        <v/>
      </c>
      <c r="W129" s="30" t="str">
        <f aca="false">IF($E129="","",ROUND(T129/$E129/U129,0)*U129)</f>
        <v/>
      </c>
      <c r="X129" s="14" t="str">
        <f aca="false">IF(NOT(ISNUMBER(E129)),"",IF(NOT(ISNUMBER(E130)),ROW(),X130))</f>
        <v/>
      </c>
    </row>
    <row r="130" customFormat="false" ht="15" hidden="false" customHeight="false" outlineLevel="0" collapsed="false">
      <c r="F130" s="66" t="str">
        <f aca="false">IF($E130="","",V130)</f>
        <v/>
      </c>
      <c r="G130" s="66" t="str">
        <f aca="false">IF($E130="","",ROUND(W130+IF($B130=Precificação!$B$26,$F$3/$E130,0),2))</f>
        <v/>
      </c>
      <c r="H130" s="30" t="str">
        <f aca="false">IF($E130="","",F130+G130)</f>
        <v/>
      </c>
      <c r="I130" s="30" t="str">
        <f aca="false">IF($E130="","",$E130*F130)</f>
        <v/>
      </c>
      <c r="J130" s="30" t="str">
        <f aca="false">IF($E130="","",$E130*G130)</f>
        <v/>
      </c>
      <c r="K130" s="30" t="str">
        <f aca="false">IF($E130="","",I130+J130)</f>
        <v/>
      </c>
      <c r="L130" s="53" t="str">
        <f aca="false">IF($E130="","",IF(R130=0,"SEM CUSTO — falta linha de custo","OK"))</f>
        <v/>
      </c>
      <c r="M130" s="67" t="str">
        <f aca="false">IF(AND(ISNUMBER(E130),NOT(ISNUMBER(E129))),"F"&amp;ROW()&amp;":G"&amp;X130,"")</f>
        <v/>
      </c>
      <c r="N130" s="30" t="str">
        <f aca="false">IF($E130="","",SUMIFS('Rateio Anexo'!$K$6:$K$600,'Rateio Anexo'!$D$6:$D$600,$B130,'Rateio Anexo'!$B$6:$B$600,"MAT"))</f>
        <v/>
      </c>
      <c r="O130" s="30" t="str">
        <f aca="false">IF($E130="","",SUMIFS('Rateio Anexo'!$K$6:$K$600,'Rateio Anexo'!$D$6:$D$600,$B130,'Rateio Anexo'!$B$6:$B$600,"MO"))</f>
        <v/>
      </c>
      <c r="P130" s="30" t="str">
        <f aca="false">IF($E130="","",IF($N$3=0,0,N130/$N$3*$R$4))</f>
        <v/>
      </c>
      <c r="Q130" s="30" t="str">
        <f aca="false">IF($E130="","",IF($O$3=0,0,O130/$O$3*$T$4))</f>
        <v/>
      </c>
      <c r="R130" s="30" t="str">
        <f aca="false">IF($E130="","",N130+O130+P130+Q130)</f>
        <v/>
      </c>
      <c r="S130" s="30" t="str">
        <f aca="false">IF($E130="","",(N130+P130)*Precificação!$B$19)</f>
        <v/>
      </c>
      <c r="T130" s="30" t="str">
        <f aca="false">IF($E130="","",(O130+Q130)*Precificação!$B$20)</f>
        <v/>
      </c>
      <c r="U130" s="68" t="str">
        <f aca="false">IF($E130="","",IF($E130=INT($E130),0.01,IF($E130*2=INT($E130*2),0.02,0.05)))</f>
        <v/>
      </c>
      <c r="V130" s="30" t="str">
        <f aca="false">IF($E130="","",ROUND(S130/$E130/U130,0)*U130)</f>
        <v/>
      </c>
      <c r="W130" s="30" t="str">
        <f aca="false">IF($E130="","",ROUND(T130/$E130/U130,0)*U130)</f>
        <v/>
      </c>
      <c r="X130" s="14" t="str">
        <f aca="false">IF(NOT(ISNUMBER(E130)),"",IF(NOT(ISNUMBER(E131)),ROW(),X131))</f>
        <v/>
      </c>
    </row>
    <row r="131" customFormat="false" ht="15" hidden="false" customHeight="false" outlineLevel="0" collapsed="false">
      <c r="F131" s="66" t="str">
        <f aca="false">IF($E131="","",V131)</f>
        <v/>
      </c>
      <c r="G131" s="66" t="str">
        <f aca="false">IF($E131="","",ROUND(W131+IF($B131=Precificação!$B$26,$F$3/$E131,0),2))</f>
        <v/>
      </c>
      <c r="H131" s="30" t="str">
        <f aca="false">IF($E131="","",F131+G131)</f>
        <v/>
      </c>
      <c r="I131" s="30" t="str">
        <f aca="false">IF($E131="","",$E131*F131)</f>
        <v/>
      </c>
      <c r="J131" s="30" t="str">
        <f aca="false">IF($E131="","",$E131*G131)</f>
        <v/>
      </c>
      <c r="K131" s="30" t="str">
        <f aca="false">IF($E131="","",I131+J131)</f>
        <v/>
      </c>
      <c r="L131" s="53" t="str">
        <f aca="false">IF($E131="","",IF(R131=0,"SEM CUSTO — falta linha de custo","OK"))</f>
        <v/>
      </c>
      <c r="M131" s="67" t="str">
        <f aca="false">IF(AND(ISNUMBER(E131),NOT(ISNUMBER(E130))),"F"&amp;ROW()&amp;":G"&amp;X131,"")</f>
        <v/>
      </c>
      <c r="N131" s="30" t="str">
        <f aca="false">IF($E131="","",SUMIFS('Rateio Anexo'!$K$6:$K$600,'Rateio Anexo'!$D$6:$D$600,$B131,'Rateio Anexo'!$B$6:$B$600,"MAT"))</f>
        <v/>
      </c>
      <c r="O131" s="30" t="str">
        <f aca="false">IF($E131="","",SUMIFS('Rateio Anexo'!$K$6:$K$600,'Rateio Anexo'!$D$6:$D$600,$B131,'Rateio Anexo'!$B$6:$B$600,"MO"))</f>
        <v/>
      </c>
      <c r="P131" s="30" t="str">
        <f aca="false">IF($E131="","",IF($N$3=0,0,N131/$N$3*$R$4))</f>
        <v/>
      </c>
      <c r="Q131" s="30" t="str">
        <f aca="false">IF($E131="","",IF($O$3=0,0,O131/$O$3*$T$4))</f>
        <v/>
      </c>
      <c r="R131" s="30" t="str">
        <f aca="false">IF($E131="","",N131+O131+P131+Q131)</f>
        <v/>
      </c>
      <c r="S131" s="30" t="str">
        <f aca="false">IF($E131="","",(N131+P131)*Precificação!$B$19)</f>
        <v/>
      </c>
      <c r="T131" s="30" t="str">
        <f aca="false">IF($E131="","",(O131+Q131)*Precificação!$B$20)</f>
        <v/>
      </c>
      <c r="U131" s="68" t="str">
        <f aca="false">IF($E131="","",IF($E131=INT($E131),0.01,IF($E131*2=INT($E131*2),0.02,0.05)))</f>
        <v/>
      </c>
      <c r="V131" s="30" t="str">
        <f aca="false">IF($E131="","",ROUND(S131/$E131/U131,0)*U131)</f>
        <v/>
      </c>
      <c r="W131" s="30" t="str">
        <f aca="false">IF($E131="","",ROUND(T131/$E131/U131,0)*U131)</f>
        <v/>
      </c>
      <c r="X131" s="14" t="str">
        <f aca="false">IF(NOT(ISNUMBER(E131)),"",IF(NOT(ISNUMBER(E132)),ROW(),X132))</f>
        <v/>
      </c>
    </row>
    <row r="132" customFormat="false" ht="15" hidden="false" customHeight="false" outlineLevel="0" collapsed="false">
      <c r="F132" s="66" t="str">
        <f aca="false">IF($E132="","",V132)</f>
        <v/>
      </c>
      <c r="G132" s="66" t="str">
        <f aca="false">IF($E132="","",ROUND(W132+IF($B132=Precificação!$B$26,$F$3/$E132,0),2))</f>
        <v/>
      </c>
      <c r="H132" s="30" t="str">
        <f aca="false">IF($E132="","",F132+G132)</f>
        <v/>
      </c>
      <c r="I132" s="30" t="str">
        <f aca="false">IF($E132="","",$E132*F132)</f>
        <v/>
      </c>
      <c r="J132" s="30" t="str">
        <f aca="false">IF($E132="","",$E132*G132)</f>
        <v/>
      </c>
      <c r="K132" s="30" t="str">
        <f aca="false">IF($E132="","",I132+J132)</f>
        <v/>
      </c>
      <c r="L132" s="53" t="str">
        <f aca="false">IF($E132="","",IF(R132=0,"SEM CUSTO — falta linha de custo","OK"))</f>
        <v/>
      </c>
      <c r="M132" s="67" t="str">
        <f aca="false">IF(AND(ISNUMBER(E132),NOT(ISNUMBER(E131))),"F"&amp;ROW()&amp;":G"&amp;X132,"")</f>
        <v/>
      </c>
      <c r="N132" s="30" t="str">
        <f aca="false">IF($E132="","",SUMIFS('Rateio Anexo'!$K$6:$K$600,'Rateio Anexo'!$D$6:$D$600,$B132,'Rateio Anexo'!$B$6:$B$600,"MAT"))</f>
        <v/>
      </c>
      <c r="O132" s="30" t="str">
        <f aca="false">IF($E132="","",SUMIFS('Rateio Anexo'!$K$6:$K$600,'Rateio Anexo'!$D$6:$D$600,$B132,'Rateio Anexo'!$B$6:$B$600,"MO"))</f>
        <v/>
      </c>
      <c r="P132" s="30" t="str">
        <f aca="false">IF($E132="","",IF($N$3=0,0,N132/$N$3*$R$4))</f>
        <v/>
      </c>
      <c r="Q132" s="30" t="str">
        <f aca="false">IF($E132="","",IF($O$3=0,0,O132/$O$3*$T$4))</f>
        <v/>
      </c>
      <c r="R132" s="30" t="str">
        <f aca="false">IF($E132="","",N132+O132+P132+Q132)</f>
        <v/>
      </c>
      <c r="S132" s="30" t="str">
        <f aca="false">IF($E132="","",(N132+P132)*Precificação!$B$19)</f>
        <v/>
      </c>
      <c r="T132" s="30" t="str">
        <f aca="false">IF($E132="","",(O132+Q132)*Precificação!$B$20)</f>
        <v/>
      </c>
      <c r="U132" s="68" t="str">
        <f aca="false">IF($E132="","",IF($E132=INT($E132),0.01,IF($E132*2=INT($E132*2),0.02,0.05)))</f>
        <v/>
      </c>
      <c r="V132" s="30" t="str">
        <f aca="false">IF($E132="","",ROUND(S132/$E132/U132,0)*U132)</f>
        <v/>
      </c>
      <c r="W132" s="30" t="str">
        <f aca="false">IF($E132="","",ROUND(T132/$E132/U132,0)*U132)</f>
        <v/>
      </c>
      <c r="X132" s="14" t="str">
        <f aca="false">IF(NOT(ISNUMBER(E132)),"",IF(NOT(ISNUMBER(E133)),ROW(),X133))</f>
        <v/>
      </c>
    </row>
    <row r="133" customFormat="false" ht="15" hidden="false" customHeight="false" outlineLevel="0" collapsed="false">
      <c r="F133" s="66" t="str">
        <f aca="false">IF($E133="","",V133)</f>
        <v/>
      </c>
      <c r="G133" s="66" t="str">
        <f aca="false">IF($E133="","",ROUND(W133+IF($B133=Precificação!$B$26,$F$3/$E133,0),2))</f>
        <v/>
      </c>
      <c r="H133" s="30" t="str">
        <f aca="false">IF($E133="","",F133+G133)</f>
        <v/>
      </c>
      <c r="I133" s="30" t="str">
        <f aca="false">IF($E133="","",$E133*F133)</f>
        <v/>
      </c>
      <c r="J133" s="30" t="str">
        <f aca="false">IF($E133="","",$E133*G133)</f>
        <v/>
      </c>
      <c r="K133" s="30" t="str">
        <f aca="false">IF($E133="","",I133+J133)</f>
        <v/>
      </c>
      <c r="L133" s="53" t="str">
        <f aca="false">IF($E133="","",IF(R133=0,"SEM CUSTO — falta linha de custo","OK"))</f>
        <v/>
      </c>
      <c r="M133" s="67" t="str">
        <f aca="false">IF(AND(ISNUMBER(E133),NOT(ISNUMBER(E132))),"F"&amp;ROW()&amp;":G"&amp;X133,"")</f>
        <v/>
      </c>
      <c r="N133" s="30" t="str">
        <f aca="false">IF($E133="","",SUMIFS('Rateio Anexo'!$K$6:$K$600,'Rateio Anexo'!$D$6:$D$600,$B133,'Rateio Anexo'!$B$6:$B$600,"MAT"))</f>
        <v/>
      </c>
      <c r="O133" s="30" t="str">
        <f aca="false">IF($E133="","",SUMIFS('Rateio Anexo'!$K$6:$K$600,'Rateio Anexo'!$D$6:$D$600,$B133,'Rateio Anexo'!$B$6:$B$600,"MO"))</f>
        <v/>
      </c>
      <c r="P133" s="30" t="str">
        <f aca="false">IF($E133="","",IF($N$3=0,0,N133/$N$3*$R$4))</f>
        <v/>
      </c>
      <c r="Q133" s="30" t="str">
        <f aca="false">IF($E133="","",IF($O$3=0,0,O133/$O$3*$T$4))</f>
        <v/>
      </c>
      <c r="R133" s="30" t="str">
        <f aca="false">IF($E133="","",N133+O133+P133+Q133)</f>
        <v/>
      </c>
      <c r="S133" s="30" t="str">
        <f aca="false">IF($E133="","",(N133+P133)*Precificação!$B$19)</f>
        <v/>
      </c>
      <c r="T133" s="30" t="str">
        <f aca="false">IF($E133="","",(O133+Q133)*Precificação!$B$20)</f>
        <v/>
      </c>
      <c r="U133" s="68" t="str">
        <f aca="false">IF($E133="","",IF($E133=INT($E133),0.01,IF($E133*2=INT($E133*2),0.02,0.05)))</f>
        <v/>
      </c>
      <c r="V133" s="30" t="str">
        <f aca="false">IF($E133="","",ROUND(S133/$E133/U133,0)*U133)</f>
        <v/>
      </c>
      <c r="W133" s="30" t="str">
        <f aca="false">IF($E133="","",ROUND(T133/$E133/U133,0)*U133)</f>
        <v/>
      </c>
      <c r="X133" s="14" t="str">
        <f aca="false">IF(NOT(ISNUMBER(E133)),"",IF(NOT(ISNUMBER(E134)),ROW(),X134))</f>
        <v/>
      </c>
    </row>
    <row r="134" customFormat="false" ht="15" hidden="false" customHeight="false" outlineLevel="0" collapsed="false">
      <c r="F134" s="66" t="str">
        <f aca="false">IF($E134="","",V134)</f>
        <v/>
      </c>
      <c r="G134" s="66" t="str">
        <f aca="false">IF($E134="","",ROUND(W134+IF($B134=Precificação!$B$26,$F$3/$E134,0),2))</f>
        <v/>
      </c>
      <c r="H134" s="30" t="str">
        <f aca="false">IF($E134="","",F134+G134)</f>
        <v/>
      </c>
      <c r="I134" s="30" t="str">
        <f aca="false">IF($E134="","",$E134*F134)</f>
        <v/>
      </c>
      <c r="J134" s="30" t="str">
        <f aca="false">IF($E134="","",$E134*G134)</f>
        <v/>
      </c>
      <c r="K134" s="30" t="str">
        <f aca="false">IF($E134="","",I134+J134)</f>
        <v/>
      </c>
      <c r="L134" s="53" t="str">
        <f aca="false">IF($E134="","",IF(R134=0,"SEM CUSTO — falta linha de custo","OK"))</f>
        <v/>
      </c>
      <c r="M134" s="67" t="str">
        <f aca="false">IF(AND(ISNUMBER(E134),NOT(ISNUMBER(E133))),"F"&amp;ROW()&amp;":G"&amp;X134,"")</f>
        <v/>
      </c>
      <c r="N134" s="30" t="str">
        <f aca="false">IF($E134="","",SUMIFS('Rateio Anexo'!$K$6:$K$600,'Rateio Anexo'!$D$6:$D$600,$B134,'Rateio Anexo'!$B$6:$B$600,"MAT"))</f>
        <v/>
      </c>
      <c r="O134" s="30" t="str">
        <f aca="false">IF($E134="","",SUMIFS('Rateio Anexo'!$K$6:$K$600,'Rateio Anexo'!$D$6:$D$600,$B134,'Rateio Anexo'!$B$6:$B$600,"MO"))</f>
        <v/>
      </c>
      <c r="P134" s="30" t="str">
        <f aca="false">IF($E134="","",IF($N$3=0,0,N134/$N$3*$R$4))</f>
        <v/>
      </c>
      <c r="Q134" s="30" t="str">
        <f aca="false">IF($E134="","",IF($O$3=0,0,O134/$O$3*$T$4))</f>
        <v/>
      </c>
      <c r="R134" s="30" t="str">
        <f aca="false">IF($E134="","",N134+O134+P134+Q134)</f>
        <v/>
      </c>
      <c r="S134" s="30" t="str">
        <f aca="false">IF($E134="","",(N134+P134)*Precificação!$B$19)</f>
        <v/>
      </c>
      <c r="T134" s="30" t="str">
        <f aca="false">IF($E134="","",(O134+Q134)*Precificação!$B$20)</f>
        <v/>
      </c>
      <c r="U134" s="68" t="str">
        <f aca="false">IF($E134="","",IF($E134=INT($E134),0.01,IF($E134*2=INT($E134*2),0.02,0.05)))</f>
        <v/>
      </c>
      <c r="V134" s="30" t="str">
        <f aca="false">IF($E134="","",ROUND(S134/$E134/U134,0)*U134)</f>
        <v/>
      </c>
      <c r="W134" s="30" t="str">
        <f aca="false">IF($E134="","",ROUND(T134/$E134/U134,0)*U134)</f>
        <v/>
      </c>
      <c r="X134" s="14" t="str">
        <f aca="false">IF(NOT(ISNUMBER(E134)),"",IF(NOT(ISNUMBER(E135)),ROW(),X135))</f>
        <v/>
      </c>
    </row>
    <row r="135" customFormat="false" ht="15" hidden="false" customHeight="false" outlineLevel="0" collapsed="false">
      <c r="F135" s="66" t="str">
        <f aca="false">IF($E135="","",V135)</f>
        <v/>
      </c>
      <c r="G135" s="66" t="str">
        <f aca="false">IF($E135="","",ROUND(W135+IF($B135=Precificação!$B$26,$F$3/$E135,0),2))</f>
        <v/>
      </c>
      <c r="H135" s="30" t="str">
        <f aca="false">IF($E135="","",F135+G135)</f>
        <v/>
      </c>
      <c r="I135" s="30" t="str">
        <f aca="false">IF($E135="","",$E135*F135)</f>
        <v/>
      </c>
      <c r="J135" s="30" t="str">
        <f aca="false">IF($E135="","",$E135*G135)</f>
        <v/>
      </c>
      <c r="K135" s="30" t="str">
        <f aca="false">IF($E135="","",I135+J135)</f>
        <v/>
      </c>
      <c r="L135" s="53" t="str">
        <f aca="false">IF($E135="","",IF(R135=0,"SEM CUSTO — falta linha de custo","OK"))</f>
        <v/>
      </c>
      <c r="M135" s="67" t="str">
        <f aca="false">IF(AND(ISNUMBER(E135),NOT(ISNUMBER(E134))),"F"&amp;ROW()&amp;":G"&amp;X135,"")</f>
        <v/>
      </c>
      <c r="N135" s="30" t="str">
        <f aca="false">IF($E135="","",SUMIFS('Rateio Anexo'!$K$6:$K$600,'Rateio Anexo'!$D$6:$D$600,$B135,'Rateio Anexo'!$B$6:$B$600,"MAT"))</f>
        <v/>
      </c>
      <c r="O135" s="30" t="str">
        <f aca="false">IF($E135="","",SUMIFS('Rateio Anexo'!$K$6:$K$600,'Rateio Anexo'!$D$6:$D$600,$B135,'Rateio Anexo'!$B$6:$B$600,"MO"))</f>
        <v/>
      </c>
      <c r="P135" s="30" t="str">
        <f aca="false">IF($E135="","",IF($N$3=0,0,N135/$N$3*$R$4))</f>
        <v/>
      </c>
      <c r="Q135" s="30" t="str">
        <f aca="false">IF($E135="","",IF($O$3=0,0,O135/$O$3*$T$4))</f>
        <v/>
      </c>
      <c r="R135" s="30" t="str">
        <f aca="false">IF($E135="","",N135+O135+P135+Q135)</f>
        <v/>
      </c>
      <c r="S135" s="30" t="str">
        <f aca="false">IF($E135="","",(N135+P135)*Precificação!$B$19)</f>
        <v/>
      </c>
      <c r="T135" s="30" t="str">
        <f aca="false">IF($E135="","",(O135+Q135)*Precificação!$B$20)</f>
        <v/>
      </c>
      <c r="U135" s="68" t="str">
        <f aca="false">IF($E135="","",IF($E135=INT($E135),0.01,IF($E135*2=INT($E135*2),0.02,0.05)))</f>
        <v/>
      </c>
      <c r="V135" s="30" t="str">
        <f aca="false">IF($E135="","",ROUND(S135/$E135/U135,0)*U135)</f>
        <v/>
      </c>
      <c r="W135" s="30" t="str">
        <f aca="false">IF($E135="","",ROUND(T135/$E135/U135,0)*U135)</f>
        <v/>
      </c>
      <c r="X135" s="14" t="str">
        <f aca="false">IF(NOT(ISNUMBER(E135)),"",IF(NOT(ISNUMBER(E136)),ROW(),X136))</f>
        <v/>
      </c>
    </row>
    <row r="136" customFormat="false" ht="15" hidden="false" customHeight="false" outlineLevel="0" collapsed="false">
      <c r="F136" s="66" t="str">
        <f aca="false">IF($E136="","",V136)</f>
        <v/>
      </c>
      <c r="G136" s="66" t="str">
        <f aca="false">IF($E136="","",ROUND(W136+IF($B136=Precificação!$B$26,$F$3/$E136,0),2))</f>
        <v/>
      </c>
      <c r="H136" s="30" t="str">
        <f aca="false">IF($E136="","",F136+G136)</f>
        <v/>
      </c>
      <c r="I136" s="30" t="str">
        <f aca="false">IF($E136="","",$E136*F136)</f>
        <v/>
      </c>
      <c r="J136" s="30" t="str">
        <f aca="false">IF($E136="","",$E136*G136)</f>
        <v/>
      </c>
      <c r="K136" s="30" t="str">
        <f aca="false">IF($E136="","",I136+J136)</f>
        <v/>
      </c>
      <c r="L136" s="53" t="str">
        <f aca="false">IF($E136="","",IF(R136=0,"SEM CUSTO — falta linha de custo","OK"))</f>
        <v/>
      </c>
      <c r="M136" s="67" t="str">
        <f aca="false">IF(AND(ISNUMBER(E136),NOT(ISNUMBER(E135))),"F"&amp;ROW()&amp;":G"&amp;X136,"")</f>
        <v/>
      </c>
      <c r="N136" s="30" t="str">
        <f aca="false">IF($E136="","",SUMIFS('Rateio Anexo'!$K$6:$K$600,'Rateio Anexo'!$D$6:$D$600,$B136,'Rateio Anexo'!$B$6:$B$600,"MAT"))</f>
        <v/>
      </c>
      <c r="O136" s="30" t="str">
        <f aca="false">IF($E136="","",SUMIFS('Rateio Anexo'!$K$6:$K$600,'Rateio Anexo'!$D$6:$D$600,$B136,'Rateio Anexo'!$B$6:$B$600,"MO"))</f>
        <v/>
      </c>
      <c r="P136" s="30" t="str">
        <f aca="false">IF($E136="","",IF($N$3=0,0,N136/$N$3*$R$4))</f>
        <v/>
      </c>
      <c r="Q136" s="30" t="str">
        <f aca="false">IF($E136="","",IF($O$3=0,0,O136/$O$3*$T$4))</f>
        <v/>
      </c>
      <c r="R136" s="30" t="str">
        <f aca="false">IF($E136="","",N136+O136+P136+Q136)</f>
        <v/>
      </c>
      <c r="S136" s="30" t="str">
        <f aca="false">IF($E136="","",(N136+P136)*Precificação!$B$19)</f>
        <v/>
      </c>
      <c r="T136" s="30" t="str">
        <f aca="false">IF($E136="","",(O136+Q136)*Precificação!$B$20)</f>
        <v/>
      </c>
      <c r="U136" s="68" t="str">
        <f aca="false">IF($E136="","",IF($E136=INT($E136),0.01,IF($E136*2=INT($E136*2),0.02,0.05)))</f>
        <v/>
      </c>
      <c r="V136" s="30" t="str">
        <f aca="false">IF($E136="","",ROUND(S136/$E136/U136,0)*U136)</f>
        <v/>
      </c>
      <c r="W136" s="30" t="str">
        <f aca="false">IF($E136="","",ROUND(T136/$E136/U136,0)*U136)</f>
        <v/>
      </c>
      <c r="X136" s="14" t="str">
        <f aca="false">IF(NOT(ISNUMBER(E136)),"",IF(NOT(ISNUMBER(E137)),ROW(),X137))</f>
        <v/>
      </c>
    </row>
    <row r="137" customFormat="false" ht="15" hidden="false" customHeight="false" outlineLevel="0" collapsed="false">
      <c r="F137" s="66" t="str">
        <f aca="false">IF($E137="","",V137)</f>
        <v/>
      </c>
      <c r="G137" s="66" t="str">
        <f aca="false">IF($E137="","",ROUND(W137+IF($B137=Precificação!$B$26,$F$3/$E137,0),2))</f>
        <v/>
      </c>
      <c r="H137" s="30" t="str">
        <f aca="false">IF($E137="","",F137+G137)</f>
        <v/>
      </c>
      <c r="I137" s="30" t="str">
        <f aca="false">IF($E137="","",$E137*F137)</f>
        <v/>
      </c>
      <c r="J137" s="30" t="str">
        <f aca="false">IF($E137="","",$E137*G137)</f>
        <v/>
      </c>
      <c r="K137" s="30" t="str">
        <f aca="false">IF($E137="","",I137+J137)</f>
        <v/>
      </c>
      <c r="L137" s="53" t="str">
        <f aca="false">IF($E137="","",IF(R137=0,"SEM CUSTO — falta linha de custo","OK"))</f>
        <v/>
      </c>
      <c r="M137" s="67" t="str">
        <f aca="false">IF(AND(ISNUMBER(E137),NOT(ISNUMBER(E136))),"F"&amp;ROW()&amp;":G"&amp;X137,"")</f>
        <v/>
      </c>
      <c r="N137" s="30" t="str">
        <f aca="false">IF($E137="","",SUMIFS('Rateio Anexo'!$K$6:$K$600,'Rateio Anexo'!$D$6:$D$600,$B137,'Rateio Anexo'!$B$6:$B$600,"MAT"))</f>
        <v/>
      </c>
      <c r="O137" s="30" t="str">
        <f aca="false">IF($E137="","",SUMIFS('Rateio Anexo'!$K$6:$K$600,'Rateio Anexo'!$D$6:$D$600,$B137,'Rateio Anexo'!$B$6:$B$600,"MO"))</f>
        <v/>
      </c>
      <c r="P137" s="30" t="str">
        <f aca="false">IF($E137="","",IF($N$3=0,0,N137/$N$3*$R$4))</f>
        <v/>
      </c>
      <c r="Q137" s="30" t="str">
        <f aca="false">IF($E137="","",IF($O$3=0,0,O137/$O$3*$T$4))</f>
        <v/>
      </c>
      <c r="R137" s="30" t="str">
        <f aca="false">IF($E137="","",N137+O137+P137+Q137)</f>
        <v/>
      </c>
      <c r="S137" s="30" t="str">
        <f aca="false">IF($E137="","",(N137+P137)*Precificação!$B$19)</f>
        <v/>
      </c>
      <c r="T137" s="30" t="str">
        <f aca="false">IF($E137="","",(O137+Q137)*Precificação!$B$20)</f>
        <v/>
      </c>
      <c r="U137" s="68" t="str">
        <f aca="false">IF($E137="","",IF($E137=INT($E137),0.01,IF($E137*2=INT($E137*2),0.02,0.05)))</f>
        <v/>
      </c>
      <c r="V137" s="30" t="str">
        <f aca="false">IF($E137="","",ROUND(S137/$E137/U137,0)*U137)</f>
        <v/>
      </c>
      <c r="W137" s="30" t="str">
        <f aca="false">IF($E137="","",ROUND(T137/$E137/U137,0)*U137)</f>
        <v/>
      </c>
      <c r="X137" s="14" t="str">
        <f aca="false">IF(NOT(ISNUMBER(E137)),"",IF(NOT(ISNUMBER(E138)),ROW(),X138))</f>
        <v/>
      </c>
    </row>
    <row r="138" customFormat="false" ht="15" hidden="false" customHeight="false" outlineLevel="0" collapsed="false">
      <c r="F138" s="66" t="str">
        <f aca="false">IF($E138="","",V138)</f>
        <v/>
      </c>
      <c r="G138" s="66" t="str">
        <f aca="false">IF($E138="","",ROUND(W138+IF($B138=Precificação!$B$26,$F$3/$E138,0),2))</f>
        <v/>
      </c>
      <c r="H138" s="30" t="str">
        <f aca="false">IF($E138="","",F138+G138)</f>
        <v/>
      </c>
      <c r="I138" s="30" t="str">
        <f aca="false">IF($E138="","",$E138*F138)</f>
        <v/>
      </c>
      <c r="J138" s="30" t="str">
        <f aca="false">IF($E138="","",$E138*G138)</f>
        <v/>
      </c>
      <c r="K138" s="30" t="str">
        <f aca="false">IF($E138="","",I138+J138)</f>
        <v/>
      </c>
      <c r="L138" s="53" t="str">
        <f aca="false">IF($E138="","",IF(R138=0,"SEM CUSTO — falta linha de custo","OK"))</f>
        <v/>
      </c>
      <c r="M138" s="67" t="str">
        <f aca="false">IF(AND(ISNUMBER(E138),NOT(ISNUMBER(E137))),"F"&amp;ROW()&amp;":G"&amp;X138,"")</f>
        <v/>
      </c>
      <c r="N138" s="30" t="str">
        <f aca="false">IF($E138="","",SUMIFS('Rateio Anexo'!$K$6:$K$600,'Rateio Anexo'!$D$6:$D$600,$B138,'Rateio Anexo'!$B$6:$B$600,"MAT"))</f>
        <v/>
      </c>
      <c r="O138" s="30" t="str">
        <f aca="false">IF($E138="","",SUMIFS('Rateio Anexo'!$K$6:$K$600,'Rateio Anexo'!$D$6:$D$600,$B138,'Rateio Anexo'!$B$6:$B$600,"MO"))</f>
        <v/>
      </c>
      <c r="P138" s="30" t="str">
        <f aca="false">IF($E138="","",IF($N$3=0,0,N138/$N$3*$R$4))</f>
        <v/>
      </c>
      <c r="Q138" s="30" t="str">
        <f aca="false">IF($E138="","",IF($O$3=0,0,O138/$O$3*$T$4))</f>
        <v/>
      </c>
      <c r="R138" s="30" t="str">
        <f aca="false">IF($E138="","",N138+O138+P138+Q138)</f>
        <v/>
      </c>
      <c r="S138" s="30" t="str">
        <f aca="false">IF($E138="","",(N138+P138)*Precificação!$B$19)</f>
        <v/>
      </c>
      <c r="T138" s="30" t="str">
        <f aca="false">IF($E138="","",(O138+Q138)*Precificação!$B$20)</f>
        <v/>
      </c>
      <c r="U138" s="68" t="str">
        <f aca="false">IF($E138="","",IF($E138=INT($E138),0.01,IF($E138*2=INT($E138*2),0.02,0.05)))</f>
        <v/>
      </c>
      <c r="V138" s="30" t="str">
        <f aca="false">IF($E138="","",ROUND(S138/$E138/U138,0)*U138)</f>
        <v/>
      </c>
      <c r="W138" s="30" t="str">
        <f aca="false">IF($E138="","",ROUND(T138/$E138/U138,0)*U138)</f>
        <v/>
      </c>
      <c r="X138" s="14" t="str">
        <f aca="false">IF(NOT(ISNUMBER(E138)),"",IF(NOT(ISNUMBER(E139)),ROW(),X139))</f>
        <v/>
      </c>
    </row>
    <row r="139" customFormat="false" ht="15" hidden="false" customHeight="false" outlineLevel="0" collapsed="false">
      <c r="F139" s="66" t="str">
        <f aca="false">IF($E139="","",V139)</f>
        <v/>
      </c>
      <c r="G139" s="66" t="str">
        <f aca="false">IF($E139="","",ROUND(W139+IF($B139=Precificação!$B$26,$F$3/$E139,0),2))</f>
        <v/>
      </c>
      <c r="H139" s="30" t="str">
        <f aca="false">IF($E139="","",F139+G139)</f>
        <v/>
      </c>
      <c r="I139" s="30" t="str">
        <f aca="false">IF($E139="","",$E139*F139)</f>
        <v/>
      </c>
      <c r="J139" s="30" t="str">
        <f aca="false">IF($E139="","",$E139*G139)</f>
        <v/>
      </c>
      <c r="K139" s="30" t="str">
        <f aca="false">IF($E139="","",I139+J139)</f>
        <v/>
      </c>
      <c r="L139" s="53" t="str">
        <f aca="false">IF($E139="","",IF(R139=0,"SEM CUSTO — falta linha de custo","OK"))</f>
        <v/>
      </c>
      <c r="M139" s="67" t="str">
        <f aca="false">IF(AND(ISNUMBER(E139),NOT(ISNUMBER(E138))),"F"&amp;ROW()&amp;":G"&amp;X139,"")</f>
        <v/>
      </c>
      <c r="N139" s="30" t="str">
        <f aca="false">IF($E139="","",SUMIFS('Rateio Anexo'!$K$6:$K$600,'Rateio Anexo'!$D$6:$D$600,$B139,'Rateio Anexo'!$B$6:$B$600,"MAT"))</f>
        <v/>
      </c>
      <c r="O139" s="30" t="str">
        <f aca="false">IF($E139="","",SUMIFS('Rateio Anexo'!$K$6:$K$600,'Rateio Anexo'!$D$6:$D$600,$B139,'Rateio Anexo'!$B$6:$B$600,"MO"))</f>
        <v/>
      </c>
      <c r="P139" s="30" t="str">
        <f aca="false">IF($E139="","",IF($N$3=0,0,N139/$N$3*$R$4))</f>
        <v/>
      </c>
      <c r="Q139" s="30" t="str">
        <f aca="false">IF($E139="","",IF($O$3=0,0,O139/$O$3*$T$4))</f>
        <v/>
      </c>
      <c r="R139" s="30" t="str">
        <f aca="false">IF($E139="","",N139+O139+P139+Q139)</f>
        <v/>
      </c>
      <c r="S139" s="30" t="str">
        <f aca="false">IF($E139="","",(N139+P139)*Precificação!$B$19)</f>
        <v/>
      </c>
      <c r="T139" s="30" t="str">
        <f aca="false">IF($E139="","",(O139+Q139)*Precificação!$B$20)</f>
        <v/>
      </c>
      <c r="U139" s="68" t="str">
        <f aca="false">IF($E139="","",IF($E139=INT($E139),0.01,IF($E139*2=INT($E139*2),0.02,0.05)))</f>
        <v/>
      </c>
      <c r="V139" s="30" t="str">
        <f aca="false">IF($E139="","",ROUND(S139/$E139/U139,0)*U139)</f>
        <v/>
      </c>
      <c r="W139" s="30" t="str">
        <f aca="false">IF($E139="","",ROUND(T139/$E139/U139,0)*U139)</f>
        <v/>
      </c>
      <c r="X139" s="14" t="str">
        <f aca="false">IF(NOT(ISNUMBER(E139)),"",IF(NOT(ISNUMBER(E140)),ROW(),X140))</f>
        <v/>
      </c>
    </row>
    <row r="140" customFormat="false" ht="15" hidden="false" customHeight="false" outlineLevel="0" collapsed="false">
      <c r="F140" s="66" t="str">
        <f aca="false">IF($E140="","",V140)</f>
        <v/>
      </c>
      <c r="G140" s="66" t="str">
        <f aca="false">IF($E140="","",ROUND(W140+IF($B140=Precificação!$B$26,$F$3/$E140,0),2))</f>
        <v/>
      </c>
      <c r="H140" s="30" t="str">
        <f aca="false">IF($E140="","",F140+G140)</f>
        <v/>
      </c>
      <c r="I140" s="30" t="str">
        <f aca="false">IF($E140="","",$E140*F140)</f>
        <v/>
      </c>
      <c r="J140" s="30" t="str">
        <f aca="false">IF($E140="","",$E140*G140)</f>
        <v/>
      </c>
      <c r="K140" s="30" t="str">
        <f aca="false">IF($E140="","",I140+J140)</f>
        <v/>
      </c>
      <c r="L140" s="53" t="str">
        <f aca="false">IF($E140="","",IF(R140=0,"SEM CUSTO — falta linha de custo","OK"))</f>
        <v/>
      </c>
      <c r="M140" s="67" t="str">
        <f aca="false">IF(AND(ISNUMBER(E140),NOT(ISNUMBER(E139))),"F"&amp;ROW()&amp;":G"&amp;X140,"")</f>
        <v/>
      </c>
      <c r="N140" s="30" t="str">
        <f aca="false">IF($E140="","",SUMIFS('Rateio Anexo'!$K$6:$K$600,'Rateio Anexo'!$D$6:$D$600,$B140,'Rateio Anexo'!$B$6:$B$600,"MAT"))</f>
        <v/>
      </c>
      <c r="O140" s="30" t="str">
        <f aca="false">IF($E140="","",SUMIFS('Rateio Anexo'!$K$6:$K$600,'Rateio Anexo'!$D$6:$D$600,$B140,'Rateio Anexo'!$B$6:$B$600,"MO"))</f>
        <v/>
      </c>
      <c r="P140" s="30" t="str">
        <f aca="false">IF($E140="","",IF($N$3=0,0,N140/$N$3*$R$4))</f>
        <v/>
      </c>
      <c r="Q140" s="30" t="str">
        <f aca="false">IF($E140="","",IF($O$3=0,0,O140/$O$3*$T$4))</f>
        <v/>
      </c>
      <c r="R140" s="30" t="str">
        <f aca="false">IF($E140="","",N140+O140+P140+Q140)</f>
        <v/>
      </c>
      <c r="S140" s="30" t="str">
        <f aca="false">IF($E140="","",(N140+P140)*Precificação!$B$19)</f>
        <v/>
      </c>
      <c r="T140" s="30" t="str">
        <f aca="false">IF($E140="","",(O140+Q140)*Precificação!$B$20)</f>
        <v/>
      </c>
      <c r="U140" s="68" t="str">
        <f aca="false">IF($E140="","",IF($E140=INT($E140),0.01,IF($E140*2=INT($E140*2),0.02,0.05)))</f>
        <v/>
      </c>
      <c r="V140" s="30" t="str">
        <f aca="false">IF($E140="","",ROUND(S140/$E140/U140,0)*U140)</f>
        <v/>
      </c>
      <c r="W140" s="30" t="str">
        <f aca="false">IF($E140="","",ROUND(T140/$E140/U140,0)*U140)</f>
        <v/>
      </c>
      <c r="X140" s="14" t="str">
        <f aca="false">IF(NOT(ISNUMBER(E140)),"",IF(NOT(ISNUMBER(E141)),ROW(),X141))</f>
        <v/>
      </c>
    </row>
    <row r="141" customFormat="false" ht="15" hidden="false" customHeight="false" outlineLevel="0" collapsed="false">
      <c r="F141" s="66" t="str">
        <f aca="false">IF($E141="","",V141)</f>
        <v/>
      </c>
      <c r="G141" s="66" t="str">
        <f aca="false">IF($E141="","",ROUND(W141+IF($B141=Precificação!$B$26,$F$3/$E141,0),2))</f>
        <v/>
      </c>
      <c r="H141" s="30" t="str">
        <f aca="false">IF($E141="","",F141+G141)</f>
        <v/>
      </c>
      <c r="I141" s="30" t="str">
        <f aca="false">IF($E141="","",$E141*F141)</f>
        <v/>
      </c>
      <c r="J141" s="30" t="str">
        <f aca="false">IF($E141="","",$E141*G141)</f>
        <v/>
      </c>
      <c r="K141" s="30" t="str">
        <f aca="false">IF($E141="","",I141+J141)</f>
        <v/>
      </c>
      <c r="L141" s="53" t="str">
        <f aca="false">IF($E141="","",IF(R141=0,"SEM CUSTO — falta linha de custo","OK"))</f>
        <v/>
      </c>
      <c r="M141" s="67" t="str">
        <f aca="false">IF(AND(ISNUMBER(E141),NOT(ISNUMBER(E140))),"F"&amp;ROW()&amp;":G"&amp;X141,"")</f>
        <v/>
      </c>
      <c r="N141" s="30" t="str">
        <f aca="false">IF($E141="","",SUMIFS('Rateio Anexo'!$K$6:$K$600,'Rateio Anexo'!$D$6:$D$600,$B141,'Rateio Anexo'!$B$6:$B$600,"MAT"))</f>
        <v/>
      </c>
      <c r="O141" s="30" t="str">
        <f aca="false">IF($E141="","",SUMIFS('Rateio Anexo'!$K$6:$K$600,'Rateio Anexo'!$D$6:$D$600,$B141,'Rateio Anexo'!$B$6:$B$600,"MO"))</f>
        <v/>
      </c>
      <c r="P141" s="30" t="str">
        <f aca="false">IF($E141="","",IF($N$3=0,0,N141/$N$3*$R$4))</f>
        <v/>
      </c>
      <c r="Q141" s="30" t="str">
        <f aca="false">IF($E141="","",IF($O$3=0,0,O141/$O$3*$T$4))</f>
        <v/>
      </c>
      <c r="R141" s="30" t="str">
        <f aca="false">IF($E141="","",N141+O141+P141+Q141)</f>
        <v/>
      </c>
      <c r="S141" s="30" t="str">
        <f aca="false">IF($E141="","",(N141+P141)*Precificação!$B$19)</f>
        <v/>
      </c>
      <c r="T141" s="30" t="str">
        <f aca="false">IF($E141="","",(O141+Q141)*Precificação!$B$20)</f>
        <v/>
      </c>
      <c r="U141" s="68" t="str">
        <f aca="false">IF($E141="","",IF($E141=INT($E141),0.01,IF($E141*2=INT($E141*2),0.02,0.05)))</f>
        <v/>
      </c>
      <c r="V141" s="30" t="str">
        <f aca="false">IF($E141="","",ROUND(S141/$E141/U141,0)*U141)</f>
        <v/>
      </c>
      <c r="W141" s="30" t="str">
        <f aca="false">IF($E141="","",ROUND(T141/$E141/U141,0)*U141)</f>
        <v/>
      </c>
      <c r="X141" s="14" t="str">
        <f aca="false">IF(NOT(ISNUMBER(E141)),"",IF(NOT(ISNUMBER(E142)),ROW(),X142))</f>
        <v/>
      </c>
    </row>
    <row r="142" customFormat="false" ht="15" hidden="false" customHeight="false" outlineLevel="0" collapsed="false">
      <c r="F142" s="66" t="str">
        <f aca="false">IF($E142="","",V142)</f>
        <v/>
      </c>
      <c r="G142" s="66" t="str">
        <f aca="false">IF($E142="","",ROUND(W142+IF($B142=Precificação!$B$26,$F$3/$E142,0),2))</f>
        <v/>
      </c>
      <c r="H142" s="30" t="str">
        <f aca="false">IF($E142="","",F142+G142)</f>
        <v/>
      </c>
      <c r="I142" s="30" t="str">
        <f aca="false">IF($E142="","",$E142*F142)</f>
        <v/>
      </c>
      <c r="J142" s="30" t="str">
        <f aca="false">IF($E142="","",$E142*G142)</f>
        <v/>
      </c>
      <c r="K142" s="30" t="str">
        <f aca="false">IF($E142="","",I142+J142)</f>
        <v/>
      </c>
      <c r="L142" s="53" t="str">
        <f aca="false">IF($E142="","",IF(R142=0,"SEM CUSTO — falta linha de custo","OK"))</f>
        <v/>
      </c>
      <c r="M142" s="67" t="str">
        <f aca="false">IF(AND(ISNUMBER(E142),NOT(ISNUMBER(E141))),"F"&amp;ROW()&amp;":G"&amp;X142,"")</f>
        <v/>
      </c>
      <c r="N142" s="30" t="str">
        <f aca="false">IF($E142="","",SUMIFS('Rateio Anexo'!$K$6:$K$600,'Rateio Anexo'!$D$6:$D$600,$B142,'Rateio Anexo'!$B$6:$B$600,"MAT"))</f>
        <v/>
      </c>
      <c r="O142" s="30" t="str">
        <f aca="false">IF($E142="","",SUMIFS('Rateio Anexo'!$K$6:$K$600,'Rateio Anexo'!$D$6:$D$600,$B142,'Rateio Anexo'!$B$6:$B$600,"MO"))</f>
        <v/>
      </c>
      <c r="P142" s="30" t="str">
        <f aca="false">IF($E142="","",IF($N$3=0,0,N142/$N$3*$R$4))</f>
        <v/>
      </c>
      <c r="Q142" s="30" t="str">
        <f aca="false">IF($E142="","",IF($O$3=0,0,O142/$O$3*$T$4))</f>
        <v/>
      </c>
      <c r="R142" s="30" t="str">
        <f aca="false">IF($E142="","",N142+O142+P142+Q142)</f>
        <v/>
      </c>
      <c r="S142" s="30" t="str">
        <f aca="false">IF($E142="","",(N142+P142)*Precificação!$B$19)</f>
        <v/>
      </c>
      <c r="T142" s="30" t="str">
        <f aca="false">IF($E142="","",(O142+Q142)*Precificação!$B$20)</f>
        <v/>
      </c>
      <c r="U142" s="68" t="str">
        <f aca="false">IF($E142="","",IF($E142=INT($E142),0.01,IF($E142*2=INT($E142*2),0.02,0.05)))</f>
        <v/>
      </c>
      <c r="V142" s="30" t="str">
        <f aca="false">IF($E142="","",ROUND(S142/$E142/U142,0)*U142)</f>
        <v/>
      </c>
      <c r="W142" s="30" t="str">
        <f aca="false">IF($E142="","",ROUND(T142/$E142/U142,0)*U142)</f>
        <v/>
      </c>
      <c r="X142" s="14" t="str">
        <f aca="false">IF(NOT(ISNUMBER(E142)),"",IF(NOT(ISNUMBER(E143)),ROW(),X143))</f>
        <v/>
      </c>
    </row>
    <row r="143" customFormat="false" ht="15" hidden="false" customHeight="false" outlineLevel="0" collapsed="false">
      <c r="F143" s="66" t="str">
        <f aca="false">IF($E143="","",V143)</f>
        <v/>
      </c>
      <c r="G143" s="66" t="str">
        <f aca="false">IF($E143="","",ROUND(W143+IF($B143=Precificação!$B$26,$F$3/$E143,0),2))</f>
        <v/>
      </c>
      <c r="H143" s="30" t="str">
        <f aca="false">IF($E143="","",F143+G143)</f>
        <v/>
      </c>
      <c r="I143" s="30" t="str">
        <f aca="false">IF($E143="","",$E143*F143)</f>
        <v/>
      </c>
      <c r="J143" s="30" t="str">
        <f aca="false">IF($E143="","",$E143*G143)</f>
        <v/>
      </c>
      <c r="K143" s="30" t="str">
        <f aca="false">IF($E143="","",I143+J143)</f>
        <v/>
      </c>
      <c r="L143" s="53" t="str">
        <f aca="false">IF($E143="","",IF(R143=0,"SEM CUSTO — falta linha de custo","OK"))</f>
        <v/>
      </c>
      <c r="M143" s="67" t="str">
        <f aca="false">IF(AND(ISNUMBER(E143),NOT(ISNUMBER(E142))),"F"&amp;ROW()&amp;":G"&amp;X143,"")</f>
        <v/>
      </c>
      <c r="N143" s="30" t="str">
        <f aca="false">IF($E143="","",SUMIFS('Rateio Anexo'!$K$6:$K$600,'Rateio Anexo'!$D$6:$D$600,$B143,'Rateio Anexo'!$B$6:$B$600,"MAT"))</f>
        <v/>
      </c>
      <c r="O143" s="30" t="str">
        <f aca="false">IF($E143="","",SUMIFS('Rateio Anexo'!$K$6:$K$600,'Rateio Anexo'!$D$6:$D$600,$B143,'Rateio Anexo'!$B$6:$B$600,"MO"))</f>
        <v/>
      </c>
      <c r="P143" s="30" t="str">
        <f aca="false">IF($E143="","",IF($N$3=0,0,N143/$N$3*$R$4))</f>
        <v/>
      </c>
      <c r="Q143" s="30" t="str">
        <f aca="false">IF($E143="","",IF($O$3=0,0,O143/$O$3*$T$4))</f>
        <v/>
      </c>
      <c r="R143" s="30" t="str">
        <f aca="false">IF($E143="","",N143+O143+P143+Q143)</f>
        <v/>
      </c>
      <c r="S143" s="30" t="str">
        <f aca="false">IF($E143="","",(N143+P143)*Precificação!$B$19)</f>
        <v/>
      </c>
      <c r="T143" s="30" t="str">
        <f aca="false">IF($E143="","",(O143+Q143)*Precificação!$B$20)</f>
        <v/>
      </c>
      <c r="U143" s="68" t="str">
        <f aca="false">IF($E143="","",IF($E143=INT($E143),0.01,IF($E143*2=INT($E143*2),0.02,0.05)))</f>
        <v/>
      </c>
      <c r="V143" s="30" t="str">
        <f aca="false">IF($E143="","",ROUND(S143/$E143/U143,0)*U143)</f>
        <v/>
      </c>
      <c r="W143" s="30" t="str">
        <f aca="false">IF($E143="","",ROUND(T143/$E143/U143,0)*U143)</f>
        <v/>
      </c>
      <c r="X143" s="14" t="str">
        <f aca="false">IF(NOT(ISNUMBER(E143)),"",IF(NOT(ISNUMBER(E144)),ROW(),X144))</f>
        <v/>
      </c>
    </row>
    <row r="144" customFormat="false" ht="15" hidden="false" customHeight="false" outlineLevel="0" collapsed="false">
      <c r="F144" s="66" t="str">
        <f aca="false">IF($E144="","",V144)</f>
        <v/>
      </c>
      <c r="G144" s="66" t="str">
        <f aca="false">IF($E144="","",ROUND(W144+IF($B144=Precificação!$B$26,$F$3/$E144,0),2))</f>
        <v/>
      </c>
      <c r="H144" s="30" t="str">
        <f aca="false">IF($E144="","",F144+G144)</f>
        <v/>
      </c>
      <c r="I144" s="30" t="str">
        <f aca="false">IF($E144="","",$E144*F144)</f>
        <v/>
      </c>
      <c r="J144" s="30" t="str">
        <f aca="false">IF($E144="","",$E144*G144)</f>
        <v/>
      </c>
      <c r="K144" s="30" t="str">
        <f aca="false">IF($E144="","",I144+J144)</f>
        <v/>
      </c>
      <c r="L144" s="53" t="str">
        <f aca="false">IF($E144="","",IF(R144=0,"SEM CUSTO — falta linha de custo","OK"))</f>
        <v/>
      </c>
      <c r="M144" s="67" t="str">
        <f aca="false">IF(AND(ISNUMBER(E144),NOT(ISNUMBER(E143))),"F"&amp;ROW()&amp;":G"&amp;X144,"")</f>
        <v/>
      </c>
      <c r="N144" s="30" t="str">
        <f aca="false">IF($E144="","",SUMIFS('Rateio Anexo'!$K$6:$K$600,'Rateio Anexo'!$D$6:$D$600,$B144,'Rateio Anexo'!$B$6:$B$600,"MAT"))</f>
        <v/>
      </c>
      <c r="O144" s="30" t="str">
        <f aca="false">IF($E144="","",SUMIFS('Rateio Anexo'!$K$6:$K$600,'Rateio Anexo'!$D$6:$D$600,$B144,'Rateio Anexo'!$B$6:$B$600,"MO"))</f>
        <v/>
      </c>
      <c r="P144" s="30" t="str">
        <f aca="false">IF($E144="","",IF($N$3=0,0,N144/$N$3*$R$4))</f>
        <v/>
      </c>
      <c r="Q144" s="30" t="str">
        <f aca="false">IF($E144="","",IF($O$3=0,0,O144/$O$3*$T$4))</f>
        <v/>
      </c>
      <c r="R144" s="30" t="str">
        <f aca="false">IF($E144="","",N144+O144+P144+Q144)</f>
        <v/>
      </c>
      <c r="S144" s="30" t="str">
        <f aca="false">IF($E144="","",(N144+P144)*Precificação!$B$19)</f>
        <v/>
      </c>
      <c r="T144" s="30" t="str">
        <f aca="false">IF($E144="","",(O144+Q144)*Precificação!$B$20)</f>
        <v/>
      </c>
      <c r="U144" s="68" t="str">
        <f aca="false">IF($E144="","",IF($E144=INT($E144),0.01,IF($E144*2=INT($E144*2),0.02,0.05)))</f>
        <v/>
      </c>
      <c r="V144" s="30" t="str">
        <f aca="false">IF($E144="","",ROUND(S144/$E144/U144,0)*U144)</f>
        <v/>
      </c>
      <c r="W144" s="30" t="str">
        <f aca="false">IF($E144="","",ROUND(T144/$E144/U144,0)*U144)</f>
        <v/>
      </c>
      <c r="X144" s="14" t="str">
        <f aca="false">IF(NOT(ISNUMBER(E144)),"",IF(NOT(ISNUMBER(E145)),ROW(),X145))</f>
        <v/>
      </c>
    </row>
    <row r="145" customFormat="false" ht="15" hidden="false" customHeight="false" outlineLevel="0" collapsed="false">
      <c r="F145" s="66" t="str">
        <f aca="false">IF($E145="","",V145)</f>
        <v/>
      </c>
      <c r="G145" s="66" t="str">
        <f aca="false">IF($E145="","",ROUND(W145+IF($B145=Precificação!$B$26,$F$3/$E145,0),2))</f>
        <v/>
      </c>
      <c r="H145" s="30" t="str">
        <f aca="false">IF($E145="","",F145+G145)</f>
        <v/>
      </c>
      <c r="I145" s="30" t="str">
        <f aca="false">IF($E145="","",$E145*F145)</f>
        <v/>
      </c>
      <c r="J145" s="30" t="str">
        <f aca="false">IF($E145="","",$E145*G145)</f>
        <v/>
      </c>
      <c r="K145" s="30" t="str">
        <f aca="false">IF($E145="","",I145+J145)</f>
        <v/>
      </c>
      <c r="L145" s="53" t="str">
        <f aca="false">IF($E145="","",IF(R145=0,"SEM CUSTO — falta linha de custo","OK"))</f>
        <v/>
      </c>
      <c r="M145" s="67" t="str">
        <f aca="false">IF(AND(ISNUMBER(E145),NOT(ISNUMBER(E144))),"F"&amp;ROW()&amp;":G"&amp;X145,"")</f>
        <v/>
      </c>
      <c r="N145" s="30" t="str">
        <f aca="false">IF($E145="","",SUMIFS('Rateio Anexo'!$K$6:$K$600,'Rateio Anexo'!$D$6:$D$600,$B145,'Rateio Anexo'!$B$6:$B$600,"MAT"))</f>
        <v/>
      </c>
      <c r="O145" s="30" t="str">
        <f aca="false">IF($E145="","",SUMIFS('Rateio Anexo'!$K$6:$K$600,'Rateio Anexo'!$D$6:$D$600,$B145,'Rateio Anexo'!$B$6:$B$600,"MO"))</f>
        <v/>
      </c>
      <c r="P145" s="30" t="str">
        <f aca="false">IF($E145="","",IF($N$3=0,0,N145/$N$3*$R$4))</f>
        <v/>
      </c>
      <c r="Q145" s="30" t="str">
        <f aca="false">IF($E145="","",IF($O$3=0,0,O145/$O$3*$T$4))</f>
        <v/>
      </c>
      <c r="R145" s="30" t="str">
        <f aca="false">IF($E145="","",N145+O145+P145+Q145)</f>
        <v/>
      </c>
      <c r="S145" s="30" t="str">
        <f aca="false">IF($E145="","",(N145+P145)*Precificação!$B$19)</f>
        <v/>
      </c>
      <c r="T145" s="30" t="str">
        <f aca="false">IF($E145="","",(O145+Q145)*Precificação!$B$20)</f>
        <v/>
      </c>
      <c r="U145" s="68" t="str">
        <f aca="false">IF($E145="","",IF($E145=INT($E145),0.01,IF($E145*2=INT($E145*2),0.02,0.05)))</f>
        <v/>
      </c>
      <c r="V145" s="30" t="str">
        <f aca="false">IF($E145="","",ROUND(S145/$E145/U145,0)*U145)</f>
        <v/>
      </c>
      <c r="W145" s="30" t="str">
        <f aca="false">IF($E145="","",ROUND(T145/$E145/U145,0)*U145)</f>
        <v/>
      </c>
      <c r="X145" s="14" t="str">
        <f aca="false">IF(NOT(ISNUMBER(E145)),"",IF(NOT(ISNUMBER(E146)),ROW(),X146))</f>
        <v/>
      </c>
    </row>
    <row r="146" customFormat="false" ht="15" hidden="false" customHeight="false" outlineLevel="0" collapsed="false">
      <c r="F146" s="66" t="str">
        <f aca="false">IF($E146="","",V146)</f>
        <v/>
      </c>
      <c r="G146" s="66" t="str">
        <f aca="false">IF($E146="","",ROUND(W146+IF($B146=Precificação!$B$26,$F$3/$E146,0),2))</f>
        <v/>
      </c>
      <c r="H146" s="30" t="str">
        <f aca="false">IF($E146="","",F146+G146)</f>
        <v/>
      </c>
      <c r="I146" s="30" t="str">
        <f aca="false">IF($E146="","",$E146*F146)</f>
        <v/>
      </c>
      <c r="J146" s="30" t="str">
        <f aca="false">IF($E146="","",$E146*G146)</f>
        <v/>
      </c>
      <c r="K146" s="30" t="str">
        <f aca="false">IF($E146="","",I146+J146)</f>
        <v/>
      </c>
      <c r="L146" s="53" t="str">
        <f aca="false">IF($E146="","",IF(R146=0,"SEM CUSTO — falta linha de custo","OK"))</f>
        <v/>
      </c>
      <c r="M146" s="67" t="str">
        <f aca="false">IF(AND(ISNUMBER(E146),NOT(ISNUMBER(E145))),"F"&amp;ROW()&amp;":G"&amp;X146,"")</f>
        <v/>
      </c>
      <c r="N146" s="30" t="str">
        <f aca="false">IF($E146="","",SUMIFS('Rateio Anexo'!$K$6:$K$600,'Rateio Anexo'!$D$6:$D$600,$B146,'Rateio Anexo'!$B$6:$B$600,"MAT"))</f>
        <v/>
      </c>
      <c r="O146" s="30" t="str">
        <f aca="false">IF($E146="","",SUMIFS('Rateio Anexo'!$K$6:$K$600,'Rateio Anexo'!$D$6:$D$600,$B146,'Rateio Anexo'!$B$6:$B$600,"MO"))</f>
        <v/>
      </c>
      <c r="P146" s="30" t="str">
        <f aca="false">IF($E146="","",IF($N$3=0,0,N146/$N$3*$R$4))</f>
        <v/>
      </c>
      <c r="Q146" s="30" t="str">
        <f aca="false">IF($E146="","",IF($O$3=0,0,O146/$O$3*$T$4))</f>
        <v/>
      </c>
      <c r="R146" s="30" t="str">
        <f aca="false">IF($E146="","",N146+O146+P146+Q146)</f>
        <v/>
      </c>
      <c r="S146" s="30" t="str">
        <f aca="false">IF($E146="","",(N146+P146)*Precificação!$B$19)</f>
        <v/>
      </c>
      <c r="T146" s="30" t="str">
        <f aca="false">IF($E146="","",(O146+Q146)*Precificação!$B$20)</f>
        <v/>
      </c>
      <c r="U146" s="68" t="str">
        <f aca="false">IF($E146="","",IF($E146=INT($E146),0.01,IF($E146*2=INT($E146*2),0.02,0.05)))</f>
        <v/>
      </c>
      <c r="V146" s="30" t="str">
        <f aca="false">IF($E146="","",ROUND(S146/$E146/U146,0)*U146)</f>
        <v/>
      </c>
      <c r="W146" s="30" t="str">
        <f aca="false">IF($E146="","",ROUND(T146/$E146/U146,0)*U146)</f>
        <v/>
      </c>
      <c r="X146" s="14" t="str">
        <f aca="false">IF(NOT(ISNUMBER(E146)),"",IF(NOT(ISNUMBER(E147)),ROW(),X147))</f>
        <v/>
      </c>
    </row>
    <row r="147" customFormat="false" ht="15" hidden="false" customHeight="false" outlineLevel="0" collapsed="false">
      <c r="F147" s="66" t="str">
        <f aca="false">IF($E147="","",V147)</f>
        <v/>
      </c>
      <c r="G147" s="66" t="str">
        <f aca="false">IF($E147="","",ROUND(W147+IF($B147=Precificação!$B$26,$F$3/$E147,0),2))</f>
        <v/>
      </c>
      <c r="H147" s="30" t="str">
        <f aca="false">IF($E147="","",F147+G147)</f>
        <v/>
      </c>
      <c r="I147" s="30" t="str">
        <f aca="false">IF($E147="","",$E147*F147)</f>
        <v/>
      </c>
      <c r="J147" s="30" t="str">
        <f aca="false">IF($E147="","",$E147*G147)</f>
        <v/>
      </c>
      <c r="K147" s="30" t="str">
        <f aca="false">IF($E147="","",I147+J147)</f>
        <v/>
      </c>
      <c r="L147" s="53" t="str">
        <f aca="false">IF($E147="","",IF(R147=0,"SEM CUSTO — falta linha de custo","OK"))</f>
        <v/>
      </c>
      <c r="M147" s="67" t="str">
        <f aca="false">IF(AND(ISNUMBER(E147),NOT(ISNUMBER(E146))),"F"&amp;ROW()&amp;":G"&amp;X147,"")</f>
        <v/>
      </c>
      <c r="N147" s="30" t="str">
        <f aca="false">IF($E147="","",SUMIFS('Rateio Anexo'!$K$6:$K$600,'Rateio Anexo'!$D$6:$D$600,$B147,'Rateio Anexo'!$B$6:$B$600,"MAT"))</f>
        <v/>
      </c>
      <c r="O147" s="30" t="str">
        <f aca="false">IF($E147="","",SUMIFS('Rateio Anexo'!$K$6:$K$600,'Rateio Anexo'!$D$6:$D$600,$B147,'Rateio Anexo'!$B$6:$B$600,"MO"))</f>
        <v/>
      </c>
      <c r="P147" s="30" t="str">
        <f aca="false">IF($E147="","",IF($N$3=0,0,N147/$N$3*$R$4))</f>
        <v/>
      </c>
      <c r="Q147" s="30" t="str">
        <f aca="false">IF($E147="","",IF($O$3=0,0,O147/$O$3*$T$4))</f>
        <v/>
      </c>
      <c r="R147" s="30" t="str">
        <f aca="false">IF($E147="","",N147+O147+P147+Q147)</f>
        <v/>
      </c>
      <c r="S147" s="30" t="str">
        <f aca="false">IF($E147="","",(N147+P147)*Precificação!$B$19)</f>
        <v/>
      </c>
      <c r="T147" s="30" t="str">
        <f aca="false">IF($E147="","",(O147+Q147)*Precificação!$B$20)</f>
        <v/>
      </c>
      <c r="U147" s="68" t="str">
        <f aca="false">IF($E147="","",IF($E147=INT($E147),0.01,IF($E147*2=INT($E147*2),0.02,0.05)))</f>
        <v/>
      </c>
      <c r="V147" s="30" t="str">
        <f aca="false">IF($E147="","",ROUND(S147/$E147/U147,0)*U147)</f>
        <v/>
      </c>
      <c r="W147" s="30" t="str">
        <f aca="false">IF($E147="","",ROUND(T147/$E147/U147,0)*U147)</f>
        <v/>
      </c>
      <c r="X147" s="14" t="str">
        <f aca="false">IF(NOT(ISNUMBER(E147)),"",IF(NOT(ISNUMBER(E148)),ROW(),X148))</f>
        <v/>
      </c>
    </row>
    <row r="148" customFormat="false" ht="15" hidden="false" customHeight="false" outlineLevel="0" collapsed="false">
      <c r="F148" s="66" t="str">
        <f aca="false">IF($E148="","",V148)</f>
        <v/>
      </c>
      <c r="G148" s="66" t="str">
        <f aca="false">IF($E148="","",ROUND(W148+IF($B148=Precificação!$B$26,$F$3/$E148,0),2))</f>
        <v/>
      </c>
      <c r="H148" s="30" t="str">
        <f aca="false">IF($E148="","",F148+G148)</f>
        <v/>
      </c>
      <c r="I148" s="30" t="str">
        <f aca="false">IF($E148="","",$E148*F148)</f>
        <v/>
      </c>
      <c r="J148" s="30" t="str">
        <f aca="false">IF($E148="","",$E148*G148)</f>
        <v/>
      </c>
      <c r="K148" s="30" t="str">
        <f aca="false">IF($E148="","",I148+J148)</f>
        <v/>
      </c>
      <c r="L148" s="53" t="str">
        <f aca="false">IF($E148="","",IF(R148=0,"SEM CUSTO — falta linha de custo","OK"))</f>
        <v/>
      </c>
      <c r="M148" s="67" t="str">
        <f aca="false">IF(AND(ISNUMBER(E148),NOT(ISNUMBER(E147))),"F"&amp;ROW()&amp;":G"&amp;X148,"")</f>
        <v/>
      </c>
      <c r="N148" s="30" t="str">
        <f aca="false">IF($E148="","",SUMIFS('Rateio Anexo'!$K$6:$K$600,'Rateio Anexo'!$D$6:$D$600,$B148,'Rateio Anexo'!$B$6:$B$600,"MAT"))</f>
        <v/>
      </c>
      <c r="O148" s="30" t="str">
        <f aca="false">IF($E148="","",SUMIFS('Rateio Anexo'!$K$6:$K$600,'Rateio Anexo'!$D$6:$D$600,$B148,'Rateio Anexo'!$B$6:$B$600,"MO"))</f>
        <v/>
      </c>
      <c r="P148" s="30" t="str">
        <f aca="false">IF($E148="","",IF($N$3=0,0,N148/$N$3*$R$4))</f>
        <v/>
      </c>
      <c r="Q148" s="30" t="str">
        <f aca="false">IF($E148="","",IF($O$3=0,0,O148/$O$3*$T$4))</f>
        <v/>
      </c>
      <c r="R148" s="30" t="str">
        <f aca="false">IF($E148="","",N148+O148+P148+Q148)</f>
        <v/>
      </c>
      <c r="S148" s="30" t="str">
        <f aca="false">IF($E148="","",(N148+P148)*Precificação!$B$19)</f>
        <v/>
      </c>
      <c r="T148" s="30" t="str">
        <f aca="false">IF($E148="","",(O148+Q148)*Precificação!$B$20)</f>
        <v/>
      </c>
      <c r="U148" s="68" t="str">
        <f aca="false">IF($E148="","",IF($E148=INT($E148),0.01,IF($E148*2=INT($E148*2),0.02,0.05)))</f>
        <v/>
      </c>
      <c r="V148" s="30" t="str">
        <f aca="false">IF($E148="","",ROUND(S148/$E148/U148,0)*U148)</f>
        <v/>
      </c>
      <c r="W148" s="30" t="str">
        <f aca="false">IF($E148="","",ROUND(T148/$E148/U148,0)*U148)</f>
        <v/>
      </c>
      <c r="X148" s="14" t="str">
        <f aca="false">IF(NOT(ISNUMBER(E148)),"",IF(NOT(ISNUMBER(E149)),ROW(),X149))</f>
        <v/>
      </c>
    </row>
    <row r="149" customFormat="false" ht="15" hidden="false" customHeight="false" outlineLevel="0" collapsed="false">
      <c r="F149" s="66" t="str">
        <f aca="false">IF($E149="","",V149)</f>
        <v/>
      </c>
      <c r="G149" s="66" t="str">
        <f aca="false">IF($E149="","",ROUND(W149+IF($B149=Precificação!$B$26,$F$3/$E149,0),2))</f>
        <v/>
      </c>
      <c r="H149" s="30" t="str">
        <f aca="false">IF($E149="","",F149+G149)</f>
        <v/>
      </c>
      <c r="I149" s="30" t="str">
        <f aca="false">IF($E149="","",$E149*F149)</f>
        <v/>
      </c>
      <c r="J149" s="30" t="str">
        <f aca="false">IF($E149="","",$E149*G149)</f>
        <v/>
      </c>
      <c r="K149" s="30" t="str">
        <f aca="false">IF($E149="","",I149+J149)</f>
        <v/>
      </c>
      <c r="L149" s="53" t="str">
        <f aca="false">IF($E149="","",IF(R149=0,"SEM CUSTO — falta linha de custo","OK"))</f>
        <v/>
      </c>
      <c r="M149" s="67" t="str">
        <f aca="false">IF(AND(ISNUMBER(E149),NOT(ISNUMBER(E148))),"F"&amp;ROW()&amp;":G"&amp;X149,"")</f>
        <v/>
      </c>
      <c r="N149" s="30" t="str">
        <f aca="false">IF($E149="","",SUMIFS('Rateio Anexo'!$K$6:$K$600,'Rateio Anexo'!$D$6:$D$600,$B149,'Rateio Anexo'!$B$6:$B$600,"MAT"))</f>
        <v/>
      </c>
      <c r="O149" s="30" t="str">
        <f aca="false">IF($E149="","",SUMIFS('Rateio Anexo'!$K$6:$K$600,'Rateio Anexo'!$D$6:$D$600,$B149,'Rateio Anexo'!$B$6:$B$600,"MO"))</f>
        <v/>
      </c>
      <c r="P149" s="30" t="str">
        <f aca="false">IF($E149="","",IF($N$3=0,0,N149/$N$3*$R$4))</f>
        <v/>
      </c>
      <c r="Q149" s="30" t="str">
        <f aca="false">IF($E149="","",IF($O$3=0,0,O149/$O$3*$T$4))</f>
        <v/>
      </c>
      <c r="R149" s="30" t="str">
        <f aca="false">IF($E149="","",N149+O149+P149+Q149)</f>
        <v/>
      </c>
      <c r="S149" s="30" t="str">
        <f aca="false">IF($E149="","",(N149+P149)*Precificação!$B$19)</f>
        <v/>
      </c>
      <c r="T149" s="30" t="str">
        <f aca="false">IF($E149="","",(O149+Q149)*Precificação!$B$20)</f>
        <v/>
      </c>
      <c r="U149" s="68" t="str">
        <f aca="false">IF($E149="","",IF($E149=INT($E149),0.01,IF($E149*2=INT($E149*2),0.02,0.05)))</f>
        <v/>
      </c>
      <c r="V149" s="30" t="str">
        <f aca="false">IF($E149="","",ROUND(S149/$E149/U149,0)*U149)</f>
        <v/>
      </c>
      <c r="W149" s="30" t="str">
        <f aca="false">IF($E149="","",ROUND(T149/$E149/U149,0)*U149)</f>
        <v/>
      </c>
      <c r="X149" s="14" t="str">
        <f aca="false">IF(NOT(ISNUMBER(E149)),"",IF(NOT(ISNUMBER(E150)),ROW(),X150))</f>
        <v/>
      </c>
    </row>
    <row r="150" customFormat="false" ht="15" hidden="false" customHeight="false" outlineLevel="0" collapsed="false">
      <c r="F150" s="66" t="str">
        <f aca="false">IF($E150="","",V150)</f>
        <v/>
      </c>
      <c r="G150" s="66" t="str">
        <f aca="false">IF($E150="","",ROUND(W150+IF($B150=Precificação!$B$26,$F$3/$E150,0),2))</f>
        <v/>
      </c>
      <c r="H150" s="30" t="str">
        <f aca="false">IF($E150="","",F150+G150)</f>
        <v/>
      </c>
      <c r="I150" s="30" t="str">
        <f aca="false">IF($E150="","",$E150*F150)</f>
        <v/>
      </c>
      <c r="J150" s="30" t="str">
        <f aca="false">IF($E150="","",$E150*G150)</f>
        <v/>
      </c>
      <c r="K150" s="30" t="str">
        <f aca="false">IF($E150="","",I150+J150)</f>
        <v/>
      </c>
      <c r="L150" s="53" t="str">
        <f aca="false">IF($E150="","",IF(R150=0,"SEM CUSTO — falta linha de custo","OK"))</f>
        <v/>
      </c>
      <c r="M150" s="67" t="str">
        <f aca="false">IF(AND(ISNUMBER(E150),NOT(ISNUMBER(E149))),"F"&amp;ROW()&amp;":G"&amp;X150,"")</f>
        <v/>
      </c>
      <c r="N150" s="30" t="str">
        <f aca="false">IF($E150="","",SUMIFS('Rateio Anexo'!$K$6:$K$600,'Rateio Anexo'!$D$6:$D$600,$B150,'Rateio Anexo'!$B$6:$B$600,"MAT"))</f>
        <v/>
      </c>
      <c r="O150" s="30" t="str">
        <f aca="false">IF($E150="","",SUMIFS('Rateio Anexo'!$K$6:$K$600,'Rateio Anexo'!$D$6:$D$600,$B150,'Rateio Anexo'!$B$6:$B$600,"MO"))</f>
        <v/>
      </c>
      <c r="P150" s="30" t="str">
        <f aca="false">IF($E150="","",IF($N$3=0,0,N150/$N$3*$R$4))</f>
        <v/>
      </c>
      <c r="Q150" s="30" t="str">
        <f aca="false">IF($E150="","",IF($O$3=0,0,O150/$O$3*$T$4))</f>
        <v/>
      </c>
      <c r="R150" s="30" t="str">
        <f aca="false">IF($E150="","",N150+O150+P150+Q150)</f>
        <v/>
      </c>
      <c r="S150" s="30" t="str">
        <f aca="false">IF($E150="","",(N150+P150)*Precificação!$B$19)</f>
        <v/>
      </c>
      <c r="T150" s="30" t="str">
        <f aca="false">IF($E150="","",(O150+Q150)*Precificação!$B$20)</f>
        <v/>
      </c>
      <c r="U150" s="68" t="str">
        <f aca="false">IF($E150="","",IF($E150=INT($E150),0.01,IF($E150*2=INT($E150*2),0.02,0.05)))</f>
        <v/>
      </c>
      <c r="V150" s="30" t="str">
        <f aca="false">IF($E150="","",ROUND(S150/$E150/U150,0)*U150)</f>
        <v/>
      </c>
      <c r="W150" s="30" t="str">
        <f aca="false">IF($E150="","",ROUND(T150/$E150/U150,0)*U150)</f>
        <v/>
      </c>
      <c r="X150" s="14" t="str">
        <f aca="false">IF(NOT(ISNUMBER(E150)),"",IF(NOT(ISNUMBER(E151)),ROW(),X151))</f>
        <v/>
      </c>
    </row>
    <row r="151" customFormat="false" ht="15" hidden="false" customHeight="false" outlineLevel="0" collapsed="false">
      <c r="F151" s="66" t="str">
        <f aca="false">IF($E151="","",V151)</f>
        <v/>
      </c>
      <c r="G151" s="66" t="str">
        <f aca="false">IF($E151="","",ROUND(W151+IF($B151=Precificação!$B$26,$F$3/$E151,0),2))</f>
        <v/>
      </c>
      <c r="H151" s="30" t="str">
        <f aca="false">IF($E151="","",F151+G151)</f>
        <v/>
      </c>
      <c r="I151" s="30" t="str">
        <f aca="false">IF($E151="","",$E151*F151)</f>
        <v/>
      </c>
      <c r="J151" s="30" t="str">
        <f aca="false">IF($E151="","",$E151*G151)</f>
        <v/>
      </c>
      <c r="K151" s="30" t="str">
        <f aca="false">IF($E151="","",I151+J151)</f>
        <v/>
      </c>
      <c r="L151" s="53" t="str">
        <f aca="false">IF($E151="","",IF(R151=0,"SEM CUSTO — falta linha de custo","OK"))</f>
        <v/>
      </c>
      <c r="M151" s="67" t="str">
        <f aca="false">IF(AND(ISNUMBER(E151),NOT(ISNUMBER(E150))),"F"&amp;ROW()&amp;":G"&amp;X151,"")</f>
        <v/>
      </c>
      <c r="N151" s="30" t="str">
        <f aca="false">IF($E151="","",SUMIFS('Rateio Anexo'!$K$6:$K$600,'Rateio Anexo'!$D$6:$D$600,$B151,'Rateio Anexo'!$B$6:$B$600,"MAT"))</f>
        <v/>
      </c>
      <c r="O151" s="30" t="str">
        <f aca="false">IF($E151="","",SUMIFS('Rateio Anexo'!$K$6:$K$600,'Rateio Anexo'!$D$6:$D$600,$B151,'Rateio Anexo'!$B$6:$B$600,"MO"))</f>
        <v/>
      </c>
      <c r="P151" s="30" t="str">
        <f aca="false">IF($E151="","",IF($N$3=0,0,N151/$N$3*$R$4))</f>
        <v/>
      </c>
      <c r="Q151" s="30" t="str">
        <f aca="false">IF($E151="","",IF($O$3=0,0,O151/$O$3*$T$4))</f>
        <v/>
      </c>
      <c r="R151" s="30" t="str">
        <f aca="false">IF($E151="","",N151+O151+P151+Q151)</f>
        <v/>
      </c>
      <c r="S151" s="30" t="str">
        <f aca="false">IF($E151="","",(N151+P151)*Precificação!$B$19)</f>
        <v/>
      </c>
      <c r="T151" s="30" t="str">
        <f aca="false">IF($E151="","",(O151+Q151)*Precificação!$B$20)</f>
        <v/>
      </c>
      <c r="U151" s="68" t="str">
        <f aca="false">IF($E151="","",IF($E151=INT($E151),0.01,IF($E151*2=INT($E151*2),0.02,0.05)))</f>
        <v/>
      </c>
      <c r="V151" s="30" t="str">
        <f aca="false">IF($E151="","",ROUND(S151/$E151/U151,0)*U151)</f>
        <v/>
      </c>
      <c r="W151" s="30" t="str">
        <f aca="false">IF($E151="","",ROUND(T151/$E151/U151,0)*U151)</f>
        <v/>
      </c>
      <c r="X151" s="14" t="str">
        <f aca="false">IF(NOT(ISNUMBER(E151)),"",IF(NOT(ISNUMBER(E152)),ROW(),X152))</f>
        <v/>
      </c>
    </row>
    <row r="152" customFormat="false" ht="15" hidden="false" customHeight="false" outlineLevel="0" collapsed="false">
      <c r="F152" s="66" t="str">
        <f aca="false">IF($E152="","",V152)</f>
        <v/>
      </c>
      <c r="G152" s="66" t="str">
        <f aca="false">IF($E152="","",ROUND(W152+IF($B152=Precificação!$B$26,$F$3/$E152,0),2))</f>
        <v/>
      </c>
      <c r="H152" s="30" t="str">
        <f aca="false">IF($E152="","",F152+G152)</f>
        <v/>
      </c>
      <c r="I152" s="30" t="str">
        <f aca="false">IF($E152="","",$E152*F152)</f>
        <v/>
      </c>
      <c r="J152" s="30" t="str">
        <f aca="false">IF($E152="","",$E152*G152)</f>
        <v/>
      </c>
      <c r="K152" s="30" t="str">
        <f aca="false">IF($E152="","",I152+J152)</f>
        <v/>
      </c>
      <c r="L152" s="53" t="str">
        <f aca="false">IF($E152="","",IF(R152=0,"SEM CUSTO — falta linha de custo","OK"))</f>
        <v/>
      </c>
      <c r="M152" s="67" t="str">
        <f aca="false">IF(AND(ISNUMBER(E152),NOT(ISNUMBER(E151))),"F"&amp;ROW()&amp;":G"&amp;X152,"")</f>
        <v/>
      </c>
      <c r="N152" s="30" t="str">
        <f aca="false">IF($E152="","",SUMIFS('Rateio Anexo'!$K$6:$K$600,'Rateio Anexo'!$D$6:$D$600,$B152,'Rateio Anexo'!$B$6:$B$600,"MAT"))</f>
        <v/>
      </c>
      <c r="O152" s="30" t="str">
        <f aca="false">IF($E152="","",SUMIFS('Rateio Anexo'!$K$6:$K$600,'Rateio Anexo'!$D$6:$D$600,$B152,'Rateio Anexo'!$B$6:$B$600,"MO"))</f>
        <v/>
      </c>
      <c r="P152" s="30" t="str">
        <f aca="false">IF($E152="","",IF($N$3=0,0,N152/$N$3*$R$4))</f>
        <v/>
      </c>
      <c r="Q152" s="30" t="str">
        <f aca="false">IF($E152="","",IF($O$3=0,0,O152/$O$3*$T$4))</f>
        <v/>
      </c>
      <c r="R152" s="30" t="str">
        <f aca="false">IF($E152="","",N152+O152+P152+Q152)</f>
        <v/>
      </c>
      <c r="S152" s="30" t="str">
        <f aca="false">IF($E152="","",(N152+P152)*Precificação!$B$19)</f>
        <v/>
      </c>
      <c r="T152" s="30" t="str">
        <f aca="false">IF($E152="","",(O152+Q152)*Precificação!$B$20)</f>
        <v/>
      </c>
      <c r="U152" s="68" t="str">
        <f aca="false">IF($E152="","",IF($E152=INT($E152),0.01,IF($E152*2=INT($E152*2),0.02,0.05)))</f>
        <v/>
      </c>
      <c r="V152" s="30" t="str">
        <f aca="false">IF($E152="","",ROUND(S152/$E152/U152,0)*U152)</f>
        <v/>
      </c>
      <c r="W152" s="30" t="str">
        <f aca="false">IF($E152="","",ROUND(T152/$E152/U152,0)*U152)</f>
        <v/>
      </c>
      <c r="X152" s="14" t="str">
        <f aca="false">IF(NOT(ISNUMBER(E152)),"",IF(NOT(ISNUMBER(E153)),ROW(),X153))</f>
        <v/>
      </c>
    </row>
    <row r="153" customFormat="false" ht="15" hidden="false" customHeight="false" outlineLevel="0" collapsed="false">
      <c r="F153" s="66" t="str">
        <f aca="false">IF($E153="","",V153)</f>
        <v/>
      </c>
      <c r="G153" s="66" t="str">
        <f aca="false">IF($E153="","",ROUND(W153+IF($B153=Precificação!$B$26,$F$3/$E153,0),2))</f>
        <v/>
      </c>
      <c r="H153" s="30" t="str">
        <f aca="false">IF($E153="","",F153+G153)</f>
        <v/>
      </c>
      <c r="I153" s="30" t="str">
        <f aca="false">IF($E153="","",$E153*F153)</f>
        <v/>
      </c>
      <c r="J153" s="30" t="str">
        <f aca="false">IF($E153="","",$E153*G153)</f>
        <v/>
      </c>
      <c r="K153" s="30" t="str">
        <f aca="false">IF($E153="","",I153+J153)</f>
        <v/>
      </c>
      <c r="L153" s="53" t="str">
        <f aca="false">IF($E153="","",IF(R153=0,"SEM CUSTO — falta linha de custo","OK"))</f>
        <v/>
      </c>
      <c r="M153" s="67" t="str">
        <f aca="false">IF(AND(ISNUMBER(E153),NOT(ISNUMBER(E152))),"F"&amp;ROW()&amp;":G"&amp;X153,"")</f>
        <v/>
      </c>
      <c r="N153" s="30" t="str">
        <f aca="false">IF($E153="","",SUMIFS('Rateio Anexo'!$K$6:$K$600,'Rateio Anexo'!$D$6:$D$600,$B153,'Rateio Anexo'!$B$6:$B$600,"MAT"))</f>
        <v/>
      </c>
      <c r="O153" s="30" t="str">
        <f aca="false">IF($E153="","",SUMIFS('Rateio Anexo'!$K$6:$K$600,'Rateio Anexo'!$D$6:$D$600,$B153,'Rateio Anexo'!$B$6:$B$600,"MO"))</f>
        <v/>
      </c>
      <c r="P153" s="30" t="str">
        <f aca="false">IF($E153="","",IF($N$3=0,0,N153/$N$3*$R$4))</f>
        <v/>
      </c>
      <c r="Q153" s="30" t="str">
        <f aca="false">IF($E153="","",IF($O$3=0,0,O153/$O$3*$T$4))</f>
        <v/>
      </c>
      <c r="R153" s="30" t="str">
        <f aca="false">IF($E153="","",N153+O153+P153+Q153)</f>
        <v/>
      </c>
      <c r="S153" s="30" t="str">
        <f aca="false">IF($E153="","",(N153+P153)*Precificação!$B$19)</f>
        <v/>
      </c>
      <c r="T153" s="30" t="str">
        <f aca="false">IF($E153="","",(O153+Q153)*Precificação!$B$20)</f>
        <v/>
      </c>
      <c r="U153" s="68" t="str">
        <f aca="false">IF($E153="","",IF($E153=INT($E153),0.01,IF($E153*2=INT($E153*2),0.02,0.05)))</f>
        <v/>
      </c>
      <c r="V153" s="30" t="str">
        <f aca="false">IF($E153="","",ROUND(S153/$E153/U153,0)*U153)</f>
        <v/>
      </c>
      <c r="W153" s="30" t="str">
        <f aca="false">IF($E153="","",ROUND(T153/$E153/U153,0)*U153)</f>
        <v/>
      </c>
      <c r="X153" s="14" t="str">
        <f aca="false">IF(NOT(ISNUMBER(E153)),"",IF(NOT(ISNUMBER(E154)),ROW(),X154))</f>
        <v/>
      </c>
    </row>
    <row r="154" customFormat="false" ht="15" hidden="false" customHeight="false" outlineLevel="0" collapsed="false">
      <c r="F154" s="66" t="str">
        <f aca="false">IF($E154="","",V154)</f>
        <v/>
      </c>
      <c r="G154" s="66" t="str">
        <f aca="false">IF($E154="","",ROUND(W154+IF($B154=Precificação!$B$26,$F$3/$E154,0),2))</f>
        <v/>
      </c>
      <c r="H154" s="30" t="str">
        <f aca="false">IF($E154="","",F154+G154)</f>
        <v/>
      </c>
      <c r="I154" s="30" t="str">
        <f aca="false">IF($E154="","",$E154*F154)</f>
        <v/>
      </c>
      <c r="J154" s="30" t="str">
        <f aca="false">IF($E154="","",$E154*G154)</f>
        <v/>
      </c>
      <c r="K154" s="30" t="str">
        <f aca="false">IF($E154="","",I154+J154)</f>
        <v/>
      </c>
      <c r="L154" s="53" t="str">
        <f aca="false">IF($E154="","",IF(R154=0,"SEM CUSTO — falta linha de custo","OK"))</f>
        <v/>
      </c>
      <c r="M154" s="67" t="str">
        <f aca="false">IF(AND(ISNUMBER(E154),NOT(ISNUMBER(E153))),"F"&amp;ROW()&amp;":G"&amp;X154,"")</f>
        <v/>
      </c>
      <c r="N154" s="30" t="str">
        <f aca="false">IF($E154="","",SUMIFS('Rateio Anexo'!$K$6:$K$600,'Rateio Anexo'!$D$6:$D$600,$B154,'Rateio Anexo'!$B$6:$B$600,"MAT"))</f>
        <v/>
      </c>
      <c r="O154" s="30" t="str">
        <f aca="false">IF($E154="","",SUMIFS('Rateio Anexo'!$K$6:$K$600,'Rateio Anexo'!$D$6:$D$600,$B154,'Rateio Anexo'!$B$6:$B$600,"MO"))</f>
        <v/>
      </c>
      <c r="P154" s="30" t="str">
        <f aca="false">IF($E154="","",IF($N$3=0,0,N154/$N$3*$R$4))</f>
        <v/>
      </c>
      <c r="Q154" s="30" t="str">
        <f aca="false">IF($E154="","",IF($O$3=0,0,O154/$O$3*$T$4))</f>
        <v/>
      </c>
      <c r="R154" s="30" t="str">
        <f aca="false">IF($E154="","",N154+O154+P154+Q154)</f>
        <v/>
      </c>
      <c r="S154" s="30" t="str">
        <f aca="false">IF($E154="","",(N154+P154)*Precificação!$B$19)</f>
        <v/>
      </c>
      <c r="T154" s="30" t="str">
        <f aca="false">IF($E154="","",(O154+Q154)*Precificação!$B$20)</f>
        <v/>
      </c>
      <c r="U154" s="68" t="str">
        <f aca="false">IF($E154="","",IF($E154=INT($E154),0.01,IF($E154*2=INT($E154*2),0.02,0.05)))</f>
        <v/>
      </c>
      <c r="V154" s="30" t="str">
        <f aca="false">IF($E154="","",ROUND(S154/$E154/U154,0)*U154)</f>
        <v/>
      </c>
      <c r="W154" s="30" t="str">
        <f aca="false">IF($E154="","",ROUND(T154/$E154/U154,0)*U154)</f>
        <v/>
      </c>
      <c r="X154" s="14" t="str">
        <f aca="false">IF(NOT(ISNUMBER(E154)),"",IF(NOT(ISNUMBER(E155)),ROW(),X155))</f>
        <v/>
      </c>
    </row>
    <row r="155" customFormat="false" ht="15" hidden="false" customHeight="false" outlineLevel="0" collapsed="false">
      <c r="F155" s="66" t="str">
        <f aca="false">IF($E155="","",V155)</f>
        <v/>
      </c>
      <c r="G155" s="66" t="str">
        <f aca="false">IF($E155="","",ROUND(W155+IF($B155=Precificação!$B$26,$F$3/$E155,0),2))</f>
        <v/>
      </c>
      <c r="H155" s="30" t="str">
        <f aca="false">IF($E155="","",F155+G155)</f>
        <v/>
      </c>
      <c r="I155" s="30" t="str">
        <f aca="false">IF($E155="","",$E155*F155)</f>
        <v/>
      </c>
      <c r="J155" s="30" t="str">
        <f aca="false">IF($E155="","",$E155*G155)</f>
        <v/>
      </c>
      <c r="K155" s="30" t="str">
        <f aca="false">IF($E155="","",I155+J155)</f>
        <v/>
      </c>
      <c r="L155" s="53" t="str">
        <f aca="false">IF($E155="","",IF(R155=0,"SEM CUSTO — falta linha de custo","OK"))</f>
        <v/>
      </c>
      <c r="M155" s="67" t="str">
        <f aca="false">IF(AND(ISNUMBER(E155),NOT(ISNUMBER(E154))),"F"&amp;ROW()&amp;":G"&amp;X155,"")</f>
        <v/>
      </c>
      <c r="N155" s="30" t="str">
        <f aca="false">IF($E155="","",SUMIFS('Rateio Anexo'!$K$6:$K$600,'Rateio Anexo'!$D$6:$D$600,$B155,'Rateio Anexo'!$B$6:$B$600,"MAT"))</f>
        <v/>
      </c>
      <c r="O155" s="30" t="str">
        <f aca="false">IF($E155="","",SUMIFS('Rateio Anexo'!$K$6:$K$600,'Rateio Anexo'!$D$6:$D$600,$B155,'Rateio Anexo'!$B$6:$B$600,"MO"))</f>
        <v/>
      </c>
      <c r="P155" s="30" t="str">
        <f aca="false">IF($E155="","",IF($N$3=0,0,N155/$N$3*$R$4))</f>
        <v/>
      </c>
      <c r="Q155" s="30" t="str">
        <f aca="false">IF($E155="","",IF($O$3=0,0,O155/$O$3*$T$4))</f>
        <v/>
      </c>
      <c r="R155" s="30" t="str">
        <f aca="false">IF($E155="","",N155+O155+P155+Q155)</f>
        <v/>
      </c>
      <c r="S155" s="30" t="str">
        <f aca="false">IF($E155="","",(N155+P155)*Precificação!$B$19)</f>
        <v/>
      </c>
      <c r="T155" s="30" t="str">
        <f aca="false">IF($E155="","",(O155+Q155)*Precificação!$B$20)</f>
        <v/>
      </c>
      <c r="U155" s="68" t="str">
        <f aca="false">IF($E155="","",IF($E155=INT($E155),0.01,IF($E155*2=INT($E155*2),0.02,0.05)))</f>
        <v/>
      </c>
      <c r="V155" s="30" t="str">
        <f aca="false">IF($E155="","",ROUND(S155/$E155/U155,0)*U155)</f>
        <v/>
      </c>
      <c r="W155" s="30" t="str">
        <f aca="false">IF($E155="","",ROUND(T155/$E155/U155,0)*U155)</f>
        <v/>
      </c>
      <c r="X155" s="14" t="str">
        <f aca="false">IF(NOT(ISNUMBER(E155)),"",IF(NOT(ISNUMBER(E156)),ROW(),X156))</f>
        <v/>
      </c>
    </row>
    <row r="156" customFormat="false" ht="15" hidden="false" customHeight="false" outlineLevel="0" collapsed="false">
      <c r="F156" s="66" t="str">
        <f aca="false">IF($E156="","",V156)</f>
        <v/>
      </c>
      <c r="G156" s="66" t="str">
        <f aca="false">IF($E156="","",ROUND(W156+IF($B156=Precificação!$B$26,$F$3/$E156,0),2))</f>
        <v/>
      </c>
      <c r="H156" s="30" t="str">
        <f aca="false">IF($E156="","",F156+G156)</f>
        <v/>
      </c>
      <c r="I156" s="30" t="str">
        <f aca="false">IF($E156="","",$E156*F156)</f>
        <v/>
      </c>
      <c r="J156" s="30" t="str">
        <f aca="false">IF($E156="","",$E156*G156)</f>
        <v/>
      </c>
      <c r="K156" s="30" t="str">
        <f aca="false">IF($E156="","",I156+J156)</f>
        <v/>
      </c>
      <c r="L156" s="53" t="str">
        <f aca="false">IF($E156="","",IF(R156=0,"SEM CUSTO — falta linha de custo","OK"))</f>
        <v/>
      </c>
      <c r="M156" s="67" t="str">
        <f aca="false">IF(AND(ISNUMBER(E156),NOT(ISNUMBER(E155))),"F"&amp;ROW()&amp;":G"&amp;X156,"")</f>
        <v/>
      </c>
      <c r="N156" s="30" t="str">
        <f aca="false">IF($E156="","",SUMIFS('Rateio Anexo'!$K$6:$K$600,'Rateio Anexo'!$D$6:$D$600,$B156,'Rateio Anexo'!$B$6:$B$600,"MAT"))</f>
        <v/>
      </c>
      <c r="O156" s="30" t="str">
        <f aca="false">IF($E156="","",SUMIFS('Rateio Anexo'!$K$6:$K$600,'Rateio Anexo'!$D$6:$D$600,$B156,'Rateio Anexo'!$B$6:$B$600,"MO"))</f>
        <v/>
      </c>
      <c r="P156" s="30" t="str">
        <f aca="false">IF($E156="","",IF($N$3=0,0,N156/$N$3*$R$4))</f>
        <v/>
      </c>
      <c r="Q156" s="30" t="str">
        <f aca="false">IF($E156="","",IF($O$3=0,0,O156/$O$3*$T$4))</f>
        <v/>
      </c>
      <c r="R156" s="30" t="str">
        <f aca="false">IF($E156="","",N156+O156+P156+Q156)</f>
        <v/>
      </c>
      <c r="S156" s="30" t="str">
        <f aca="false">IF($E156="","",(N156+P156)*Precificação!$B$19)</f>
        <v/>
      </c>
      <c r="T156" s="30" t="str">
        <f aca="false">IF($E156="","",(O156+Q156)*Precificação!$B$20)</f>
        <v/>
      </c>
      <c r="U156" s="68" t="str">
        <f aca="false">IF($E156="","",IF($E156=INT($E156),0.01,IF($E156*2=INT($E156*2),0.02,0.05)))</f>
        <v/>
      </c>
      <c r="V156" s="30" t="str">
        <f aca="false">IF($E156="","",ROUND(S156/$E156/U156,0)*U156)</f>
        <v/>
      </c>
      <c r="W156" s="30" t="str">
        <f aca="false">IF($E156="","",ROUND(T156/$E156/U156,0)*U156)</f>
        <v/>
      </c>
      <c r="X156" s="14" t="str">
        <f aca="false">IF(NOT(ISNUMBER(E156)),"",IF(NOT(ISNUMBER(E157)),ROW(),X157))</f>
        <v/>
      </c>
    </row>
    <row r="157" customFormat="false" ht="15" hidden="false" customHeight="false" outlineLevel="0" collapsed="false">
      <c r="F157" s="66" t="str">
        <f aca="false">IF($E157="","",V157)</f>
        <v/>
      </c>
      <c r="G157" s="66" t="str">
        <f aca="false">IF($E157="","",ROUND(W157+IF($B157=Precificação!$B$26,$F$3/$E157,0),2))</f>
        <v/>
      </c>
      <c r="H157" s="30" t="str">
        <f aca="false">IF($E157="","",F157+G157)</f>
        <v/>
      </c>
      <c r="I157" s="30" t="str">
        <f aca="false">IF($E157="","",$E157*F157)</f>
        <v/>
      </c>
      <c r="J157" s="30" t="str">
        <f aca="false">IF($E157="","",$E157*G157)</f>
        <v/>
      </c>
      <c r="K157" s="30" t="str">
        <f aca="false">IF($E157="","",I157+J157)</f>
        <v/>
      </c>
      <c r="L157" s="53" t="str">
        <f aca="false">IF($E157="","",IF(R157=0,"SEM CUSTO — falta linha de custo","OK"))</f>
        <v/>
      </c>
      <c r="M157" s="67" t="str">
        <f aca="false">IF(AND(ISNUMBER(E157),NOT(ISNUMBER(E156))),"F"&amp;ROW()&amp;":G"&amp;X157,"")</f>
        <v/>
      </c>
      <c r="N157" s="30" t="str">
        <f aca="false">IF($E157="","",SUMIFS('Rateio Anexo'!$K$6:$K$600,'Rateio Anexo'!$D$6:$D$600,$B157,'Rateio Anexo'!$B$6:$B$600,"MAT"))</f>
        <v/>
      </c>
      <c r="O157" s="30" t="str">
        <f aca="false">IF($E157="","",SUMIFS('Rateio Anexo'!$K$6:$K$600,'Rateio Anexo'!$D$6:$D$600,$B157,'Rateio Anexo'!$B$6:$B$600,"MO"))</f>
        <v/>
      </c>
      <c r="P157" s="30" t="str">
        <f aca="false">IF($E157="","",IF($N$3=0,0,N157/$N$3*$R$4))</f>
        <v/>
      </c>
      <c r="Q157" s="30" t="str">
        <f aca="false">IF($E157="","",IF($O$3=0,0,O157/$O$3*$T$4))</f>
        <v/>
      </c>
      <c r="R157" s="30" t="str">
        <f aca="false">IF($E157="","",N157+O157+P157+Q157)</f>
        <v/>
      </c>
      <c r="S157" s="30" t="str">
        <f aca="false">IF($E157="","",(N157+P157)*Precificação!$B$19)</f>
        <v/>
      </c>
      <c r="T157" s="30" t="str">
        <f aca="false">IF($E157="","",(O157+Q157)*Precificação!$B$20)</f>
        <v/>
      </c>
      <c r="U157" s="68" t="str">
        <f aca="false">IF($E157="","",IF($E157=INT($E157),0.01,IF($E157*2=INT($E157*2),0.02,0.05)))</f>
        <v/>
      </c>
      <c r="V157" s="30" t="str">
        <f aca="false">IF($E157="","",ROUND(S157/$E157/U157,0)*U157)</f>
        <v/>
      </c>
      <c r="W157" s="30" t="str">
        <f aca="false">IF($E157="","",ROUND(T157/$E157/U157,0)*U157)</f>
        <v/>
      </c>
      <c r="X157" s="14" t="str">
        <f aca="false">IF(NOT(ISNUMBER(E157)),"",IF(NOT(ISNUMBER(E158)),ROW(),X158))</f>
        <v/>
      </c>
    </row>
    <row r="158" customFormat="false" ht="15" hidden="false" customHeight="false" outlineLevel="0" collapsed="false">
      <c r="F158" s="66" t="str">
        <f aca="false">IF($E158="","",V158)</f>
        <v/>
      </c>
      <c r="G158" s="66" t="str">
        <f aca="false">IF($E158="","",ROUND(W158+IF($B158=Precificação!$B$26,$F$3/$E158,0),2))</f>
        <v/>
      </c>
      <c r="H158" s="30" t="str">
        <f aca="false">IF($E158="","",F158+G158)</f>
        <v/>
      </c>
      <c r="I158" s="30" t="str">
        <f aca="false">IF($E158="","",$E158*F158)</f>
        <v/>
      </c>
      <c r="J158" s="30" t="str">
        <f aca="false">IF($E158="","",$E158*G158)</f>
        <v/>
      </c>
      <c r="K158" s="30" t="str">
        <f aca="false">IF($E158="","",I158+J158)</f>
        <v/>
      </c>
      <c r="L158" s="53" t="str">
        <f aca="false">IF($E158="","",IF(R158=0,"SEM CUSTO — falta linha de custo","OK"))</f>
        <v/>
      </c>
      <c r="M158" s="67" t="str">
        <f aca="false">IF(AND(ISNUMBER(E158),NOT(ISNUMBER(E157))),"F"&amp;ROW()&amp;":G"&amp;X158,"")</f>
        <v/>
      </c>
      <c r="N158" s="30" t="str">
        <f aca="false">IF($E158="","",SUMIFS('Rateio Anexo'!$K$6:$K$600,'Rateio Anexo'!$D$6:$D$600,$B158,'Rateio Anexo'!$B$6:$B$600,"MAT"))</f>
        <v/>
      </c>
      <c r="O158" s="30" t="str">
        <f aca="false">IF($E158="","",SUMIFS('Rateio Anexo'!$K$6:$K$600,'Rateio Anexo'!$D$6:$D$600,$B158,'Rateio Anexo'!$B$6:$B$600,"MO"))</f>
        <v/>
      </c>
      <c r="P158" s="30" t="str">
        <f aca="false">IF($E158="","",IF($N$3=0,0,N158/$N$3*$R$4))</f>
        <v/>
      </c>
      <c r="Q158" s="30" t="str">
        <f aca="false">IF($E158="","",IF($O$3=0,0,O158/$O$3*$T$4))</f>
        <v/>
      </c>
      <c r="R158" s="30" t="str">
        <f aca="false">IF($E158="","",N158+O158+P158+Q158)</f>
        <v/>
      </c>
      <c r="S158" s="30" t="str">
        <f aca="false">IF($E158="","",(N158+P158)*Precificação!$B$19)</f>
        <v/>
      </c>
      <c r="T158" s="30" t="str">
        <f aca="false">IF($E158="","",(O158+Q158)*Precificação!$B$20)</f>
        <v/>
      </c>
      <c r="U158" s="68" t="str">
        <f aca="false">IF($E158="","",IF($E158=INT($E158),0.01,IF($E158*2=INT($E158*2),0.02,0.05)))</f>
        <v/>
      </c>
      <c r="V158" s="30" t="str">
        <f aca="false">IF($E158="","",ROUND(S158/$E158/U158,0)*U158)</f>
        <v/>
      </c>
      <c r="W158" s="30" t="str">
        <f aca="false">IF($E158="","",ROUND(T158/$E158/U158,0)*U158)</f>
        <v/>
      </c>
      <c r="X158" s="14" t="str">
        <f aca="false">IF(NOT(ISNUMBER(E158)),"",IF(NOT(ISNUMBER(E159)),ROW(),X159))</f>
        <v/>
      </c>
    </row>
    <row r="159" customFormat="false" ht="15" hidden="false" customHeight="false" outlineLevel="0" collapsed="false">
      <c r="F159" s="66" t="str">
        <f aca="false">IF($E159="","",V159)</f>
        <v/>
      </c>
      <c r="G159" s="66" t="str">
        <f aca="false">IF($E159="","",ROUND(W159+IF($B159=Precificação!$B$26,$F$3/$E159,0),2))</f>
        <v/>
      </c>
      <c r="H159" s="30" t="str">
        <f aca="false">IF($E159="","",F159+G159)</f>
        <v/>
      </c>
      <c r="I159" s="30" t="str">
        <f aca="false">IF($E159="","",$E159*F159)</f>
        <v/>
      </c>
      <c r="J159" s="30" t="str">
        <f aca="false">IF($E159="","",$E159*G159)</f>
        <v/>
      </c>
      <c r="K159" s="30" t="str">
        <f aca="false">IF($E159="","",I159+J159)</f>
        <v/>
      </c>
      <c r="L159" s="53" t="str">
        <f aca="false">IF($E159="","",IF(R159=0,"SEM CUSTO — falta linha de custo","OK"))</f>
        <v/>
      </c>
      <c r="M159" s="67" t="str">
        <f aca="false">IF(AND(ISNUMBER(E159),NOT(ISNUMBER(E158))),"F"&amp;ROW()&amp;":G"&amp;X159,"")</f>
        <v/>
      </c>
      <c r="N159" s="30" t="str">
        <f aca="false">IF($E159="","",SUMIFS('Rateio Anexo'!$K$6:$K$600,'Rateio Anexo'!$D$6:$D$600,$B159,'Rateio Anexo'!$B$6:$B$600,"MAT"))</f>
        <v/>
      </c>
      <c r="O159" s="30" t="str">
        <f aca="false">IF($E159="","",SUMIFS('Rateio Anexo'!$K$6:$K$600,'Rateio Anexo'!$D$6:$D$600,$B159,'Rateio Anexo'!$B$6:$B$600,"MO"))</f>
        <v/>
      </c>
      <c r="P159" s="30" t="str">
        <f aca="false">IF($E159="","",IF($N$3=0,0,N159/$N$3*$R$4))</f>
        <v/>
      </c>
      <c r="Q159" s="30" t="str">
        <f aca="false">IF($E159="","",IF($O$3=0,0,O159/$O$3*$T$4))</f>
        <v/>
      </c>
      <c r="R159" s="30" t="str">
        <f aca="false">IF($E159="","",N159+O159+P159+Q159)</f>
        <v/>
      </c>
      <c r="S159" s="30" t="str">
        <f aca="false">IF($E159="","",(N159+P159)*Precificação!$B$19)</f>
        <v/>
      </c>
      <c r="T159" s="30" t="str">
        <f aca="false">IF($E159="","",(O159+Q159)*Precificação!$B$20)</f>
        <v/>
      </c>
      <c r="U159" s="68" t="str">
        <f aca="false">IF($E159="","",IF($E159=INT($E159),0.01,IF($E159*2=INT($E159*2),0.02,0.05)))</f>
        <v/>
      </c>
      <c r="V159" s="30" t="str">
        <f aca="false">IF($E159="","",ROUND(S159/$E159/U159,0)*U159)</f>
        <v/>
      </c>
      <c r="W159" s="30" t="str">
        <f aca="false">IF($E159="","",ROUND(T159/$E159/U159,0)*U159)</f>
        <v/>
      </c>
      <c r="X159" s="14" t="str">
        <f aca="false">IF(NOT(ISNUMBER(E159)),"",IF(NOT(ISNUMBER(E160)),ROW(),X160))</f>
        <v/>
      </c>
    </row>
    <row r="160" customFormat="false" ht="15" hidden="false" customHeight="false" outlineLevel="0" collapsed="false">
      <c r="F160" s="66" t="str">
        <f aca="false">IF($E160="","",V160)</f>
        <v/>
      </c>
      <c r="G160" s="66" t="str">
        <f aca="false">IF($E160="","",ROUND(W160+IF($B160=Precificação!$B$26,$F$3/$E160,0),2))</f>
        <v/>
      </c>
      <c r="H160" s="30" t="str">
        <f aca="false">IF($E160="","",F160+G160)</f>
        <v/>
      </c>
      <c r="I160" s="30" t="str">
        <f aca="false">IF($E160="","",$E160*F160)</f>
        <v/>
      </c>
      <c r="J160" s="30" t="str">
        <f aca="false">IF($E160="","",$E160*G160)</f>
        <v/>
      </c>
      <c r="K160" s="30" t="str">
        <f aca="false">IF($E160="","",I160+J160)</f>
        <v/>
      </c>
      <c r="L160" s="53" t="str">
        <f aca="false">IF($E160="","",IF(R160=0,"SEM CUSTO — falta linha de custo","OK"))</f>
        <v/>
      </c>
      <c r="M160" s="67" t="str">
        <f aca="false">IF(AND(ISNUMBER(E160),NOT(ISNUMBER(E159))),"F"&amp;ROW()&amp;":G"&amp;X160,"")</f>
        <v/>
      </c>
      <c r="N160" s="30" t="str">
        <f aca="false">IF($E160="","",SUMIFS('Rateio Anexo'!$K$6:$K$600,'Rateio Anexo'!$D$6:$D$600,$B160,'Rateio Anexo'!$B$6:$B$600,"MAT"))</f>
        <v/>
      </c>
      <c r="O160" s="30" t="str">
        <f aca="false">IF($E160="","",SUMIFS('Rateio Anexo'!$K$6:$K$600,'Rateio Anexo'!$D$6:$D$600,$B160,'Rateio Anexo'!$B$6:$B$600,"MO"))</f>
        <v/>
      </c>
      <c r="P160" s="30" t="str">
        <f aca="false">IF($E160="","",IF($N$3=0,0,N160/$N$3*$R$4))</f>
        <v/>
      </c>
      <c r="Q160" s="30" t="str">
        <f aca="false">IF($E160="","",IF($O$3=0,0,O160/$O$3*$T$4))</f>
        <v/>
      </c>
      <c r="R160" s="30" t="str">
        <f aca="false">IF($E160="","",N160+O160+P160+Q160)</f>
        <v/>
      </c>
      <c r="S160" s="30" t="str">
        <f aca="false">IF($E160="","",(N160+P160)*Precificação!$B$19)</f>
        <v/>
      </c>
      <c r="T160" s="30" t="str">
        <f aca="false">IF($E160="","",(O160+Q160)*Precificação!$B$20)</f>
        <v/>
      </c>
      <c r="U160" s="68" t="str">
        <f aca="false">IF($E160="","",IF($E160=INT($E160),0.01,IF($E160*2=INT($E160*2),0.02,0.05)))</f>
        <v/>
      </c>
      <c r="V160" s="30" t="str">
        <f aca="false">IF($E160="","",ROUND(S160/$E160/U160,0)*U160)</f>
        <v/>
      </c>
      <c r="W160" s="30" t="str">
        <f aca="false">IF($E160="","",ROUND(T160/$E160/U160,0)*U160)</f>
        <v/>
      </c>
      <c r="X160" s="14" t="str">
        <f aca="false">IF(NOT(ISNUMBER(E160)),"",IF(NOT(ISNUMBER(E161)),ROW(),X161))</f>
        <v/>
      </c>
    </row>
    <row r="161" customFormat="false" ht="15" hidden="false" customHeight="false" outlineLevel="0" collapsed="false">
      <c r="F161" s="66" t="str">
        <f aca="false">IF($E161="","",V161)</f>
        <v/>
      </c>
      <c r="G161" s="66" t="str">
        <f aca="false">IF($E161="","",ROUND(W161+IF($B161=Precificação!$B$26,$F$3/$E161,0),2))</f>
        <v/>
      </c>
      <c r="H161" s="30" t="str">
        <f aca="false">IF($E161="","",F161+G161)</f>
        <v/>
      </c>
      <c r="I161" s="30" t="str">
        <f aca="false">IF($E161="","",$E161*F161)</f>
        <v/>
      </c>
      <c r="J161" s="30" t="str">
        <f aca="false">IF($E161="","",$E161*G161)</f>
        <v/>
      </c>
      <c r="K161" s="30" t="str">
        <f aca="false">IF($E161="","",I161+J161)</f>
        <v/>
      </c>
      <c r="L161" s="53" t="str">
        <f aca="false">IF($E161="","",IF(R161=0,"SEM CUSTO — falta linha de custo","OK"))</f>
        <v/>
      </c>
      <c r="M161" s="67" t="str">
        <f aca="false">IF(AND(ISNUMBER(E161),NOT(ISNUMBER(E160))),"F"&amp;ROW()&amp;":G"&amp;X161,"")</f>
        <v/>
      </c>
      <c r="N161" s="30" t="str">
        <f aca="false">IF($E161="","",SUMIFS('Rateio Anexo'!$K$6:$K$600,'Rateio Anexo'!$D$6:$D$600,$B161,'Rateio Anexo'!$B$6:$B$600,"MAT"))</f>
        <v/>
      </c>
      <c r="O161" s="30" t="str">
        <f aca="false">IF($E161="","",SUMIFS('Rateio Anexo'!$K$6:$K$600,'Rateio Anexo'!$D$6:$D$600,$B161,'Rateio Anexo'!$B$6:$B$600,"MO"))</f>
        <v/>
      </c>
      <c r="P161" s="30" t="str">
        <f aca="false">IF($E161="","",IF($N$3=0,0,N161/$N$3*$R$4))</f>
        <v/>
      </c>
      <c r="Q161" s="30" t="str">
        <f aca="false">IF($E161="","",IF($O$3=0,0,O161/$O$3*$T$4))</f>
        <v/>
      </c>
      <c r="R161" s="30" t="str">
        <f aca="false">IF($E161="","",N161+O161+P161+Q161)</f>
        <v/>
      </c>
      <c r="S161" s="30" t="str">
        <f aca="false">IF($E161="","",(N161+P161)*Precificação!$B$19)</f>
        <v/>
      </c>
      <c r="T161" s="30" t="str">
        <f aca="false">IF($E161="","",(O161+Q161)*Precificação!$B$20)</f>
        <v/>
      </c>
      <c r="U161" s="68" t="str">
        <f aca="false">IF($E161="","",IF($E161=INT($E161),0.01,IF($E161*2=INT($E161*2),0.02,0.05)))</f>
        <v/>
      </c>
      <c r="V161" s="30" t="str">
        <f aca="false">IF($E161="","",ROUND(S161/$E161/U161,0)*U161)</f>
        <v/>
      </c>
      <c r="W161" s="30" t="str">
        <f aca="false">IF($E161="","",ROUND(T161/$E161/U161,0)*U161)</f>
        <v/>
      </c>
      <c r="X161" s="14" t="str">
        <f aca="false">IF(NOT(ISNUMBER(E161)),"",IF(NOT(ISNUMBER(E162)),ROW(),X162))</f>
        <v/>
      </c>
    </row>
    <row r="162" customFormat="false" ht="15" hidden="false" customHeight="false" outlineLevel="0" collapsed="false">
      <c r="F162" s="66" t="str">
        <f aca="false">IF($E162="","",V162)</f>
        <v/>
      </c>
      <c r="G162" s="66" t="str">
        <f aca="false">IF($E162="","",ROUND(W162+IF($B162=Precificação!$B$26,$F$3/$E162,0),2))</f>
        <v/>
      </c>
      <c r="H162" s="30" t="str">
        <f aca="false">IF($E162="","",F162+G162)</f>
        <v/>
      </c>
      <c r="I162" s="30" t="str">
        <f aca="false">IF($E162="","",$E162*F162)</f>
        <v/>
      </c>
      <c r="J162" s="30" t="str">
        <f aca="false">IF($E162="","",$E162*G162)</f>
        <v/>
      </c>
      <c r="K162" s="30" t="str">
        <f aca="false">IF($E162="","",I162+J162)</f>
        <v/>
      </c>
      <c r="L162" s="53" t="str">
        <f aca="false">IF($E162="","",IF(R162=0,"SEM CUSTO — falta linha de custo","OK"))</f>
        <v/>
      </c>
      <c r="M162" s="67" t="str">
        <f aca="false">IF(AND(ISNUMBER(E162),NOT(ISNUMBER(E161))),"F"&amp;ROW()&amp;":G"&amp;X162,"")</f>
        <v/>
      </c>
      <c r="N162" s="30" t="str">
        <f aca="false">IF($E162="","",SUMIFS('Rateio Anexo'!$K$6:$K$600,'Rateio Anexo'!$D$6:$D$600,$B162,'Rateio Anexo'!$B$6:$B$600,"MAT"))</f>
        <v/>
      </c>
      <c r="O162" s="30" t="str">
        <f aca="false">IF($E162="","",SUMIFS('Rateio Anexo'!$K$6:$K$600,'Rateio Anexo'!$D$6:$D$600,$B162,'Rateio Anexo'!$B$6:$B$600,"MO"))</f>
        <v/>
      </c>
      <c r="P162" s="30" t="str">
        <f aca="false">IF($E162="","",IF($N$3=0,0,N162/$N$3*$R$4))</f>
        <v/>
      </c>
      <c r="Q162" s="30" t="str">
        <f aca="false">IF($E162="","",IF($O$3=0,0,O162/$O$3*$T$4))</f>
        <v/>
      </c>
      <c r="R162" s="30" t="str">
        <f aca="false">IF($E162="","",N162+O162+P162+Q162)</f>
        <v/>
      </c>
      <c r="S162" s="30" t="str">
        <f aca="false">IF($E162="","",(N162+P162)*Precificação!$B$19)</f>
        <v/>
      </c>
      <c r="T162" s="30" t="str">
        <f aca="false">IF($E162="","",(O162+Q162)*Precificação!$B$20)</f>
        <v/>
      </c>
      <c r="U162" s="68" t="str">
        <f aca="false">IF($E162="","",IF($E162=INT($E162),0.01,IF($E162*2=INT($E162*2),0.02,0.05)))</f>
        <v/>
      </c>
      <c r="V162" s="30" t="str">
        <f aca="false">IF($E162="","",ROUND(S162/$E162/U162,0)*U162)</f>
        <v/>
      </c>
      <c r="W162" s="30" t="str">
        <f aca="false">IF($E162="","",ROUND(T162/$E162/U162,0)*U162)</f>
        <v/>
      </c>
      <c r="X162" s="14" t="str">
        <f aca="false">IF(NOT(ISNUMBER(E162)),"",IF(NOT(ISNUMBER(E163)),ROW(),X163))</f>
        <v/>
      </c>
    </row>
    <row r="163" customFormat="false" ht="15" hidden="false" customHeight="false" outlineLevel="0" collapsed="false">
      <c r="F163" s="66" t="str">
        <f aca="false">IF($E163="","",V163)</f>
        <v/>
      </c>
      <c r="G163" s="66" t="str">
        <f aca="false">IF($E163="","",ROUND(W163+IF($B163=Precificação!$B$26,$F$3/$E163,0),2))</f>
        <v/>
      </c>
      <c r="H163" s="30" t="str">
        <f aca="false">IF($E163="","",F163+G163)</f>
        <v/>
      </c>
      <c r="I163" s="30" t="str">
        <f aca="false">IF($E163="","",$E163*F163)</f>
        <v/>
      </c>
      <c r="J163" s="30" t="str">
        <f aca="false">IF($E163="","",$E163*G163)</f>
        <v/>
      </c>
      <c r="K163" s="30" t="str">
        <f aca="false">IF($E163="","",I163+J163)</f>
        <v/>
      </c>
      <c r="L163" s="53" t="str">
        <f aca="false">IF($E163="","",IF(R163=0,"SEM CUSTO — falta linha de custo","OK"))</f>
        <v/>
      </c>
      <c r="M163" s="67" t="str">
        <f aca="false">IF(AND(ISNUMBER(E163),NOT(ISNUMBER(E162))),"F"&amp;ROW()&amp;":G"&amp;X163,"")</f>
        <v/>
      </c>
      <c r="N163" s="30" t="str">
        <f aca="false">IF($E163="","",SUMIFS('Rateio Anexo'!$K$6:$K$600,'Rateio Anexo'!$D$6:$D$600,$B163,'Rateio Anexo'!$B$6:$B$600,"MAT"))</f>
        <v/>
      </c>
      <c r="O163" s="30" t="str">
        <f aca="false">IF($E163="","",SUMIFS('Rateio Anexo'!$K$6:$K$600,'Rateio Anexo'!$D$6:$D$600,$B163,'Rateio Anexo'!$B$6:$B$600,"MO"))</f>
        <v/>
      </c>
      <c r="P163" s="30" t="str">
        <f aca="false">IF($E163="","",IF($N$3=0,0,N163/$N$3*$R$4))</f>
        <v/>
      </c>
      <c r="Q163" s="30" t="str">
        <f aca="false">IF($E163="","",IF($O$3=0,0,O163/$O$3*$T$4))</f>
        <v/>
      </c>
      <c r="R163" s="30" t="str">
        <f aca="false">IF($E163="","",N163+O163+P163+Q163)</f>
        <v/>
      </c>
      <c r="S163" s="30" t="str">
        <f aca="false">IF($E163="","",(N163+P163)*Precificação!$B$19)</f>
        <v/>
      </c>
      <c r="T163" s="30" t="str">
        <f aca="false">IF($E163="","",(O163+Q163)*Precificação!$B$20)</f>
        <v/>
      </c>
      <c r="U163" s="68" t="str">
        <f aca="false">IF($E163="","",IF($E163=INT($E163),0.01,IF($E163*2=INT($E163*2),0.02,0.05)))</f>
        <v/>
      </c>
      <c r="V163" s="30" t="str">
        <f aca="false">IF($E163="","",ROUND(S163/$E163/U163,0)*U163)</f>
        <v/>
      </c>
      <c r="W163" s="30" t="str">
        <f aca="false">IF($E163="","",ROUND(T163/$E163/U163,0)*U163)</f>
        <v/>
      </c>
      <c r="X163" s="14" t="str">
        <f aca="false">IF(NOT(ISNUMBER(E163)),"",IF(NOT(ISNUMBER(E164)),ROW(),X164))</f>
        <v/>
      </c>
    </row>
    <row r="164" customFormat="false" ht="15" hidden="false" customHeight="false" outlineLevel="0" collapsed="false">
      <c r="F164" s="66" t="str">
        <f aca="false">IF($E164="","",V164)</f>
        <v/>
      </c>
      <c r="G164" s="66" t="str">
        <f aca="false">IF($E164="","",ROUND(W164+IF($B164=Precificação!$B$26,$F$3/$E164,0),2))</f>
        <v/>
      </c>
      <c r="H164" s="30" t="str">
        <f aca="false">IF($E164="","",F164+G164)</f>
        <v/>
      </c>
      <c r="I164" s="30" t="str">
        <f aca="false">IF($E164="","",$E164*F164)</f>
        <v/>
      </c>
      <c r="J164" s="30" t="str">
        <f aca="false">IF($E164="","",$E164*G164)</f>
        <v/>
      </c>
      <c r="K164" s="30" t="str">
        <f aca="false">IF($E164="","",I164+J164)</f>
        <v/>
      </c>
      <c r="L164" s="53" t="str">
        <f aca="false">IF($E164="","",IF(R164=0,"SEM CUSTO — falta linha de custo","OK"))</f>
        <v/>
      </c>
      <c r="M164" s="67" t="str">
        <f aca="false">IF(AND(ISNUMBER(E164),NOT(ISNUMBER(E163))),"F"&amp;ROW()&amp;":G"&amp;X164,"")</f>
        <v/>
      </c>
      <c r="N164" s="30" t="str">
        <f aca="false">IF($E164="","",SUMIFS('Rateio Anexo'!$K$6:$K$600,'Rateio Anexo'!$D$6:$D$600,$B164,'Rateio Anexo'!$B$6:$B$600,"MAT"))</f>
        <v/>
      </c>
      <c r="O164" s="30" t="str">
        <f aca="false">IF($E164="","",SUMIFS('Rateio Anexo'!$K$6:$K$600,'Rateio Anexo'!$D$6:$D$600,$B164,'Rateio Anexo'!$B$6:$B$600,"MO"))</f>
        <v/>
      </c>
      <c r="P164" s="30" t="str">
        <f aca="false">IF($E164="","",IF($N$3=0,0,N164/$N$3*$R$4))</f>
        <v/>
      </c>
      <c r="Q164" s="30" t="str">
        <f aca="false">IF($E164="","",IF($O$3=0,0,O164/$O$3*$T$4))</f>
        <v/>
      </c>
      <c r="R164" s="30" t="str">
        <f aca="false">IF($E164="","",N164+O164+P164+Q164)</f>
        <v/>
      </c>
      <c r="S164" s="30" t="str">
        <f aca="false">IF($E164="","",(N164+P164)*Precificação!$B$19)</f>
        <v/>
      </c>
      <c r="T164" s="30" t="str">
        <f aca="false">IF($E164="","",(O164+Q164)*Precificação!$B$20)</f>
        <v/>
      </c>
      <c r="U164" s="68" t="str">
        <f aca="false">IF($E164="","",IF($E164=INT($E164),0.01,IF($E164*2=INT($E164*2),0.02,0.05)))</f>
        <v/>
      </c>
      <c r="V164" s="30" t="str">
        <f aca="false">IF($E164="","",ROUND(S164/$E164/U164,0)*U164)</f>
        <v/>
      </c>
      <c r="W164" s="30" t="str">
        <f aca="false">IF($E164="","",ROUND(T164/$E164/U164,0)*U164)</f>
        <v/>
      </c>
      <c r="X164" s="14" t="str">
        <f aca="false">IF(NOT(ISNUMBER(E164)),"",IF(NOT(ISNUMBER(E165)),ROW(),X165))</f>
        <v/>
      </c>
    </row>
    <row r="165" customFormat="false" ht="15" hidden="false" customHeight="false" outlineLevel="0" collapsed="false">
      <c r="F165" s="66" t="str">
        <f aca="false">IF($E165="","",V165)</f>
        <v/>
      </c>
      <c r="G165" s="66" t="str">
        <f aca="false">IF($E165="","",ROUND(W165+IF($B165=Precificação!$B$26,$F$3/$E165,0),2))</f>
        <v/>
      </c>
      <c r="H165" s="30" t="str">
        <f aca="false">IF($E165="","",F165+G165)</f>
        <v/>
      </c>
      <c r="I165" s="30" t="str">
        <f aca="false">IF($E165="","",$E165*F165)</f>
        <v/>
      </c>
      <c r="J165" s="30" t="str">
        <f aca="false">IF($E165="","",$E165*G165)</f>
        <v/>
      </c>
      <c r="K165" s="30" t="str">
        <f aca="false">IF($E165="","",I165+J165)</f>
        <v/>
      </c>
      <c r="L165" s="53" t="str">
        <f aca="false">IF($E165="","",IF(R165=0,"SEM CUSTO — falta linha de custo","OK"))</f>
        <v/>
      </c>
      <c r="M165" s="67" t="str">
        <f aca="false">IF(AND(ISNUMBER(E165),NOT(ISNUMBER(E164))),"F"&amp;ROW()&amp;":G"&amp;X165,"")</f>
        <v/>
      </c>
      <c r="N165" s="30" t="str">
        <f aca="false">IF($E165="","",SUMIFS('Rateio Anexo'!$K$6:$K$600,'Rateio Anexo'!$D$6:$D$600,$B165,'Rateio Anexo'!$B$6:$B$600,"MAT"))</f>
        <v/>
      </c>
      <c r="O165" s="30" t="str">
        <f aca="false">IF($E165="","",SUMIFS('Rateio Anexo'!$K$6:$K$600,'Rateio Anexo'!$D$6:$D$600,$B165,'Rateio Anexo'!$B$6:$B$600,"MO"))</f>
        <v/>
      </c>
      <c r="P165" s="30" t="str">
        <f aca="false">IF($E165="","",IF($N$3=0,0,N165/$N$3*$R$4))</f>
        <v/>
      </c>
      <c r="Q165" s="30" t="str">
        <f aca="false">IF($E165="","",IF($O$3=0,0,O165/$O$3*$T$4))</f>
        <v/>
      </c>
      <c r="R165" s="30" t="str">
        <f aca="false">IF($E165="","",N165+O165+P165+Q165)</f>
        <v/>
      </c>
      <c r="S165" s="30" t="str">
        <f aca="false">IF($E165="","",(N165+P165)*Precificação!$B$19)</f>
        <v/>
      </c>
      <c r="T165" s="30" t="str">
        <f aca="false">IF($E165="","",(O165+Q165)*Precificação!$B$20)</f>
        <v/>
      </c>
      <c r="U165" s="68" t="str">
        <f aca="false">IF($E165="","",IF($E165=INT($E165),0.01,IF($E165*2=INT($E165*2),0.02,0.05)))</f>
        <v/>
      </c>
      <c r="V165" s="30" t="str">
        <f aca="false">IF($E165="","",ROUND(S165/$E165/U165,0)*U165)</f>
        <v/>
      </c>
      <c r="W165" s="30" t="str">
        <f aca="false">IF($E165="","",ROUND(T165/$E165/U165,0)*U165)</f>
        <v/>
      </c>
      <c r="X165" s="14" t="str">
        <f aca="false">IF(NOT(ISNUMBER(E165)),"",IF(NOT(ISNUMBER(E166)),ROW(),X166))</f>
        <v/>
      </c>
    </row>
    <row r="166" customFormat="false" ht="15" hidden="false" customHeight="false" outlineLevel="0" collapsed="false">
      <c r="F166" s="66" t="str">
        <f aca="false">IF($E166="","",V166)</f>
        <v/>
      </c>
      <c r="G166" s="66" t="str">
        <f aca="false">IF($E166="","",ROUND(W166+IF($B166=Precificação!$B$26,$F$3/$E166,0),2))</f>
        <v/>
      </c>
      <c r="H166" s="30" t="str">
        <f aca="false">IF($E166="","",F166+G166)</f>
        <v/>
      </c>
      <c r="I166" s="30" t="str">
        <f aca="false">IF($E166="","",$E166*F166)</f>
        <v/>
      </c>
      <c r="J166" s="30" t="str">
        <f aca="false">IF($E166="","",$E166*G166)</f>
        <v/>
      </c>
      <c r="K166" s="30" t="str">
        <f aca="false">IF($E166="","",I166+J166)</f>
        <v/>
      </c>
      <c r="L166" s="53" t="str">
        <f aca="false">IF($E166="","",IF(R166=0,"SEM CUSTO — falta linha de custo","OK"))</f>
        <v/>
      </c>
      <c r="M166" s="67" t="str">
        <f aca="false">IF(AND(ISNUMBER(E166),NOT(ISNUMBER(E165))),"F"&amp;ROW()&amp;":G"&amp;X166,"")</f>
        <v/>
      </c>
      <c r="N166" s="30" t="str">
        <f aca="false">IF($E166="","",SUMIFS('Rateio Anexo'!$K$6:$K$600,'Rateio Anexo'!$D$6:$D$600,$B166,'Rateio Anexo'!$B$6:$B$600,"MAT"))</f>
        <v/>
      </c>
      <c r="O166" s="30" t="str">
        <f aca="false">IF($E166="","",SUMIFS('Rateio Anexo'!$K$6:$K$600,'Rateio Anexo'!$D$6:$D$600,$B166,'Rateio Anexo'!$B$6:$B$600,"MO"))</f>
        <v/>
      </c>
      <c r="P166" s="30" t="str">
        <f aca="false">IF($E166="","",IF($N$3=0,0,N166/$N$3*$R$4))</f>
        <v/>
      </c>
      <c r="Q166" s="30" t="str">
        <f aca="false">IF($E166="","",IF($O$3=0,0,O166/$O$3*$T$4))</f>
        <v/>
      </c>
      <c r="R166" s="30" t="str">
        <f aca="false">IF($E166="","",N166+O166+P166+Q166)</f>
        <v/>
      </c>
      <c r="S166" s="30" t="str">
        <f aca="false">IF($E166="","",(N166+P166)*Precificação!$B$19)</f>
        <v/>
      </c>
      <c r="T166" s="30" t="str">
        <f aca="false">IF($E166="","",(O166+Q166)*Precificação!$B$20)</f>
        <v/>
      </c>
      <c r="U166" s="68" t="str">
        <f aca="false">IF($E166="","",IF($E166=INT($E166),0.01,IF($E166*2=INT($E166*2),0.02,0.05)))</f>
        <v/>
      </c>
      <c r="V166" s="30" t="str">
        <f aca="false">IF($E166="","",ROUND(S166/$E166/U166,0)*U166)</f>
        <v/>
      </c>
      <c r="W166" s="30" t="str">
        <f aca="false">IF($E166="","",ROUND(T166/$E166/U166,0)*U166)</f>
        <v/>
      </c>
      <c r="X166" s="14" t="str">
        <f aca="false">IF(NOT(ISNUMBER(E166)),"",IF(NOT(ISNUMBER(E167)),ROW(),X167))</f>
        <v/>
      </c>
    </row>
    <row r="167" customFormat="false" ht="15" hidden="false" customHeight="false" outlineLevel="0" collapsed="false">
      <c r="F167" s="66" t="str">
        <f aca="false">IF($E167="","",V167)</f>
        <v/>
      </c>
      <c r="G167" s="66" t="str">
        <f aca="false">IF($E167="","",ROUND(W167+IF($B167=Precificação!$B$26,$F$3/$E167,0),2))</f>
        <v/>
      </c>
      <c r="H167" s="30" t="str">
        <f aca="false">IF($E167="","",F167+G167)</f>
        <v/>
      </c>
      <c r="I167" s="30" t="str">
        <f aca="false">IF($E167="","",$E167*F167)</f>
        <v/>
      </c>
      <c r="J167" s="30" t="str">
        <f aca="false">IF($E167="","",$E167*G167)</f>
        <v/>
      </c>
      <c r="K167" s="30" t="str">
        <f aca="false">IF($E167="","",I167+J167)</f>
        <v/>
      </c>
      <c r="L167" s="53" t="str">
        <f aca="false">IF($E167="","",IF(R167=0,"SEM CUSTO — falta linha de custo","OK"))</f>
        <v/>
      </c>
      <c r="M167" s="67" t="str">
        <f aca="false">IF(AND(ISNUMBER(E167),NOT(ISNUMBER(E166))),"F"&amp;ROW()&amp;":G"&amp;X167,"")</f>
        <v/>
      </c>
      <c r="N167" s="30" t="str">
        <f aca="false">IF($E167="","",SUMIFS('Rateio Anexo'!$K$6:$K$600,'Rateio Anexo'!$D$6:$D$600,$B167,'Rateio Anexo'!$B$6:$B$600,"MAT"))</f>
        <v/>
      </c>
      <c r="O167" s="30" t="str">
        <f aca="false">IF($E167="","",SUMIFS('Rateio Anexo'!$K$6:$K$600,'Rateio Anexo'!$D$6:$D$600,$B167,'Rateio Anexo'!$B$6:$B$600,"MO"))</f>
        <v/>
      </c>
      <c r="P167" s="30" t="str">
        <f aca="false">IF($E167="","",IF($N$3=0,0,N167/$N$3*$R$4))</f>
        <v/>
      </c>
      <c r="Q167" s="30" t="str">
        <f aca="false">IF($E167="","",IF($O$3=0,0,O167/$O$3*$T$4))</f>
        <v/>
      </c>
      <c r="R167" s="30" t="str">
        <f aca="false">IF($E167="","",N167+O167+P167+Q167)</f>
        <v/>
      </c>
      <c r="S167" s="30" t="str">
        <f aca="false">IF($E167="","",(N167+P167)*Precificação!$B$19)</f>
        <v/>
      </c>
      <c r="T167" s="30" t="str">
        <f aca="false">IF($E167="","",(O167+Q167)*Precificação!$B$20)</f>
        <v/>
      </c>
      <c r="U167" s="68" t="str">
        <f aca="false">IF($E167="","",IF($E167=INT($E167),0.01,IF($E167*2=INT($E167*2),0.02,0.05)))</f>
        <v/>
      </c>
      <c r="V167" s="30" t="str">
        <f aca="false">IF($E167="","",ROUND(S167/$E167/U167,0)*U167)</f>
        <v/>
      </c>
      <c r="W167" s="30" t="str">
        <f aca="false">IF($E167="","",ROUND(T167/$E167/U167,0)*U167)</f>
        <v/>
      </c>
      <c r="X167" s="14" t="str">
        <f aca="false">IF(NOT(ISNUMBER(E167)),"",IF(NOT(ISNUMBER(E168)),ROW(),X168))</f>
        <v/>
      </c>
    </row>
    <row r="168" customFormat="false" ht="15" hidden="false" customHeight="false" outlineLevel="0" collapsed="false">
      <c r="F168" s="66" t="str">
        <f aca="false">IF($E168="","",V168)</f>
        <v/>
      </c>
      <c r="G168" s="66" t="str">
        <f aca="false">IF($E168="","",ROUND(W168+IF($B168=Precificação!$B$26,$F$3/$E168,0),2))</f>
        <v/>
      </c>
      <c r="H168" s="30" t="str">
        <f aca="false">IF($E168="","",F168+G168)</f>
        <v/>
      </c>
      <c r="I168" s="30" t="str">
        <f aca="false">IF($E168="","",$E168*F168)</f>
        <v/>
      </c>
      <c r="J168" s="30" t="str">
        <f aca="false">IF($E168="","",$E168*G168)</f>
        <v/>
      </c>
      <c r="K168" s="30" t="str">
        <f aca="false">IF($E168="","",I168+J168)</f>
        <v/>
      </c>
      <c r="L168" s="53" t="str">
        <f aca="false">IF($E168="","",IF(R168=0,"SEM CUSTO — falta linha de custo","OK"))</f>
        <v/>
      </c>
      <c r="M168" s="67" t="str">
        <f aca="false">IF(AND(ISNUMBER(E168),NOT(ISNUMBER(E167))),"F"&amp;ROW()&amp;":G"&amp;X168,"")</f>
        <v/>
      </c>
      <c r="N168" s="30" t="str">
        <f aca="false">IF($E168="","",SUMIFS('Rateio Anexo'!$K$6:$K$600,'Rateio Anexo'!$D$6:$D$600,$B168,'Rateio Anexo'!$B$6:$B$600,"MAT"))</f>
        <v/>
      </c>
      <c r="O168" s="30" t="str">
        <f aca="false">IF($E168="","",SUMIFS('Rateio Anexo'!$K$6:$K$600,'Rateio Anexo'!$D$6:$D$600,$B168,'Rateio Anexo'!$B$6:$B$600,"MO"))</f>
        <v/>
      </c>
      <c r="P168" s="30" t="str">
        <f aca="false">IF($E168="","",IF($N$3=0,0,N168/$N$3*$R$4))</f>
        <v/>
      </c>
      <c r="Q168" s="30" t="str">
        <f aca="false">IF($E168="","",IF($O$3=0,0,O168/$O$3*$T$4))</f>
        <v/>
      </c>
      <c r="R168" s="30" t="str">
        <f aca="false">IF($E168="","",N168+O168+P168+Q168)</f>
        <v/>
      </c>
      <c r="S168" s="30" t="str">
        <f aca="false">IF($E168="","",(N168+P168)*Precificação!$B$19)</f>
        <v/>
      </c>
      <c r="T168" s="30" t="str">
        <f aca="false">IF($E168="","",(O168+Q168)*Precificação!$B$20)</f>
        <v/>
      </c>
      <c r="U168" s="68" t="str">
        <f aca="false">IF($E168="","",IF($E168=INT($E168),0.01,IF($E168*2=INT($E168*2),0.02,0.05)))</f>
        <v/>
      </c>
      <c r="V168" s="30" t="str">
        <f aca="false">IF($E168="","",ROUND(S168/$E168/U168,0)*U168)</f>
        <v/>
      </c>
      <c r="W168" s="30" t="str">
        <f aca="false">IF($E168="","",ROUND(T168/$E168/U168,0)*U168)</f>
        <v/>
      </c>
      <c r="X168" s="14" t="str">
        <f aca="false">IF(NOT(ISNUMBER(E168)),"",IF(NOT(ISNUMBER(E169)),ROW(),X169))</f>
        <v/>
      </c>
    </row>
    <row r="169" customFormat="false" ht="15" hidden="false" customHeight="false" outlineLevel="0" collapsed="false">
      <c r="F169" s="66" t="str">
        <f aca="false">IF($E169="","",V169)</f>
        <v/>
      </c>
      <c r="G169" s="66" t="str">
        <f aca="false">IF($E169="","",ROUND(W169+IF($B169=Precificação!$B$26,$F$3/$E169,0),2))</f>
        <v/>
      </c>
      <c r="H169" s="30" t="str">
        <f aca="false">IF($E169="","",F169+G169)</f>
        <v/>
      </c>
      <c r="I169" s="30" t="str">
        <f aca="false">IF($E169="","",$E169*F169)</f>
        <v/>
      </c>
      <c r="J169" s="30" t="str">
        <f aca="false">IF($E169="","",$E169*G169)</f>
        <v/>
      </c>
      <c r="K169" s="30" t="str">
        <f aca="false">IF($E169="","",I169+J169)</f>
        <v/>
      </c>
      <c r="L169" s="53" t="str">
        <f aca="false">IF($E169="","",IF(R169=0,"SEM CUSTO — falta linha de custo","OK"))</f>
        <v/>
      </c>
      <c r="M169" s="67" t="str">
        <f aca="false">IF(AND(ISNUMBER(E169),NOT(ISNUMBER(E168))),"F"&amp;ROW()&amp;":G"&amp;X169,"")</f>
        <v/>
      </c>
      <c r="N169" s="30" t="str">
        <f aca="false">IF($E169="","",SUMIFS('Rateio Anexo'!$K$6:$K$600,'Rateio Anexo'!$D$6:$D$600,$B169,'Rateio Anexo'!$B$6:$B$600,"MAT"))</f>
        <v/>
      </c>
      <c r="O169" s="30" t="str">
        <f aca="false">IF($E169="","",SUMIFS('Rateio Anexo'!$K$6:$K$600,'Rateio Anexo'!$D$6:$D$600,$B169,'Rateio Anexo'!$B$6:$B$600,"MO"))</f>
        <v/>
      </c>
      <c r="P169" s="30" t="str">
        <f aca="false">IF($E169="","",IF($N$3=0,0,N169/$N$3*$R$4))</f>
        <v/>
      </c>
      <c r="Q169" s="30" t="str">
        <f aca="false">IF($E169="","",IF($O$3=0,0,O169/$O$3*$T$4))</f>
        <v/>
      </c>
      <c r="R169" s="30" t="str">
        <f aca="false">IF($E169="","",N169+O169+P169+Q169)</f>
        <v/>
      </c>
      <c r="S169" s="30" t="str">
        <f aca="false">IF($E169="","",(N169+P169)*Precificação!$B$19)</f>
        <v/>
      </c>
      <c r="T169" s="30" t="str">
        <f aca="false">IF($E169="","",(O169+Q169)*Precificação!$B$20)</f>
        <v/>
      </c>
      <c r="U169" s="68" t="str">
        <f aca="false">IF($E169="","",IF($E169=INT($E169),0.01,IF($E169*2=INT($E169*2),0.02,0.05)))</f>
        <v/>
      </c>
      <c r="V169" s="30" t="str">
        <f aca="false">IF($E169="","",ROUND(S169/$E169/U169,0)*U169)</f>
        <v/>
      </c>
      <c r="W169" s="30" t="str">
        <f aca="false">IF($E169="","",ROUND(T169/$E169/U169,0)*U169)</f>
        <v/>
      </c>
      <c r="X169" s="14" t="str">
        <f aca="false">IF(NOT(ISNUMBER(E169)),"",IF(NOT(ISNUMBER(E170)),ROW(),X170))</f>
        <v/>
      </c>
    </row>
    <row r="170" customFormat="false" ht="15" hidden="false" customHeight="false" outlineLevel="0" collapsed="false">
      <c r="F170" s="66" t="str">
        <f aca="false">IF($E170="","",V170)</f>
        <v/>
      </c>
      <c r="G170" s="66" t="str">
        <f aca="false">IF($E170="","",ROUND(W170+IF($B170=Precificação!$B$26,$F$3/$E170,0),2))</f>
        <v/>
      </c>
      <c r="H170" s="30" t="str">
        <f aca="false">IF($E170="","",F170+G170)</f>
        <v/>
      </c>
      <c r="I170" s="30" t="str">
        <f aca="false">IF($E170="","",$E170*F170)</f>
        <v/>
      </c>
      <c r="J170" s="30" t="str">
        <f aca="false">IF($E170="","",$E170*G170)</f>
        <v/>
      </c>
      <c r="K170" s="30" t="str">
        <f aca="false">IF($E170="","",I170+J170)</f>
        <v/>
      </c>
      <c r="L170" s="53" t="str">
        <f aca="false">IF($E170="","",IF(R170=0,"SEM CUSTO — falta linha de custo","OK"))</f>
        <v/>
      </c>
      <c r="M170" s="67" t="str">
        <f aca="false">IF(AND(ISNUMBER(E170),NOT(ISNUMBER(E169))),"F"&amp;ROW()&amp;":G"&amp;X170,"")</f>
        <v/>
      </c>
      <c r="N170" s="30" t="str">
        <f aca="false">IF($E170="","",SUMIFS('Rateio Anexo'!$K$6:$K$600,'Rateio Anexo'!$D$6:$D$600,$B170,'Rateio Anexo'!$B$6:$B$600,"MAT"))</f>
        <v/>
      </c>
      <c r="O170" s="30" t="str">
        <f aca="false">IF($E170="","",SUMIFS('Rateio Anexo'!$K$6:$K$600,'Rateio Anexo'!$D$6:$D$600,$B170,'Rateio Anexo'!$B$6:$B$600,"MO"))</f>
        <v/>
      </c>
      <c r="P170" s="30" t="str">
        <f aca="false">IF($E170="","",IF($N$3=0,0,N170/$N$3*$R$4))</f>
        <v/>
      </c>
      <c r="Q170" s="30" t="str">
        <f aca="false">IF($E170="","",IF($O$3=0,0,O170/$O$3*$T$4))</f>
        <v/>
      </c>
      <c r="R170" s="30" t="str">
        <f aca="false">IF($E170="","",N170+O170+P170+Q170)</f>
        <v/>
      </c>
      <c r="S170" s="30" t="str">
        <f aca="false">IF($E170="","",(N170+P170)*Precificação!$B$19)</f>
        <v/>
      </c>
      <c r="T170" s="30" t="str">
        <f aca="false">IF($E170="","",(O170+Q170)*Precificação!$B$20)</f>
        <v/>
      </c>
      <c r="U170" s="68" t="str">
        <f aca="false">IF($E170="","",IF($E170=INT($E170),0.01,IF($E170*2=INT($E170*2),0.02,0.05)))</f>
        <v/>
      </c>
      <c r="V170" s="30" t="str">
        <f aca="false">IF($E170="","",ROUND(S170/$E170/U170,0)*U170)</f>
        <v/>
      </c>
      <c r="W170" s="30" t="str">
        <f aca="false">IF($E170="","",ROUND(T170/$E170/U170,0)*U170)</f>
        <v/>
      </c>
      <c r="X170" s="14" t="str">
        <f aca="false">IF(NOT(ISNUMBER(E170)),"",IF(NOT(ISNUMBER(E171)),ROW(),X171))</f>
        <v/>
      </c>
    </row>
    <row r="171" customFormat="false" ht="15" hidden="false" customHeight="false" outlineLevel="0" collapsed="false">
      <c r="F171" s="66" t="str">
        <f aca="false">IF($E171="","",V171)</f>
        <v/>
      </c>
      <c r="G171" s="66" t="str">
        <f aca="false">IF($E171="","",ROUND(W171+IF($B171=Precificação!$B$26,$F$3/$E171,0),2))</f>
        <v/>
      </c>
      <c r="H171" s="30" t="str">
        <f aca="false">IF($E171="","",F171+G171)</f>
        <v/>
      </c>
      <c r="I171" s="30" t="str">
        <f aca="false">IF($E171="","",$E171*F171)</f>
        <v/>
      </c>
      <c r="J171" s="30" t="str">
        <f aca="false">IF($E171="","",$E171*G171)</f>
        <v/>
      </c>
      <c r="K171" s="30" t="str">
        <f aca="false">IF($E171="","",I171+J171)</f>
        <v/>
      </c>
      <c r="L171" s="53" t="str">
        <f aca="false">IF($E171="","",IF(R171=0,"SEM CUSTO — falta linha de custo","OK"))</f>
        <v/>
      </c>
      <c r="M171" s="67" t="str">
        <f aca="false">IF(AND(ISNUMBER(E171),NOT(ISNUMBER(E170))),"F"&amp;ROW()&amp;":G"&amp;X171,"")</f>
        <v/>
      </c>
      <c r="N171" s="30" t="str">
        <f aca="false">IF($E171="","",SUMIFS('Rateio Anexo'!$K$6:$K$600,'Rateio Anexo'!$D$6:$D$600,$B171,'Rateio Anexo'!$B$6:$B$600,"MAT"))</f>
        <v/>
      </c>
      <c r="O171" s="30" t="str">
        <f aca="false">IF($E171="","",SUMIFS('Rateio Anexo'!$K$6:$K$600,'Rateio Anexo'!$D$6:$D$600,$B171,'Rateio Anexo'!$B$6:$B$600,"MO"))</f>
        <v/>
      </c>
      <c r="P171" s="30" t="str">
        <f aca="false">IF($E171="","",IF($N$3=0,0,N171/$N$3*$R$4))</f>
        <v/>
      </c>
      <c r="Q171" s="30" t="str">
        <f aca="false">IF($E171="","",IF($O$3=0,0,O171/$O$3*$T$4))</f>
        <v/>
      </c>
      <c r="R171" s="30" t="str">
        <f aca="false">IF($E171="","",N171+O171+P171+Q171)</f>
        <v/>
      </c>
      <c r="S171" s="30" t="str">
        <f aca="false">IF($E171="","",(N171+P171)*Precificação!$B$19)</f>
        <v/>
      </c>
      <c r="T171" s="30" t="str">
        <f aca="false">IF($E171="","",(O171+Q171)*Precificação!$B$20)</f>
        <v/>
      </c>
      <c r="U171" s="68" t="str">
        <f aca="false">IF($E171="","",IF($E171=INT($E171),0.01,IF($E171*2=INT($E171*2),0.02,0.05)))</f>
        <v/>
      </c>
      <c r="V171" s="30" t="str">
        <f aca="false">IF($E171="","",ROUND(S171/$E171/U171,0)*U171)</f>
        <v/>
      </c>
      <c r="W171" s="30" t="str">
        <f aca="false">IF($E171="","",ROUND(T171/$E171/U171,0)*U171)</f>
        <v/>
      </c>
      <c r="X171" s="14" t="str">
        <f aca="false">IF(NOT(ISNUMBER(E171)),"",IF(NOT(ISNUMBER(E172)),ROW(),X172))</f>
        <v/>
      </c>
    </row>
    <row r="172" customFormat="false" ht="15" hidden="false" customHeight="false" outlineLevel="0" collapsed="false">
      <c r="F172" s="66" t="str">
        <f aca="false">IF($E172="","",V172)</f>
        <v/>
      </c>
      <c r="G172" s="66" t="str">
        <f aca="false">IF($E172="","",ROUND(W172+IF($B172=Precificação!$B$26,$F$3/$E172,0),2))</f>
        <v/>
      </c>
      <c r="H172" s="30" t="str">
        <f aca="false">IF($E172="","",F172+G172)</f>
        <v/>
      </c>
      <c r="I172" s="30" t="str">
        <f aca="false">IF($E172="","",$E172*F172)</f>
        <v/>
      </c>
      <c r="J172" s="30" t="str">
        <f aca="false">IF($E172="","",$E172*G172)</f>
        <v/>
      </c>
      <c r="K172" s="30" t="str">
        <f aca="false">IF($E172="","",I172+J172)</f>
        <v/>
      </c>
      <c r="L172" s="53" t="str">
        <f aca="false">IF($E172="","",IF(R172=0,"SEM CUSTO — falta linha de custo","OK"))</f>
        <v/>
      </c>
      <c r="M172" s="67" t="str">
        <f aca="false">IF(AND(ISNUMBER(E172),NOT(ISNUMBER(E171))),"F"&amp;ROW()&amp;":G"&amp;X172,"")</f>
        <v/>
      </c>
      <c r="N172" s="30" t="str">
        <f aca="false">IF($E172="","",SUMIFS('Rateio Anexo'!$K$6:$K$600,'Rateio Anexo'!$D$6:$D$600,$B172,'Rateio Anexo'!$B$6:$B$600,"MAT"))</f>
        <v/>
      </c>
      <c r="O172" s="30" t="str">
        <f aca="false">IF($E172="","",SUMIFS('Rateio Anexo'!$K$6:$K$600,'Rateio Anexo'!$D$6:$D$600,$B172,'Rateio Anexo'!$B$6:$B$600,"MO"))</f>
        <v/>
      </c>
      <c r="P172" s="30" t="str">
        <f aca="false">IF($E172="","",IF($N$3=0,0,N172/$N$3*$R$4))</f>
        <v/>
      </c>
      <c r="Q172" s="30" t="str">
        <f aca="false">IF($E172="","",IF($O$3=0,0,O172/$O$3*$T$4))</f>
        <v/>
      </c>
      <c r="R172" s="30" t="str">
        <f aca="false">IF($E172="","",N172+O172+P172+Q172)</f>
        <v/>
      </c>
      <c r="S172" s="30" t="str">
        <f aca="false">IF($E172="","",(N172+P172)*Precificação!$B$19)</f>
        <v/>
      </c>
      <c r="T172" s="30" t="str">
        <f aca="false">IF($E172="","",(O172+Q172)*Precificação!$B$20)</f>
        <v/>
      </c>
      <c r="U172" s="68" t="str">
        <f aca="false">IF($E172="","",IF($E172=INT($E172),0.01,IF($E172*2=INT($E172*2),0.02,0.05)))</f>
        <v/>
      </c>
      <c r="V172" s="30" t="str">
        <f aca="false">IF($E172="","",ROUND(S172/$E172/U172,0)*U172)</f>
        <v/>
      </c>
      <c r="W172" s="30" t="str">
        <f aca="false">IF($E172="","",ROUND(T172/$E172/U172,0)*U172)</f>
        <v/>
      </c>
      <c r="X172" s="14" t="str">
        <f aca="false">IF(NOT(ISNUMBER(E172)),"",IF(NOT(ISNUMBER(E173)),ROW(),X173))</f>
        <v/>
      </c>
    </row>
    <row r="173" customFormat="false" ht="15" hidden="false" customHeight="false" outlineLevel="0" collapsed="false">
      <c r="F173" s="66" t="str">
        <f aca="false">IF($E173="","",V173)</f>
        <v/>
      </c>
      <c r="G173" s="66" t="str">
        <f aca="false">IF($E173="","",ROUND(W173+IF($B173=Precificação!$B$26,$F$3/$E173,0),2))</f>
        <v/>
      </c>
      <c r="H173" s="30" t="str">
        <f aca="false">IF($E173="","",F173+G173)</f>
        <v/>
      </c>
      <c r="I173" s="30" t="str">
        <f aca="false">IF($E173="","",$E173*F173)</f>
        <v/>
      </c>
      <c r="J173" s="30" t="str">
        <f aca="false">IF($E173="","",$E173*G173)</f>
        <v/>
      </c>
      <c r="K173" s="30" t="str">
        <f aca="false">IF($E173="","",I173+J173)</f>
        <v/>
      </c>
      <c r="L173" s="53" t="str">
        <f aca="false">IF($E173="","",IF(R173=0,"SEM CUSTO — falta linha de custo","OK"))</f>
        <v/>
      </c>
      <c r="M173" s="67" t="str">
        <f aca="false">IF(AND(ISNUMBER(E173),NOT(ISNUMBER(E172))),"F"&amp;ROW()&amp;":G"&amp;X173,"")</f>
        <v/>
      </c>
      <c r="N173" s="30" t="str">
        <f aca="false">IF($E173="","",SUMIFS('Rateio Anexo'!$K$6:$K$600,'Rateio Anexo'!$D$6:$D$600,$B173,'Rateio Anexo'!$B$6:$B$600,"MAT"))</f>
        <v/>
      </c>
      <c r="O173" s="30" t="str">
        <f aca="false">IF($E173="","",SUMIFS('Rateio Anexo'!$K$6:$K$600,'Rateio Anexo'!$D$6:$D$600,$B173,'Rateio Anexo'!$B$6:$B$600,"MO"))</f>
        <v/>
      </c>
      <c r="P173" s="30" t="str">
        <f aca="false">IF($E173="","",IF($N$3=0,0,N173/$N$3*$R$4))</f>
        <v/>
      </c>
      <c r="Q173" s="30" t="str">
        <f aca="false">IF($E173="","",IF($O$3=0,0,O173/$O$3*$T$4))</f>
        <v/>
      </c>
      <c r="R173" s="30" t="str">
        <f aca="false">IF($E173="","",N173+O173+P173+Q173)</f>
        <v/>
      </c>
      <c r="S173" s="30" t="str">
        <f aca="false">IF($E173="","",(N173+P173)*Precificação!$B$19)</f>
        <v/>
      </c>
      <c r="T173" s="30" t="str">
        <f aca="false">IF($E173="","",(O173+Q173)*Precificação!$B$20)</f>
        <v/>
      </c>
      <c r="U173" s="68" t="str">
        <f aca="false">IF($E173="","",IF($E173=INT($E173),0.01,IF($E173*2=INT($E173*2),0.02,0.05)))</f>
        <v/>
      </c>
      <c r="V173" s="30" t="str">
        <f aca="false">IF($E173="","",ROUND(S173/$E173/U173,0)*U173)</f>
        <v/>
      </c>
      <c r="W173" s="30" t="str">
        <f aca="false">IF($E173="","",ROUND(T173/$E173/U173,0)*U173)</f>
        <v/>
      </c>
      <c r="X173" s="14" t="str">
        <f aca="false">IF(NOT(ISNUMBER(E173)),"",IF(NOT(ISNUMBER(E174)),ROW(),X174))</f>
        <v/>
      </c>
    </row>
    <row r="174" customFormat="false" ht="15" hidden="false" customHeight="false" outlineLevel="0" collapsed="false">
      <c r="F174" s="66" t="str">
        <f aca="false">IF($E174="","",V174)</f>
        <v/>
      </c>
      <c r="G174" s="66" t="str">
        <f aca="false">IF($E174="","",ROUND(W174+IF($B174=Precificação!$B$26,$F$3/$E174,0),2))</f>
        <v/>
      </c>
      <c r="H174" s="30" t="str">
        <f aca="false">IF($E174="","",F174+G174)</f>
        <v/>
      </c>
      <c r="I174" s="30" t="str">
        <f aca="false">IF($E174="","",$E174*F174)</f>
        <v/>
      </c>
      <c r="J174" s="30" t="str">
        <f aca="false">IF($E174="","",$E174*G174)</f>
        <v/>
      </c>
      <c r="K174" s="30" t="str">
        <f aca="false">IF($E174="","",I174+J174)</f>
        <v/>
      </c>
      <c r="L174" s="53" t="str">
        <f aca="false">IF($E174="","",IF(R174=0,"SEM CUSTO — falta linha de custo","OK"))</f>
        <v/>
      </c>
      <c r="M174" s="67" t="str">
        <f aca="false">IF(AND(ISNUMBER(E174),NOT(ISNUMBER(E173))),"F"&amp;ROW()&amp;":G"&amp;X174,"")</f>
        <v/>
      </c>
      <c r="N174" s="30" t="str">
        <f aca="false">IF($E174="","",SUMIFS('Rateio Anexo'!$K$6:$K$600,'Rateio Anexo'!$D$6:$D$600,$B174,'Rateio Anexo'!$B$6:$B$600,"MAT"))</f>
        <v/>
      </c>
      <c r="O174" s="30" t="str">
        <f aca="false">IF($E174="","",SUMIFS('Rateio Anexo'!$K$6:$K$600,'Rateio Anexo'!$D$6:$D$600,$B174,'Rateio Anexo'!$B$6:$B$600,"MO"))</f>
        <v/>
      </c>
      <c r="P174" s="30" t="str">
        <f aca="false">IF($E174="","",IF($N$3=0,0,N174/$N$3*$R$4))</f>
        <v/>
      </c>
      <c r="Q174" s="30" t="str">
        <f aca="false">IF($E174="","",IF($O$3=0,0,O174/$O$3*$T$4))</f>
        <v/>
      </c>
      <c r="R174" s="30" t="str">
        <f aca="false">IF($E174="","",N174+O174+P174+Q174)</f>
        <v/>
      </c>
      <c r="S174" s="30" t="str">
        <f aca="false">IF($E174="","",(N174+P174)*Precificação!$B$19)</f>
        <v/>
      </c>
      <c r="T174" s="30" t="str">
        <f aca="false">IF($E174="","",(O174+Q174)*Precificação!$B$20)</f>
        <v/>
      </c>
      <c r="U174" s="68" t="str">
        <f aca="false">IF($E174="","",IF($E174=INT($E174),0.01,IF($E174*2=INT($E174*2),0.02,0.05)))</f>
        <v/>
      </c>
      <c r="V174" s="30" t="str">
        <f aca="false">IF($E174="","",ROUND(S174/$E174/U174,0)*U174)</f>
        <v/>
      </c>
      <c r="W174" s="30" t="str">
        <f aca="false">IF($E174="","",ROUND(T174/$E174/U174,0)*U174)</f>
        <v/>
      </c>
      <c r="X174" s="14" t="str">
        <f aca="false">IF(NOT(ISNUMBER(E174)),"",IF(NOT(ISNUMBER(E175)),ROW(),X175))</f>
        <v/>
      </c>
    </row>
    <row r="175" customFormat="false" ht="15" hidden="false" customHeight="false" outlineLevel="0" collapsed="false">
      <c r="F175" s="66" t="str">
        <f aca="false">IF($E175="","",V175)</f>
        <v/>
      </c>
      <c r="G175" s="66" t="str">
        <f aca="false">IF($E175="","",ROUND(W175+IF($B175=Precificação!$B$26,$F$3/$E175,0),2))</f>
        <v/>
      </c>
      <c r="H175" s="30" t="str">
        <f aca="false">IF($E175="","",F175+G175)</f>
        <v/>
      </c>
      <c r="I175" s="30" t="str">
        <f aca="false">IF($E175="","",$E175*F175)</f>
        <v/>
      </c>
      <c r="J175" s="30" t="str">
        <f aca="false">IF($E175="","",$E175*G175)</f>
        <v/>
      </c>
      <c r="K175" s="30" t="str">
        <f aca="false">IF($E175="","",I175+J175)</f>
        <v/>
      </c>
      <c r="L175" s="53" t="str">
        <f aca="false">IF($E175="","",IF(R175=0,"SEM CUSTO — falta linha de custo","OK"))</f>
        <v/>
      </c>
      <c r="M175" s="67" t="str">
        <f aca="false">IF(AND(ISNUMBER(E175),NOT(ISNUMBER(E174))),"F"&amp;ROW()&amp;":G"&amp;X175,"")</f>
        <v/>
      </c>
      <c r="N175" s="30" t="str">
        <f aca="false">IF($E175="","",SUMIFS('Rateio Anexo'!$K$6:$K$600,'Rateio Anexo'!$D$6:$D$600,$B175,'Rateio Anexo'!$B$6:$B$600,"MAT"))</f>
        <v/>
      </c>
      <c r="O175" s="30" t="str">
        <f aca="false">IF($E175="","",SUMIFS('Rateio Anexo'!$K$6:$K$600,'Rateio Anexo'!$D$6:$D$600,$B175,'Rateio Anexo'!$B$6:$B$600,"MO"))</f>
        <v/>
      </c>
      <c r="P175" s="30" t="str">
        <f aca="false">IF($E175="","",IF($N$3=0,0,N175/$N$3*$R$4))</f>
        <v/>
      </c>
      <c r="Q175" s="30" t="str">
        <f aca="false">IF($E175="","",IF($O$3=0,0,O175/$O$3*$T$4))</f>
        <v/>
      </c>
      <c r="R175" s="30" t="str">
        <f aca="false">IF($E175="","",N175+O175+P175+Q175)</f>
        <v/>
      </c>
      <c r="S175" s="30" t="str">
        <f aca="false">IF($E175="","",(N175+P175)*Precificação!$B$19)</f>
        <v/>
      </c>
      <c r="T175" s="30" t="str">
        <f aca="false">IF($E175="","",(O175+Q175)*Precificação!$B$20)</f>
        <v/>
      </c>
      <c r="U175" s="68" t="str">
        <f aca="false">IF($E175="","",IF($E175=INT($E175),0.01,IF($E175*2=INT($E175*2),0.02,0.05)))</f>
        <v/>
      </c>
      <c r="V175" s="30" t="str">
        <f aca="false">IF($E175="","",ROUND(S175/$E175/U175,0)*U175)</f>
        <v/>
      </c>
      <c r="W175" s="30" t="str">
        <f aca="false">IF($E175="","",ROUND(T175/$E175/U175,0)*U175)</f>
        <v/>
      </c>
      <c r="X175" s="14" t="str">
        <f aca="false">IF(NOT(ISNUMBER(E175)),"",IF(NOT(ISNUMBER(E176)),ROW(),X176))</f>
        <v/>
      </c>
    </row>
    <row r="176" customFormat="false" ht="15" hidden="false" customHeight="false" outlineLevel="0" collapsed="false">
      <c r="F176" s="66" t="str">
        <f aca="false">IF($E176="","",V176)</f>
        <v/>
      </c>
      <c r="G176" s="66" t="str">
        <f aca="false">IF($E176="","",ROUND(W176+IF($B176=Precificação!$B$26,$F$3/$E176,0),2))</f>
        <v/>
      </c>
      <c r="H176" s="30" t="str">
        <f aca="false">IF($E176="","",F176+G176)</f>
        <v/>
      </c>
      <c r="I176" s="30" t="str">
        <f aca="false">IF($E176="","",$E176*F176)</f>
        <v/>
      </c>
      <c r="J176" s="30" t="str">
        <f aca="false">IF($E176="","",$E176*G176)</f>
        <v/>
      </c>
      <c r="K176" s="30" t="str">
        <f aca="false">IF($E176="","",I176+J176)</f>
        <v/>
      </c>
      <c r="L176" s="53" t="str">
        <f aca="false">IF($E176="","",IF(R176=0,"SEM CUSTO — falta linha de custo","OK"))</f>
        <v/>
      </c>
      <c r="M176" s="67" t="str">
        <f aca="false">IF(AND(ISNUMBER(E176),NOT(ISNUMBER(E175))),"F"&amp;ROW()&amp;":G"&amp;X176,"")</f>
        <v/>
      </c>
      <c r="N176" s="30" t="str">
        <f aca="false">IF($E176="","",SUMIFS('Rateio Anexo'!$K$6:$K$600,'Rateio Anexo'!$D$6:$D$600,$B176,'Rateio Anexo'!$B$6:$B$600,"MAT"))</f>
        <v/>
      </c>
      <c r="O176" s="30" t="str">
        <f aca="false">IF($E176="","",SUMIFS('Rateio Anexo'!$K$6:$K$600,'Rateio Anexo'!$D$6:$D$600,$B176,'Rateio Anexo'!$B$6:$B$600,"MO"))</f>
        <v/>
      </c>
      <c r="P176" s="30" t="str">
        <f aca="false">IF($E176="","",IF($N$3=0,0,N176/$N$3*$R$4))</f>
        <v/>
      </c>
      <c r="Q176" s="30" t="str">
        <f aca="false">IF($E176="","",IF($O$3=0,0,O176/$O$3*$T$4))</f>
        <v/>
      </c>
      <c r="R176" s="30" t="str">
        <f aca="false">IF($E176="","",N176+O176+P176+Q176)</f>
        <v/>
      </c>
      <c r="S176" s="30" t="str">
        <f aca="false">IF($E176="","",(N176+P176)*Precificação!$B$19)</f>
        <v/>
      </c>
      <c r="T176" s="30" t="str">
        <f aca="false">IF($E176="","",(O176+Q176)*Precificação!$B$20)</f>
        <v/>
      </c>
      <c r="U176" s="68" t="str">
        <f aca="false">IF($E176="","",IF($E176=INT($E176),0.01,IF($E176*2=INT($E176*2),0.02,0.05)))</f>
        <v/>
      </c>
      <c r="V176" s="30" t="str">
        <f aca="false">IF($E176="","",ROUND(S176/$E176/U176,0)*U176)</f>
        <v/>
      </c>
      <c r="W176" s="30" t="str">
        <f aca="false">IF($E176="","",ROUND(T176/$E176/U176,0)*U176)</f>
        <v/>
      </c>
      <c r="X176" s="14" t="str">
        <f aca="false">IF(NOT(ISNUMBER(E176)),"",IF(NOT(ISNUMBER(E177)),ROW(),X177))</f>
        <v/>
      </c>
    </row>
    <row r="177" customFormat="false" ht="15" hidden="false" customHeight="false" outlineLevel="0" collapsed="false">
      <c r="F177" s="66" t="str">
        <f aca="false">IF($E177="","",V177)</f>
        <v/>
      </c>
      <c r="G177" s="66" t="str">
        <f aca="false">IF($E177="","",ROUND(W177+IF($B177=Precificação!$B$26,$F$3/$E177,0),2))</f>
        <v/>
      </c>
      <c r="H177" s="30" t="str">
        <f aca="false">IF($E177="","",F177+G177)</f>
        <v/>
      </c>
      <c r="I177" s="30" t="str">
        <f aca="false">IF($E177="","",$E177*F177)</f>
        <v/>
      </c>
      <c r="J177" s="30" t="str">
        <f aca="false">IF($E177="","",$E177*G177)</f>
        <v/>
      </c>
      <c r="K177" s="30" t="str">
        <f aca="false">IF($E177="","",I177+J177)</f>
        <v/>
      </c>
      <c r="L177" s="53" t="str">
        <f aca="false">IF($E177="","",IF(R177=0,"SEM CUSTO — falta linha de custo","OK"))</f>
        <v/>
      </c>
      <c r="M177" s="67" t="str">
        <f aca="false">IF(AND(ISNUMBER(E177),NOT(ISNUMBER(E176))),"F"&amp;ROW()&amp;":G"&amp;X177,"")</f>
        <v/>
      </c>
      <c r="N177" s="30" t="str">
        <f aca="false">IF($E177="","",SUMIFS('Rateio Anexo'!$K$6:$K$600,'Rateio Anexo'!$D$6:$D$600,$B177,'Rateio Anexo'!$B$6:$B$600,"MAT"))</f>
        <v/>
      </c>
      <c r="O177" s="30" t="str">
        <f aca="false">IF($E177="","",SUMIFS('Rateio Anexo'!$K$6:$K$600,'Rateio Anexo'!$D$6:$D$600,$B177,'Rateio Anexo'!$B$6:$B$600,"MO"))</f>
        <v/>
      </c>
      <c r="P177" s="30" t="str">
        <f aca="false">IF($E177="","",IF($N$3=0,0,N177/$N$3*$R$4))</f>
        <v/>
      </c>
      <c r="Q177" s="30" t="str">
        <f aca="false">IF($E177="","",IF($O$3=0,0,O177/$O$3*$T$4))</f>
        <v/>
      </c>
      <c r="R177" s="30" t="str">
        <f aca="false">IF($E177="","",N177+O177+P177+Q177)</f>
        <v/>
      </c>
      <c r="S177" s="30" t="str">
        <f aca="false">IF($E177="","",(N177+P177)*Precificação!$B$19)</f>
        <v/>
      </c>
      <c r="T177" s="30" t="str">
        <f aca="false">IF($E177="","",(O177+Q177)*Precificação!$B$20)</f>
        <v/>
      </c>
      <c r="U177" s="68" t="str">
        <f aca="false">IF($E177="","",IF($E177=INT($E177),0.01,IF($E177*2=INT($E177*2),0.02,0.05)))</f>
        <v/>
      </c>
      <c r="V177" s="30" t="str">
        <f aca="false">IF($E177="","",ROUND(S177/$E177/U177,0)*U177)</f>
        <v/>
      </c>
      <c r="W177" s="30" t="str">
        <f aca="false">IF($E177="","",ROUND(T177/$E177/U177,0)*U177)</f>
        <v/>
      </c>
      <c r="X177" s="14" t="str">
        <f aca="false">IF(NOT(ISNUMBER(E177)),"",IF(NOT(ISNUMBER(E178)),ROW(),X178))</f>
        <v/>
      </c>
    </row>
    <row r="178" customFormat="false" ht="15" hidden="false" customHeight="false" outlineLevel="0" collapsed="false">
      <c r="F178" s="66" t="str">
        <f aca="false">IF($E178="","",V178)</f>
        <v/>
      </c>
      <c r="G178" s="66" t="str">
        <f aca="false">IF($E178="","",ROUND(W178+IF($B178=Precificação!$B$26,$F$3/$E178,0),2))</f>
        <v/>
      </c>
      <c r="H178" s="30" t="str">
        <f aca="false">IF($E178="","",F178+G178)</f>
        <v/>
      </c>
      <c r="I178" s="30" t="str">
        <f aca="false">IF($E178="","",$E178*F178)</f>
        <v/>
      </c>
      <c r="J178" s="30" t="str">
        <f aca="false">IF($E178="","",$E178*G178)</f>
        <v/>
      </c>
      <c r="K178" s="30" t="str">
        <f aca="false">IF($E178="","",I178+J178)</f>
        <v/>
      </c>
      <c r="L178" s="53" t="str">
        <f aca="false">IF($E178="","",IF(R178=0,"SEM CUSTO — falta linha de custo","OK"))</f>
        <v/>
      </c>
      <c r="M178" s="67" t="str">
        <f aca="false">IF(AND(ISNUMBER(E178),NOT(ISNUMBER(E177))),"F"&amp;ROW()&amp;":G"&amp;X178,"")</f>
        <v/>
      </c>
      <c r="N178" s="30" t="str">
        <f aca="false">IF($E178="","",SUMIFS('Rateio Anexo'!$K$6:$K$600,'Rateio Anexo'!$D$6:$D$600,$B178,'Rateio Anexo'!$B$6:$B$600,"MAT"))</f>
        <v/>
      </c>
      <c r="O178" s="30" t="str">
        <f aca="false">IF($E178="","",SUMIFS('Rateio Anexo'!$K$6:$K$600,'Rateio Anexo'!$D$6:$D$600,$B178,'Rateio Anexo'!$B$6:$B$600,"MO"))</f>
        <v/>
      </c>
      <c r="P178" s="30" t="str">
        <f aca="false">IF($E178="","",IF($N$3=0,0,N178/$N$3*$R$4))</f>
        <v/>
      </c>
      <c r="Q178" s="30" t="str">
        <f aca="false">IF($E178="","",IF($O$3=0,0,O178/$O$3*$T$4))</f>
        <v/>
      </c>
      <c r="R178" s="30" t="str">
        <f aca="false">IF($E178="","",N178+O178+P178+Q178)</f>
        <v/>
      </c>
      <c r="S178" s="30" t="str">
        <f aca="false">IF($E178="","",(N178+P178)*Precificação!$B$19)</f>
        <v/>
      </c>
      <c r="T178" s="30" t="str">
        <f aca="false">IF($E178="","",(O178+Q178)*Precificação!$B$20)</f>
        <v/>
      </c>
      <c r="U178" s="68" t="str">
        <f aca="false">IF($E178="","",IF($E178=INT($E178),0.01,IF($E178*2=INT($E178*2),0.02,0.05)))</f>
        <v/>
      </c>
      <c r="V178" s="30" t="str">
        <f aca="false">IF($E178="","",ROUND(S178/$E178/U178,0)*U178)</f>
        <v/>
      </c>
      <c r="W178" s="30" t="str">
        <f aca="false">IF($E178="","",ROUND(T178/$E178/U178,0)*U178)</f>
        <v/>
      </c>
      <c r="X178" s="14" t="str">
        <f aca="false">IF(NOT(ISNUMBER(E178)),"",IF(NOT(ISNUMBER(E179)),ROW(),X179))</f>
        <v/>
      </c>
    </row>
    <row r="179" customFormat="false" ht="15" hidden="false" customHeight="false" outlineLevel="0" collapsed="false">
      <c r="F179" s="66" t="str">
        <f aca="false">IF($E179="","",V179)</f>
        <v/>
      </c>
      <c r="G179" s="66" t="str">
        <f aca="false">IF($E179="","",ROUND(W179+IF($B179=Precificação!$B$26,$F$3/$E179,0),2))</f>
        <v/>
      </c>
      <c r="H179" s="30" t="str">
        <f aca="false">IF($E179="","",F179+G179)</f>
        <v/>
      </c>
      <c r="I179" s="30" t="str">
        <f aca="false">IF($E179="","",$E179*F179)</f>
        <v/>
      </c>
      <c r="J179" s="30" t="str">
        <f aca="false">IF($E179="","",$E179*G179)</f>
        <v/>
      </c>
      <c r="K179" s="30" t="str">
        <f aca="false">IF($E179="","",I179+J179)</f>
        <v/>
      </c>
      <c r="L179" s="53" t="str">
        <f aca="false">IF($E179="","",IF(R179=0,"SEM CUSTO — falta linha de custo","OK"))</f>
        <v/>
      </c>
      <c r="M179" s="67" t="str">
        <f aca="false">IF(AND(ISNUMBER(E179),NOT(ISNUMBER(E178))),"F"&amp;ROW()&amp;":G"&amp;X179,"")</f>
        <v/>
      </c>
      <c r="N179" s="30" t="str">
        <f aca="false">IF($E179="","",SUMIFS('Rateio Anexo'!$K$6:$K$600,'Rateio Anexo'!$D$6:$D$600,$B179,'Rateio Anexo'!$B$6:$B$600,"MAT"))</f>
        <v/>
      </c>
      <c r="O179" s="30" t="str">
        <f aca="false">IF($E179="","",SUMIFS('Rateio Anexo'!$K$6:$K$600,'Rateio Anexo'!$D$6:$D$600,$B179,'Rateio Anexo'!$B$6:$B$600,"MO"))</f>
        <v/>
      </c>
      <c r="P179" s="30" t="str">
        <f aca="false">IF($E179="","",IF($N$3=0,0,N179/$N$3*$R$4))</f>
        <v/>
      </c>
      <c r="Q179" s="30" t="str">
        <f aca="false">IF($E179="","",IF($O$3=0,0,O179/$O$3*$T$4))</f>
        <v/>
      </c>
      <c r="R179" s="30" t="str">
        <f aca="false">IF($E179="","",N179+O179+P179+Q179)</f>
        <v/>
      </c>
      <c r="S179" s="30" t="str">
        <f aca="false">IF($E179="","",(N179+P179)*Precificação!$B$19)</f>
        <v/>
      </c>
      <c r="T179" s="30" t="str">
        <f aca="false">IF($E179="","",(O179+Q179)*Precificação!$B$20)</f>
        <v/>
      </c>
      <c r="U179" s="68" t="str">
        <f aca="false">IF($E179="","",IF($E179=INT($E179),0.01,IF($E179*2=INT($E179*2),0.02,0.05)))</f>
        <v/>
      </c>
      <c r="V179" s="30" t="str">
        <f aca="false">IF($E179="","",ROUND(S179/$E179/U179,0)*U179)</f>
        <v/>
      </c>
      <c r="W179" s="30" t="str">
        <f aca="false">IF($E179="","",ROUND(T179/$E179/U179,0)*U179)</f>
        <v/>
      </c>
      <c r="X179" s="14" t="str">
        <f aca="false">IF(NOT(ISNUMBER(E179)),"",IF(NOT(ISNUMBER(E180)),ROW(),X180))</f>
        <v/>
      </c>
    </row>
    <row r="180" customFormat="false" ht="15" hidden="false" customHeight="false" outlineLevel="0" collapsed="false">
      <c r="F180" s="66" t="str">
        <f aca="false">IF($E180="","",V180)</f>
        <v/>
      </c>
      <c r="G180" s="66" t="str">
        <f aca="false">IF($E180="","",ROUND(W180+IF($B180=Precificação!$B$26,$F$3/$E180,0),2))</f>
        <v/>
      </c>
      <c r="H180" s="30" t="str">
        <f aca="false">IF($E180="","",F180+G180)</f>
        <v/>
      </c>
      <c r="I180" s="30" t="str">
        <f aca="false">IF($E180="","",$E180*F180)</f>
        <v/>
      </c>
      <c r="J180" s="30" t="str">
        <f aca="false">IF($E180="","",$E180*G180)</f>
        <v/>
      </c>
      <c r="K180" s="30" t="str">
        <f aca="false">IF($E180="","",I180+J180)</f>
        <v/>
      </c>
      <c r="L180" s="53" t="str">
        <f aca="false">IF($E180="","",IF(R180=0,"SEM CUSTO — falta linha de custo","OK"))</f>
        <v/>
      </c>
      <c r="M180" s="67" t="str">
        <f aca="false">IF(AND(ISNUMBER(E180),NOT(ISNUMBER(E179))),"F"&amp;ROW()&amp;":G"&amp;X180,"")</f>
        <v/>
      </c>
      <c r="N180" s="30" t="str">
        <f aca="false">IF($E180="","",SUMIFS('Rateio Anexo'!$K$6:$K$600,'Rateio Anexo'!$D$6:$D$600,$B180,'Rateio Anexo'!$B$6:$B$600,"MAT"))</f>
        <v/>
      </c>
      <c r="O180" s="30" t="str">
        <f aca="false">IF($E180="","",SUMIFS('Rateio Anexo'!$K$6:$K$600,'Rateio Anexo'!$D$6:$D$600,$B180,'Rateio Anexo'!$B$6:$B$600,"MO"))</f>
        <v/>
      </c>
      <c r="P180" s="30" t="str">
        <f aca="false">IF($E180="","",IF($N$3=0,0,N180/$N$3*$R$4))</f>
        <v/>
      </c>
      <c r="Q180" s="30" t="str">
        <f aca="false">IF($E180="","",IF($O$3=0,0,O180/$O$3*$T$4))</f>
        <v/>
      </c>
      <c r="R180" s="30" t="str">
        <f aca="false">IF($E180="","",N180+O180+P180+Q180)</f>
        <v/>
      </c>
      <c r="S180" s="30" t="str">
        <f aca="false">IF($E180="","",(N180+P180)*Precificação!$B$19)</f>
        <v/>
      </c>
      <c r="T180" s="30" t="str">
        <f aca="false">IF($E180="","",(O180+Q180)*Precificação!$B$20)</f>
        <v/>
      </c>
      <c r="U180" s="68" t="str">
        <f aca="false">IF($E180="","",IF($E180=INT($E180),0.01,IF($E180*2=INT($E180*2),0.02,0.05)))</f>
        <v/>
      </c>
      <c r="V180" s="30" t="str">
        <f aca="false">IF($E180="","",ROUND(S180/$E180/U180,0)*U180)</f>
        <v/>
      </c>
      <c r="W180" s="30" t="str">
        <f aca="false">IF($E180="","",ROUND(T180/$E180/U180,0)*U180)</f>
        <v/>
      </c>
      <c r="X180" s="14" t="str">
        <f aca="false">IF(NOT(ISNUMBER(E180)),"",IF(NOT(ISNUMBER(E181)),ROW(),X181))</f>
        <v/>
      </c>
    </row>
    <row r="181" customFormat="false" ht="15" hidden="false" customHeight="false" outlineLevel="0" collapsed="false">
      <c r="F181" s="66" t="str">
        <f aca="false">IF($E181="","",V181)</f>
        <v/>
      </c>
      <c r="G181" s="66" t="str">
        <f aca="false">IF($E181="","",ROUND(W181+IF($B181=Precificação!$B$26,$F$3/$E181,0),2))</f>
        <v/>
      </c>
      <c r="H181" s="30" t="str">
        <f aca="false">IF($E181="","",F181+G181)</f>
        <v/>
      </c>
      <c r="I181" s="30" t="str">
        <f aca="false">IF($E181="","",$E181*F181)</f>
        <v/>
      </c>
      <c r="J181" s="30" t="str">
        <f aca="false">IF($E181="","",$E181*G181)</f>
        <v/>
      </c>
      <c r="K181" s="30" t="str">
        <f aca="false">IF($E181="","",I181+J181)</f>
        <v/>
      </c>
      <c r="L181" s="53" t="str">
        <f aca="false">IF($E181="","",IF(R181=0,"SEM CUSTO — falta linha de custo","OK"))</f>
        <v/>
      </c>
      <c r="M181" s="67" t="str">
        <f aca="false">IF(AND(ISNUMBER(E181),NOT(ISNUMBER(E180))),"F"&amp;ROW()&amp;":G"&amp;X181,"")</f>
        <v/>
      </c>
      <c r="N181" s="30" t="str">
        <f aca="false">IF($E181="","",SUMIFS('Rateio Anexo'!$K$6:$K$600,'Rateio Anexo'!$D$6:$D$600,$B181,'Rateio Anexo'!$B$6:$B$600,"MAT"))</f>
        <v/>
      </c>
      <c r="O181" s="30" t="str">
        <f aca="false">IF($E181="","",SUMIFS('Rateio Anexo'!$K$6:$K$600,'Rateio Anexo'!$D$6:$D$600,$B181,'Rateio Anexo'!$B$6:$B$600,"MO"))</f>
        <v/>
      </c>
      <c r="P181" s="30" t="str">
        <f aca="false">IF($E181="","",IF($N$3=0,0,N181/$N$3*$R$4))</f>
        <v/>
      </c>
      <c r="Q181" s="30" t="str">
        <f aca="false">IF($E181="","",IF($O$3=0,0,O181/$O$3*$T$4))</f>
        <v/>
      </c>
      <c r="R181" s="30" t="str">
        <f aca="false">IF($E181="","",N181+O181+P181+Q181)</f>
        <v/>
      </c>
      <c r="S181" s="30" t="str">
        <f aca="false">IF($E181="","",(N181+P181)*Precificação!$B$19)</f>
        <v/>
      </c>
      <c r="T181" s="30" t="str">
        <f aca="false">IF($E181="","",(O181+Q181)*Precificação!$B$20)</f>
        <v/>
      </c>
      <c r="U181" s="68" t="str">
        <f aca="false">IF($E181="","",IF($E181=INT($E181),0.01,IF($E181*2=INT($E181*2),0.02,0.05)))</f>
        <v/>
      </c>
      <c r="V181" s="30" t="str">
        <f aca="false">IF($E181="","",ROUND(S181/$E181/U181,0)*U181)</f>
        <v/>
      </c>
      <c r="W181" s="30" t="str">
        <f aca="false">IF($E181="","",ROUND(T181/$E181/U181,0)*U181)</f>
        <v/>
      </c>
      <c r="X181" s="14" t="str">
        <f aca="false">IF(NOT(ISNUMBER(E181)),"",IF(NOT(ISNUMBER(E182)),ROW(),X182))</f>
        <v/>
      </c>
    </row>
    <row r="182" customFormat="false" ht="15" hidden="false" customHeight="false" outlineLevel="0" collapsed="false">
      <c r="F182" s="66" t="str">
        <f aca="false">IF($E182="","",V182)</f>
        <v/>
      </c>
      <c r="G182" s="66" t="str">
        <f aca="false">IF($E182="","",ROUND(W182+IF($B182=Precificação!$B$26,$F$3/$E182,0),2))</f>
        <v/>
      </c>
      <c r="H182" s="30" t="str">
        <f aca="false">IF($E182="","",F182+G182)</f>
        <v/>
      </c>
      <c r="I182" s="30" t="str">
        <f aca="false">IF($E182="","",$E182*F182)</f>
        <v/>
      </c>
      <c r="J182" s="30" t="str">
        <f aca="false">IF($E182="","",$E182*G182)</f>
        <v/>
      </c>
      <c r="K182" s="30" t="str">
        <f aca="false">IF($E182="","",I182+J182)</f>
        <v/>
      </c>
      <c r="L182" s="53" t="str">
        <f aca="false">IF($E182="","",IF(R182=0,"SEM CUSTO — falta linha de custo","OK"))</f>
        <v/>
      </c>
      <c r="M182" s="67" t="str">
        <f aca="false">IF(AND(ISNUMBER(E182),NOT(ISNUMBER(E181))),"F"&amp;ROW()&amp;":G"&amp;X182,"")</f>
        <v/>
      </c>
      <c r="N182" s="30" t="str">
        <f aca="false">IF($E182="","",SUMIFS('Rateio Anexo'!$K$6:$K$600,'Rateio Anexo'!$D$6:$D$600,$B182,'Rateio Anexo'!$B$6:$B$600,"MAT"))</f>
        <v/>
      </c>
      <c r="O182" s="30" t="str">
        <f aca="false">IF($E182="","",SUMIFS('Rateio Anexo'!$K$6:$K$600,'Rateio Anexo'!$D$6:$D$600,$B182,'Rateio Anexo'!$B$6:$B$600,"MO"))</f>
        <v/>
      </c>
      <c r="P182" s="30" t="str">
        <f aca="false">IF($E182="","",IF($N$3=0,0,N182/$N$3*$R$4))</f>
        <v/>
      </c>
      <c r="Q182" s="30" t="str">
        <f aca="false">IF($E182="","",IF($O$3=0,0,O182/$O$3*$T$4))</f>
        <v/>
      </c>
      <c r="R182" s="30" t="str">
        <f aca="false">IF($E182="","",N182+O182+P182+Q182)</f>
        <v/>
      </c>
      <c r="S182" s="30" t="str">
        <f aca="false">IF($E182="","",(N182+P182)*Precificação!$B$19)</f>
        <v/>
      </c>
      <c r="T182" s="30" t="str">
        <f aca="false">IF($E182="","",(O182+Q182)*Precificação!$B$20)</f>
        <v/>
      </c>
      <c r="U182" s="68" t="str">
        <f aca="false">IF($E182="","",IF($E182=INT($E182),0.01,IF($E182*2=INT($E182*2),0.02,0.05)))</f>
        <v/>
      </c>
      <c r="V182" s="30" t="str">
        <f aca="false">IF($E182="","",ROUND(S182/$E182/U182,0)*U182)</f>
        <v/>
      </c>
      <c r="W182" s="30" t="str">
        <f aca="false">IF($E182="","",ROUND(T182/$E182/U182,0)*U182)</f>
        <v/>
      </c>
      <c r="X182" s="14" t="str">
        <f aca="false">IF(NOT(ISNUMBER(E182)),"",IF(NOT(ISNUMBER(E183)),ROW(),X183))</f>
        <v/>
      </c>
    </row>
    <row r="183" customFormat="false" ht="15" hidden="false" customHeight="false" outlineLevel="0" collapsed="false">
      <c r="F183" s="66" t="str">
        <f aca="false">IF($E183="","",V183)</f>
        <v/>
      </c>
      <c r="G183" s="66" t="str">
        <f aca="false">IF($E183="","",ROUND(W183+IF($B183=Precificação!$B$26,$F$3/$E183,0),2))</f>
        <v/>
      </c>
      <c r="H183" s="30" t="str">
        <f aca="false">IF($E183="","",F183+G183)</f>
        <v/>
      </c>
      <c r="I183" s="30" t="str">
        <f aca="false">IF($E183="","",$E183*F183)</f>
        <v/>
      </c>
      <c r="J183" s="30" t="str">
        <f aca="false">IF($E183="","",$E183*G183)</f>
        <v/>
      </c>
      <c r="K183" s="30" t="str">
        <f aca="false">IF($E183="","",I183+J183)</f>
        <v/>
      </c>
      <c r="L183" s="53" t="str">
        <f aca="false">IF($E183="","",IF(R183=0,"SEM CUSTO — falta linha de custo","OK"))</f>
        <v/>
      </c>
      <c r="M183" s="67" t="str">
        <f aca="false">IF(AND(ISNUMBER(E183),NOT(ISNUMBER(E182))),"F"&amp;ROW()&amp;":G"&amp;X183,"")</f>
        <v/>
      </c>
      <c r="N183" s="30" t="str">
        <f aca="false">IF($E183="","",SUMIFS('Rateio Anexo'!$K$6:$K$600,'Rateio Anexo'!$D$6:$D$600,$B183,'Rateio Anexo'!$B$6:$B$600,"MAT"))</f>
        <v/>
      </c>
      <c r="O183" s="30" t="str">
        <f aca="false">IF($E183="","",SUMIFS('Rateio Anexo'!$K$6:$K$600,'Rateio Anexo'!$D$6:$D$600,$B183,'Rateio Anexo'!$B$6:$B$600,"MO"))</f>
        <v/>
      </c>
      <c r="P183" s="30" t="str">
        <f aca="false">IF($E183="","",IF($N$3=0,0,N183/$N$3*$R$4))</f>
        <v/>
      </c>
      <c r="Q183" s="30" t="str">
        <f aca="false">IF($E183="","",IF($O$3=0,0,O183/$O$3*$T$4))</f>
        <v/>
      </c>
      <c r="R183" s="30" t="str">
        <f aca="false">IF($E183="","",N183+O183+P183+Q183)</f>
        <v/>
      </c>
      <c r="S183" s="30" t="str">
        <f aca="false">IF($E183="","",(N183+P183)*Precificação!$B$19)</f>
        <v/>
      </c>
      <c r="T183" s="30" t="str">
        <f aca="false">IF($E183="","",(O183+Q183)*Precificação!$B$20)</f>
        <v/>
      </c>
      <c r="U183" s="68" t="str">
        <f aca="false">IF($E183="","",IF($E183=INT($E183),0.01,IF($E183*2=INT($E183*2),0.02,0.05)))</f>
        <v/>
      </c>
      <c r="V183" s="30" t="str">
        <f aca="false">IF($E183="","",ROUND(S183/$E183/U183,0)*U183)</f>
        <v/>
      </c>
      <c r="W183" s="30" t="str">
        <f aca="false">IF($E183="","",ROUND(T183/$E183/U183,0)*U183)</f>
        <v/>
      </c>
      <c r="X183" s="14" t="str">
        <f aca="false">IF(NOT(ISNUMBER(E183)),"",IF(NOT(ISNUMBER(E184)),ROW(),X184))</f>
        <v/>
      </c>
    </row>
    <row r="184" customFormat="false" ht="15" hidden="false" customHeight="false" outlineLevel="0" collapsed="false">
      <c r="F184" s="66" t="str">
        <f aca="false">IF($E184="","",V184)</f>
        <v/>
      </c>
      <c r="G184" s="66" t="str">
        <f aca="false">IF($E184="","",ROUND(W184+IF($B184=Precificação!$B$26,$F$3/$E184,0),2))</f>
        <v/>
      </c>
      <c r="H184" s="30" t="str">
        <f aca="false">IF($E184="","",F184+G184)</f>
        <v/>
      </c>
      <c r="I184" s="30" t="str">
        <f aca="false">IF($E184="","",$E184*F184)</f>
        <v/>
      </c>
      <c r="J184" s="30" t="str">
        <f aca="false">IF($E184="","",$E184*G184)</f>
        <v/>
      </c>
      <c r="K184" s="30" t="str">
        <f aca="false">IF($E184="","",I184+J184)</f>
        <v/>
      </c>
      <c r="L184" s="53" t="str">
        <f aca="false">IF($E184="","",IF(R184=0,"SEM CUSTO — falta linha de custo","OK"))</f>
        <v/>
      </c>
      <c r="M184" s="67" t="str">
        <f aca="false">IF(AND(ISNUMBER(E184),NOT(ISNUMBER(E183))),"F"&amp;ROW()&amp;":G"&amp;X184,"")</f>
        <v/>
      </c>
      <c r="N184" s="30" t="str">
        <f aca="false">IF($E184="","",SUMIFS('Rateio Anexo'!$K$6:$K$600,'Rateio Anexo'!$D$6:$D$600,$B184,'Rateio Anexo'!$B$6:$B$600,"MAT"))</f>
        <v/>
      </c>
      <c r="O184" s="30" t="str">
        <f aca="false">IF($E184="","",SUMIFS('Rateio Anexo'!$K$6:$K$600,'Rateio Anexo'!$D$6:$D$600,$B184,'Rateio Anexo'!$B$6:$B$600,"MO"))</f>
        <v/>
      </c>
      <c r="P184" s="30" t="str">
        <f aca="false">IF($E184="","",IF($N$3=0,0,N184/$N$3*$R$4))</f>
        <v/>
      </c>
      <c r="Q184" s="30" t="str">
        <f aca="false">IF($E184="","",IF($O$3=0,0,O184/$O$3*$T$4))</f>
        <v/>
      </c>
      <c r="R184" s="30" t="str">
        <f aca="false">IF($E184="","",N184+O184+P184+Q184)</f>
        <v/>
      </c>
      <c r="S184" s="30" t="str">
        <f aca="false">IF($E184="","",(N184+P184)*Precificação!$B$19)</f>
        <v/>
      </c>
      <c r="T184" s="30" t="str">
        <f aca="false">IF($E184="","",(O184+Q184)*Precificação!$B$20)</f>
        <v/>
      </c>
      <c r="U184" s="68" t="str">
        <f aca="false">IF($E184="","",IF($E184=INT($E184),0.01,IF($E184*2=INT($E184*2),0.02,0.05)))</f>
        <v/>
      </c>
      <c r="V184" s="30" t="str">
        <f aca="false">IF($E184="","",ROUND(S184/$E184/U184,0)*U184)</f>
        <v/>
      </c>
      <c r="W184" s="30" t="str">
        <f aca="false">IF($E184="","",ROUND(T184/$E184/U184,0)*U184)</f>
        <v/>
      </c>
      <c r="X184" s="14" t="str">
        <f aca="false">IF(NOT(ISNUMBER(E184)),"",IF(NOT(ISNUMBER(E185)),ROW(),X185))</f>
        <v/>
      </c>
    </row>
    <row r="185" customFormat="false" ht="15" hidden="false" customHeight="false" outlineLevel="0" collapsed="false">
      <c r="F185" s="66" t="str">
        <f aca="false">IF($E185="","",V185)</f>
        <v/>
      </c>
      <c r="G185" s="66" t="str">
        <f aca="false">IF($E185="","",ROUND(W185+IF($B185=Precificação!$B$26,$F$3/$E185,0),2))</f>
        <v/>
      </c>
      <c r="H185" s="30" t="str">
        <f aca="false">IF($E185="","",F185+G185)</f>
        <v/>
      </c>
      <c r="I185" s="30" t="str">
        <f aca="false">IF($E185="","",$E185*F185)</f>
        <v/>
      </c>
      <c r="J185" s="30" t="str">
        <f aca="false">IF($E185="","",$E185*G185)</f>
        <v/>
      </c>
      <c r="K185" s="30" t="str">
        <f aca="false">IF($E185="","",I185+J185)</f>
        <v/>
      </c>
      <c r="L185" s="53" t="str">
        <f aca="false">IF($E185="","",IF(R185=0,"SEM CUSTO — falta linha de custo","OK"))</f>
        <v/>
      </c>
      <c r="M185" s="67" t="str">
        <f aca="false">IF(AND(ISNUMBER(E185),NOT(ISNUMBER(E184))),"F"&amp;ROW()&amp;":G"&amp;X185,"")</f>
        <v/>
      </c>
      <c r="N185" s="30" t="str">
        <f aca="false">IF($E185="","",SUMIFS('Rateio Anexo'!$K$6:$K$600,'Rateio Anexo'!$D$6:$D$600,$B185,'Rateio Anexo'!$B$6:$B$600,"MAT"))</f>
        <v/>
      </c>
      <c r="O185" s="30" t="str">
        <f aca="false">IF($E185="","",SUMIFS('Rateio Anexo'!$K$6:$K$600,'Rateio Anexo'!$D$6:$D$600,$B185,'Rateio Anexo'!$B$6:$B$600,"MO"))</f>
        <v/>
      </c>
      <c r="P185" s="30" t="str">
        <f aca="false">IF($E185="","",IF($N$3=0,0,N185/$N$3*$R$4))</f>
        <v/>
      </c>
      <c r="Q185" s="30" t="str">
        <f aca="false">IF($E185="","",IF($O$3=0,0,O185/$O$3*$T$4))</f>
        <v/>
      </c>
      <c r="R185" s="30" t="str">
        <f aca="false">IF($E185="","",N185+O185+P185+Q185)</f>
        <v/>
      </c>
      <c r="S185" s="30" t="str">
        <f aca="false">IF($E185="","",(N185+P185)*Precificação!$B$19)</f>
        <v/>
      </c>
      <c r="T185" s="30" t="str">
        <f aca="false">IF($E185="","",(O185+Q185)*Precificação!$B$20)</f>
        <v/>
      </c>
      <c r="U185" s="68" t="str">
        <f aca="false">IF($E185="","",IF($E185=INT($E185),0.01,IF($E185*2=INT($E185*2),0.02,0.05)))</f>
        <v/>
      </c>
      <c r="V185" s="30" t="str">
        <f aca="false">IF($E185="","",ROUND(S185/$E185/U185,0)*U185)</f>
        <v/>
      </c>
      <c r="W185" s="30" t="str">
        <f aca="false">IF($E185="","",ROUND(T185/$E185/U185,0)*U185)</f>
        <v/>
      </c>
      <c r="X185" s="14" t="str">
        <f aca="false">IF(NOT(ISNUMBER(E185)),"",IF(NOT(ISNUMBER(E186)),ROW(),X186))</f>
        <v/>
      </c>
    </row>
    <row r="186" customFormat="false" ht="15" hidden="false" customHeight="false" outlineLevel="0" collapsed="false">
      <c r="F186" s="66" t="str">
        <f aca="false">IF($E186="","",V186)</f>
        <v/>
      </c>
      <c r="G186" s="66" t="str">
        <f aca="false">IF($E186="","",ROUND(W186+IF($B186=Precificação!$B$26,$F$3/$E186,0),2))</f>
        <v/>
      </c>
      <c r="H186" s="30" t="str">
        <f aca="false">IF($E186="","",F186+G186)</f>
        <v/>
      </c>
      <c r="I186" s="30" t="str">
        <f aca="false">IF($E186="","",$E186*F186)</f>
        <v/>
      </c>
      <c r="J186" s="30" t="str">
        <f aca="false">IF($E186="","",$E186*G186)</f>
        <v/>
      </c>
      <c r="K186" s="30" t="str">
        <f aca="false">IF($E186="","",I186+J186)</f>
        <v/>
      </c>
      <c r="L186" s="53" t="str">
        <f aca="false">IF($E186="","",IF(R186=0,"SEM CUSTO — falta linha de custo","OK"))</f>
        <v/>
      </c>
      <c r="M186" s="67" t="str">
        <f aca="false">IF(AND(ISNUMBER(E186),NOT(ISNUMBER(E185))),"F"&amp;ROW()&amp;":G"&amp;X186,"")</f>
        <v/>
      </c>
      <c r="N186" s="30" t="str">
        <f aca="false">IF($E186="","",SUMIFS('Rateio Anexo'!$K$6:$K$600,'Rateio Anexo'!$D$6:$D$600,$B186,'Rateio Anexo'!$B$6:$B$600,"MAT"))</f>
        <v/>
      </c>
      <c r="O186" s="30" t="str">
        <f aca="false">IF($E186="","",SUMIFS('Rateio Anexo'!$K$6:$K$600,'Rateio Anexo'!$D$6:$D$600,$B186,'Rateio Anexo'!$B$6:$B$600,"MO"))</f>
        <v/>
      </c>
      <c r="P186" s="30" t="str">
        <f aca="false">IF($E186="","",IF($N$3=0,0,N186/$N$3*$R$4))</f>
        <v/>
      </c>
      <c r="Q186" s="30" t="str">
        <f aca="false">IF($E186="","",IF($O$3=0,0,O186/$O$3*$T$4))</f>
        <v/>
      </c>
      <c r="R186" s="30" t="str">
        <f aca="false">IF($E186="","",N186+O186+P186+Q186)</f>
        <v/>
      </c>
      <c r="S186" s="30" t="str">
        <f aca="false">IF($E186="","",(N186+P186)*Precificação!$B$19)</f>
        <v/>
      </c>
      <c r="T186" s="30" t="str">
        <f aca="false">IF($E186="","",(O186+Q186)*Precificação!$B$20)</f>
        <v/>
      </c>
      <c r="U186" s="68" t="str">
        <f aca="false">IF($E186="","",IF($E186=INT($E186),0.01,IF($E186*2=INT($E186*2),0.02,0.05)))</f>
        <v/>
      </c>
      <c r="V186" s="30" t="str">
        <f aca="false">IF($E186="","",ROUND(S186/$E186/U186,0)*U186)</f>
        <v/>
      </c>
      <c r="W186" s="30" t="str">
        <f aca="false">IF($E186="","",ROUND(T186/$E186/U186,0)*U186)</f>
        <v/>
      </c>
      <c r="X186" s="14" t="str">
        <f aca="false">IF(NOT(ISNUMBER(E186)),"",IF(NOT(ISNUMBER(E187)),ROW(),X187))</f>
        <v/>
      </c>
    </row>
    <row r="187" customFormat="false" ht="15" hidden="false" customHeight="false" outlineLevel="0" collapsed="false">
      <c r="F187" s="66" t="str">
        <f aca="false">IF($E187="","",V187)</f>
        <v/>
      </c>
      <c r="G187" s="66" t="str">
        <f aca="false">IF($E187="","",ROUND(W187+IF($B187=Precificação!$B$26,$F$3/$E187,0),2))</f>
        <v/>
      </c>
      <c r="H187" s="30" t="str">
        <f aca="false">IF($E187="","",F187+G187)</f>
        <v/>
      </c>
      <c r="I187" s="30" t="str">
        <f aca="false">IF($E187="","",$E187*F187)</f>
        <v/>
      </c>
      <c r="J187" s="30" t="str">
        <f aca="false">IF($E187="","",$E187*G187)</f>
        <v/>
      </c>
      <c r="K187" s="30" t="str">
        <f aca="false">IF($E187="","",I187+J187)</f>
        <v/>
      </c>
      <c r="L187" s="53" t="str">
        <f aca="false">IF($E187="","",IF(R187=0,"SEM CUSTO — falta linha de custo","OK"))</f>
        <v/>
      </c>
      <c r="M187" s="67" t="str">
        <f aca="false">IF(AND(ISNUMBER(E187),NOT(ISNUMBER(E186))),"F"&amp;ROW()&amp;":G"&amp;X187,"")</f>
        <v/>
      </c>
      <c r="N187" s="30" t="str">
        <f aca="false">IF($E187="","",SUMIFS('Rateio Anexo'!$K$6:$K$600,'Rateio Anexo'!$D$6:$D$600,$B187,'Rateio Anexo'!$B$6:$B$600,"MAT"))</f>
        <v/>
      </c>
      <c r="O187" s="30" t="str">
        <f aca="false">IF($E187="","",SUMIFS('Rateio Anexo'!$K$6:$K$600,'Rateio Anexo'!$D$6:$D$600,$B187,'Rateio Anexo'!$B$6:$B$600,"MO"))</f>
        <v/>
      </c>
      <c r="P187" s="30" t="str">
        <f aca="false">IF($E187="","",IF($N$3=0,0,N187/$N$3*$R$4))</f>
        <v/>
      </c>
      <c r="Q187" s="30" t="str">
        <f aca="false">IF($E187="","",IF($O$3=0,0,O187/$O$3*$T$4))</f>
        <v/>
      </c>
      <c r="R187" s="30" t="str">
        <f aca="false">IF($E187="","",N187+O187+P187+Q187)</f>
        <v/>
      </c>
      <c r="S187" s="30" t="str">
        <f aca="false">IF($E187="","",(N187+P187)*Precificação!$B$19)</f>
        <v/>
      </c>
      <c r="T187" s="30" t="str">
        <f aca="false">IF($E187="","",(O187+Q187)*Precificação!$B$20)</f>
        <v/>
      </c>
      <c r="U187" s="68" t="str">
        <f aca="false">IF($E187="","",IF($E187=INT($E187),0.01,IF($E187*2=INT($E187*2),0.02,0.05)))</f>
        <v/>
      </c>
      <c r="V187" s="30" t="str">
        <f aca="false">IF($E187="","",ROUND(S187/$E187/U187,0)*U187)</f>
        <v/>
      </c>
      <c r="W187" s="30" t="str">
        <f aca="false">IF($E187="","",ROUND(T187/$E187/U187,0)*U187)</f>
        <v/>
      </c>
      <c r="X187" s="14" t="str">
        <f aca="false">IF(NOT(ISNUMBER(E187)),"",IF(NOT(ISNUMBER(E188)),ROW(),X188))</f>
        <v/>
      </c>
    </row>
    <row r="188" customFormat="false" ht="15" hidden="false" customHeight="false" outlineLevel="0" collapsed="false">
      <c r="F188" s="66" t="str">
        <f aca="false">IF($E188="","",V188)</f>
        <v/>
      </c>
      <c r="G188" s="66" t="str">
        <f aca="false">IF($E188="","",ROUND(W188+IF($B188=Precificação!$B$26,$F$3/$E188,0),2))</f>
        <v/>
      </c>
      <c r="H188" s="30" t="str">
        <f aca="false">IF($E188="","",F188+G188)</f>
        <v/>
      </c>
      <c r="I188" s="30" t="str">
        <f aca="false">IF($E188="","",$E188*F188)</f>
        <v/>
      </c>
      <c r="J188" s="30" t="str">
        <f aca="false">IF($E188="","",$E188*G188)</f>
        <v/>
      </c>
      <c r="K188" s="30" t="str">
        <f aca="false">IF($E188="","",I188+J188)</f>
        <v/>
      </c>
      <c r="L188" s="53" t="str">
        <f aca="false">IF($E188="","",IF(R188=0,"SEM CUSTO — falta linha de custo","OK"))</f>
        <v/>
      </c>
      <c r="M188" s="67" t="str">
        <f aca="false">IF(AND(ISNUMBER(E188),NOT(ISNUMBER(E187))),"F"&amp;ROW()&amp;":G"&amp;X188,"")</f>
        <v/>
      </c>
      <c r="N188" s="30" t="str">
        <f aca="false">IF($E188="","",SUMIFS('Rateio Anexo'!$K$6:$K$600,'Rateio Anexo'!$D$6:$D$600,$B188,'Rateio Anexo'!$B$6:$B$600,"MAT"))</f>
        <v/>
      </c>
      <c r="O188" s="30" t="str">
        <f aca="false">IF($E188="","",SUMIFS('Rateio Anexo'!$K$6:$K$600,'Rateio Anexo'!$D$6:$D$600,$B188,'Rateio Anexo'!$B$6:$B$600,"MO"))</f>
        <v/>
      </c>
      <c r="P188" s="30" t="str">
        <f aca="false">IF($E188="","",IF($N$3=0,0,N188/$N$3*$R$4))</f>
        <v/>
      </c>
      <c r="Q188" s="30" t="str">
        <f aca="false">IF($E188="","",IF($O$3=0,0,O188/$O$3*$T$4))</f>
        <v/>
      </c>
      <c r="R188" s="30" t="str">
        <f aca="false">IF($E188="","",N188+O188+P188+Q188)</f>
        <v/>
      </c>
      <c r="S188" s="30" t="str">
        <f aca="false">IF($E188="","",(N188+P188)*Precificação!$B$19)</f>
        <v/>
      </c>
      <c r="T188" s="30" t="str">
        <f aca="false">IF($E188="","",(O188+Q188)*Precificação!$B$20)</f>
        <v/>
      </c>
      <c r="U188" s="68" t="str">
        <f aca="false">IF($E188="","",IF($E188=INT($E188),0.01,IF($E188*2=INT($E188*2),0.02,0.05)))</f>
        <v/>
      </c>
      <c r="V188" s="30" t="str">
        <f aca="false">IF($E188="","",ROUND(S188/$E188/U188,0)*U188)</f>
        <v/>
      </c>
      <c r="W188" s="30" t="str">
        <f aca="false">IF($E188="","",ROUND(T188/$E188/U188,0)*U188)</f>
        <v/>
      </c>
      <c r="X188" s="14" t="str">
        <f aca="false">IF(NOT(ISNUMBER(E188)),"",IF(NOT(ISNUMBER(E189)),ROW(),X189))</f>
        <v/>
      </c>
    </row>
    <row r="189" customFormat="false" ht="15" hidden="false" customHeight="false" outlineLevel="0" collapsed="false">
      <c r="F189" s="66" t="str">
        <f aca="false">IF($E189="","",V189)</f>
        <v/>
      </c>
      <c r="G189" s="66" t="str">
        <f aca="false">IF($E189="","",ROUND(W189+IF($B189=Precificação!$B$26,$F$3/$E189,0),2))</f>
        <v/>
      </c>
      <c r="H189" s="30" t="str">
        <f aca="false">IF($E189="","",F189+G189)</f>
        <v/>
      </c>
      <c r="I189" s="30" t="str">
        <f aca="false">IF($E189="","",$E189*F189)</f>
        <v/>
      </c>
      <c r="J189" s="30" t="str">
        <f aca="false">IF($E189="","",$E189*G189)</f>
        <v/>
      </c>
      <c r="K189" s="30" t="str">
        <f aca="false">IF($E189="","",I189+J189)</f>
        <v/>
      </c>
      <c r="L189" s="53" t="str">
        <f aca="false">IF($E189="","",IF(R189=0,"SEM CUSTO — falta linha de custo","OK"))</f>
        <v/>
      </c>
      <c r="M189" s="67" t="str">
        <f aca="false">IF(AND(ISNUMBER(E189),NOT(ISNUMBER(E188))),"F"&amp;ROW()&amp;":G"&amp;X189,"")</f>
        <v/>
      </c>
      <c r="N189" s="30" t="str">
        <f aca="false">IF($E189="","",SUMIFS('Rateio Anexo'!$K$6:$K$600,'Rateio Anexo'!$D$6:$D$600,$B189,'Rateio Anexo'!$B$6:$B$600,"MAT"))</f>
        <v/>
      </c>
      <c r="O189" s="30" t="str">
        <f aca="false">IF($E189="","",SUMIFS('Rateio Anexo'!$K$6:$K$600,'Rateio Anexo'!$D$6:$D$600,$B189,'Rateio Anexo'!$B$6:$B$600,"MO"))</f>
        <v/>
      </c>
      <c r="P189" s="30" t="str">
        <f aca="false">IF($E189="","",IF($N$3=0,0,N189/$N$3*$R$4))</f>
        <v/>
      </c>
      <c r="Q189" s="30" t="str">
        <f aca="false">IF($E189="","",IF($O$3=0,0,O189/$O$3*$T$4))</f>
        <v/>
      </c>
      <c r="R189" s="30" t="str">
        <f aca="false">IF($E189="","",N189+O189+P189+Q189)</f>
        <v/>
      </c>
      <c r="S189" s="30" t="str">
        <f aca="false">IF($E189="","",(N189+P189)*Precificação!$B$19)</f>
        <v/>
      </c>
      <c r="T189" s="30" t="str">
        <f aca="false">IF($E189="","",(O189+Q189)*Precificação!$B$20)</f>
        <v/>
      </c>
      <c r="U189" s="68" t="str">
        <f aca="false">IF($E189="","",IF($E189=INT($E189),0.01,IF($E189*2=INT($E189*2),0.02,0.05)))</f>
        <v/>
      </c>
      <c r="V189" s="30" t="str">
        <f aca="false">IF($E189="","",ROUND(S189/$E189/U189,0)*U189)</f>
        <v/>
      </c>
      <c r="W189" s="30" t="str">
        <f aca="false">IF($E189="","",ROUND(T189/$E189/U189,0)*U189)</f>
        <v/>
      </c>
      <c r="X189" s="14" t="str">
        <f aca="false">IF(NOT(ISNUMBER(E189)),"",IF(NOT(ISNUMBER(E190)),ROW(),X190))</f>
        <v/>
      </c>
    </row>
    <row r="190" customFormat="false" ht="15" hidden="false" customHeight="false" outlineLevel="0" collapsed="false">
      <c r="F190" s="66" t="str">
        <f aca="false">IF($E190="","",V190)</f>
        <v/>
      </c>
      <c r="G190" s="66" t="str">
        <f aca="false">IF($E190="","",ROUND(W190+IF($B190=Precificação!$B$26,$F$3/$E190,0),2))</f>
        <v/>
      </c>
      <c r="H190" s="30" t="str">
        <f aca="false">IF($E190="","",F190+G190)</f>
        <v/>
      </c>
      <c r="I190" s="30" t="str">
        <f aca="false">IF($E190="","",$E190*F190)</f>
        <v/>
      </c>
      <c r="J190" s="30" t="str">
        <f aca="false">IF($E190="","",$E190*G190)</f>
        <v/>
      </c>
      <c r="K190" s="30" t="str">
        <f aca="false">IF($E190="","",I190+J190)</f>
        <v/>
      </c>
      <c r="L190" s="53" t="str">
        <f aca="false">IF($E190="","",IF(R190=0,"SEM CUSTO — falta linha de custo","OK"))</f>
        <v/>
      </c>
      <c r="M190" s="67" t="str">
        <f aca="false">IF(AND(ISNUMBER(E190),NOT(ISNUMBER(E189))),"F"&amp;ROW()&amp;":G"&amp;X190,"")</f>
        <v/>
      </c>
      <c r="N190" s="30" t="str">
        <f aca="false">IF($E190="","",SUMIFS('Rateio Anexo'!$K$6:$K$600,'Rateio Anexo'!$D$6:$D$600,$B190,'Rateio Anexo'!$B$6:$B$600,"MAT"))</f>
        <v/>
      </c>
      <c r="O190" s="30" t="str">
        <f aca="false">IF($E190="","",SUMIFS('Rateio Anexo'!$K$6:$K$600,'Rateio Anexo'!$D$6:$D$600,$B190,'Rateio Anexo'!$B$6:$B$600,"MO"))</f>
        <v/>
      </c>
      <c r="P190" s="30" t="str">
        <f aca="false">IF($E190="","",IF($N$3=0,0,N190/$N$3*$R$4))</f>
        <v/>
      </c>
      <c r="Q190" s="30" t="str">
        <f aca="false">IF($E190="","",IF($O$3=0,0,O190/$O$3*$T$4))</f>
        <v/>
      </c>
      <c r="R190" s="30" t="str">
        <f aca="false">IF($E190="","",N190+O190+P190+Q190)</f>
        <v/>
      </c>
      <c r="S190" s="30" t="str">
        <f aca="false">IF($E190="","",(N190+P190)*Precificação!$B$19)</f>
        <v/>
      </c>
      <c r="T190" s="30" t="str">
        <f aca="false">IF($E190="","",(O190+Q190)*Precificação!$B$20)</f>
        <v/>
      </c>
      <c r="U190" s="68" t="str">
        <f aca="false">IF($E190="","",IF($E190=INT($E190),0.01,IF($E190*2=INT($E190*2),0.02,0.05)))</f>
        <v/>
      </c>
      <c r="V190" s="30" t="str">
        <f aca="false">IF($E190="","",ROUND(S190/$E190/U190,0)*U190)</f>
        <v/>
      </c>
      <c r="W190" s="30" t="str">
        <f aca="false">IF($E190="","",ROUND(T190/$E190/U190,0)*U190)</f>
        <v/>
      </c>
      <c r="X190" s="14" t="str">
        <f aca="false">IF(NOT(ISNUMBER(E190)),"",IF(NOT(ISNUMBER(E191)),ROW(),X191))</f>
        <v/>
      </c>
    </row>
    <row r="191" customFormat="false" ht="15" hidden="false" customHeight="false" outlineLevel="0" collapsed="false">
      <c r="F191" s="66" t="str">
        <f aca="false">IF($E191="","",V191)</f>
        <v/>
      </c>
      <c r="G191" s="66" t="str">
        <f aca="false">IF($E191="","",ROUND(W191+IF($B191=Precificação!$B$26,$F$3/$E191,0),2))</f>
        <v/>
      </c>
      <c r="H191" s="30" t="str">
        <f aca="false">IF($E191="","",F191+G191)</f>
        <v/>
      </c>
      <c r="I191" s="30" t="str">
        <f aca="false">IF($E191="","",$E191*F191)</f>
        <v/>
      </c>
      <c r="J191" s="30" t="str">
        <f aca="false">IF($E191="","",$E191*G191)</f>
        <v/>
      </c>
      <c r="K191" s="30" t="str">
        <f aca="false">IF($E191="","",I191+J191)</f>
        <v/>
      </c>
      <c r="L191" s="53" t="str">
        <f aca="false">IF($E191="","",IF(R191=0,"SEM CUSTO — falta linha de custo","OK"))</f>
        <v/>
      </c>
      <c r="M191" s="67" t="str">
        <f aca="false">IF(AND(ISNUMBER(E191),NOT(ISNUMBER(E190))),"F"&amp;ROW()&amp;":G"&amp;X191,"")</f>
        <v/>
      </c>
      <c r="N191" s="30" t="str">
        <f aca="false">IF($E191="","",SUMIFS('Rateio Anexo'!$K$6:$K$600,'Rateio Anexo'!$D$6:$D$600,$B191,'Rateio Anexo'!$B$6:$B$600,"MAT"))</f>
        <v/>
      </c>
      <c r="O191" s="30" t="str">
        <f aca="false">IF($E191="","",SUMIFS('Rateio Anexo'!$K$6:$K$600,'Rateio Anexo'!$D$6:$D$600,$B191,'Rateio Anexo'!$B$6:$B$600,"MO"))</f>
        <v/>
      </c>
      <c r="P191" s="30" t="str">
        <f aca="false">IF($E191="","",IF($N$3=0,0,N191/$N$3*$R$4))</f>
        <v/>
      </c>
      <c r="Q191" s="30" t="str">
        <f aca="false">IF($E191="","",IF($O$3=0,0,O191/$O$3*$T$4))</f>
        <v/>
      </c>
      <c r="R191" s="30" t="str">
        <f aca="false">IF($E191="","",N191+O191+P191+Q191)</f>
        <v/>
      </c>
      <c r="S191" s="30" t="str">
        <f aca="false">IF($E191="","",(N191+P191)*Precificação!$B$19)</f>
        <v/>
      </c>
      <c r="T191" s="30" t="str">
        <f aca="false">IF($E191="","",(O191+Q191)*Precificação!$B$20)</f>
        <v/>
      </c>
      <c r="U191" s="68" t="str">
        <f aca="false">IF($E191="","",IF($E191=INT($E191),0.01,IF($E191*2=INT($E191*2),0.02,0.05)))</f>
        <v/>
      </c>
      <c r="V191" s="30" t="str">
        <f aca="false">IF($E191="","",ROUND(S191/$E191/U191,0)*U191)</f>
        <v/>
      </c>
      <c r="W191" s="30" t="str">
        <f aca="false">IF($E191="","",ROUND(T191/$E191/U191,0)*U191)</f>
        <v/>
      </c>
      <c r="X191" s="14" t="str">
        <f aca="false">IF(NOT(ISNUMBER(E191)),"",IF(NOT(ISNUMBER(E192)),ROW(),X192))</f>
        <v/>
      </c>
    </row>
    <row r="192" customFormat="false" ht="15" hidden="false" customHeight="false" outlineLevel="0" collapsed="false">
      <c r="F192" s="66" t="str">
        <f aca="false">IF($E192="","",V192)</f>
        <v/>
      </c>
      <c r="G192" s="66" t="str">
        <f aca="false">IF($E192="","",ROUND(W192+IF($B192=Precificação!$B$26,$F$3/$E192,0),2))</f>
        <v/>
      </c>
      <c r="H192" s="30" t="str">
        <f aca="false">IF($E192="","",F192+G192)</f>
        <v/>
      </c>
      <c r="I192" s="30" t="str">
        <f aca="false">IF($E192="","",$E192*F192)</f>
        <v/>
      </c>
      <c r="J192" s="30" t="str">
        <f aca="false">IF($E192="","",$E192*G192)</f>
        <v/>
      </c>
      <c r="K192" s="30" t="str">
        <f aca="false">IF($E192="","",I192+J192)</f>
        <v/>
      </c>
      <c r="L192" s="53" t="str">
        <f aca="false">IF($E192="","",IF(R192=0,"SEM CUSTO — falta linha de custo","OK"))</f>
        <v/>
      </c>
      <c r="M192" s="67" t="str">
        <f aca="false">IF(AND(ISNUMBER(E192),NOT(ISNUMBER(E191))),"F"&amp;ROW()&amp;":G"&amp;X192,"")</f>
        <v/>
      </c>
      <c r="N192" s="30" t="str">
        <f aca="false">IF($E192="","",SUMIFS('Rateio Anexo'!$K$6:$K$600,'Rateio Anexo'!$D$6:$D$600,$B192,'Rateio Anexo'!$B$6:$B$600,"MAT"))</f>
        <v/>
      </c>
      <c r="O192" s="30" t="str">
        <f aca="false">IF($E192="","",SUMIFS('Rateio Anexo'!$K$6:$K$600,'Rateio Anexo'!$D$6:$D$600,$B192,'Rateio Anexo'!$B$6:$B$600,"MO"))</f>
        <v/>
      </c>
      <c r="P192" s="30" t="str">
        <f aca="false">IF($E192="","",IF($N$3=0,0,N192/$N$3*$R$4))</f>
        <v/>
      </c>
      <c r="Q192" s="30" t="str">
        <f aca="false">IF($E192="","",IF($O$3=0,0,O192/$O$3*$T$4))</f>
        <v/>
      </c>
      <c r="R192" s="30" t="str">
        <f aca="false">IF($E192="","",N192+O192+P192+Q192)</f>
        <v/>
      </c>
      <c r="S192" s="30" t="str">
        <f aca="false">IF($E192="","",(N192+P192)*Precificação!$B$19)</f>
        <v/>
      </c>
      <c r="T192" s="30" t="str">
        <f aca="false">IF($E192="","",(O192+Q192)*Precificação!$B$20)</f>
        <v/>
      </c>
      <c r="U192" s="68" t="str">
        <f aca="false">IF($E192="","",IF($E192=INT($E192),0.01,IF($E192*2=INT($E192*2),0.02,0.05)))</f>
        <v/>
      </c>
      <c r="V192" s="30" t="str">
        <f aca="false">IF($E192="","",ROUND(S192/$E192/U192,0)*U192)</f>
        <v/>
      </c>
      <c r="W192" s="30" t="str">
        <f aca="false">IF($E192="","",ROUND(T192/$E192/U192,0)*U192)</f>
        <v/>
      </c>
      <c r="X192" s="14" t="str">
        <f aca="false">IF(NOT(ISNUMBER(E192)),"",IF(NOT(ISNUMBER(E193)),ROW(),X193))</f>
        <v/>
      </c>
    </row>
    <row r="193" customFormat="false" ht="15" hidden="false" customHeight="false" outlineLevel="0" collapsed="false">
      <c r="F193" s="66" t="str">
        <f aca="false">IF($E193="","",V193)</f>
        <v/>
      </c>
      <c r="G193" s="66" t="str">
        <f aca="false">IF($E193="","",ROUND(W193+IF($B193=Precificação!$B$26,$F$3/$E193,0),2))</f>
        <v/>
      </c>
      <c r="H193" s="30" t="str">
        <f aca="false">IF($E193="","",F193+G193)</f>
        <v/>
      </c>
      <c r="I193" s="30" t="str">
        <f aca="false">IF($E193="","",$E193*F193)</f>
        <v/>
      </c>
      <c r="J193" s="30" t="str">
        <f aca="false">IF($E193="","",$E193*G193)</f>
        <v/>
      </c>
      <c r="K193" s="30" t="str">
        <f aca="false">IF($E193="","",I193+J193)</f>
        <v/>
      </c>
      <c r="L193" s="53" t="str">
        <f aca="false">IF($E193="","",IF(R193=0,"SEM CUSTO — falta linha de custo","OK"))</f>
        <v/>
      </c>
      <c r="M193" s="67" t="str">
        <f aca="false">IF(AND(ISNUMBER(E193),NOT(ISNUMBER(E192))),"F"&amp;ROW()&amp;":G"&amp;X193,"")</f>
        <v/>
      </c>
      <c r="N193" s="30" t="str">
        <f aca="false">IF($E193="","",SUMIFS('Rateio Anexo'!$K$6:$K$600,'Rateio Anexo'!$D$6:$D$600,$B193,'Rateio Anexo'!$B$6:$B$600,"MAT"))</f>
        <v/>
      </c>
      <c r="O193" s="30" t="str">
        <f aca="false">IF($E193="","",SUMIFS('Rateio Anexo'!$K$6:$K$600,'Rateio Anexo'!$D$6:$D$600,$B193,'Rateio Anexo'!$B$6:$B$600,"MO"))</f>
        <v/>
      </c>
      <c r="P193" s="30" t="str">
        <f aca="false">IF($E193="","",IF($N$3=0,0,N193/$N$3*$R$4))</f>
        <v/>
      </c>
      <c r="Q193" s="30" t="str">
        <f aca="false">IF($E193="","",IF($O$3=0,0,O193/$O$3*$T$4))</f>
        <v/>
      </c>
      <c r="R193" s="30" t="str">
        <f aca="false">IF($E193="","",N193+O193+P193+Q193)</f>
        <v/>
      </c>
      <c r="S193" s="30" t="str">
        <f aca="false">IF($E193="","",(N193+P193)*Precificação!$B$19)</f>
        <v/>
      </c>
      <c r="T193" s="30" t="str">
        <f aca="false">IF($E193="","",(O193+Q193)*Precificação!$B$20)</f>
        <v/>
      </c>
      <c r="U193" s="68" t="str">
        <f aca="false">IF($E193="","",IF($E193=INT($E193),0.01,IF($E193*2=INT($E193*2),0.02,0.05)))</f>
        <v/>
      </c>
      <c r="V193" s="30" t="str">
        <f aca="false">IF($E193="","",ROUND(S193/$E193/U193,0)*U193)</f>
        <v/>
      </c>
      <c r="W193" s="30" t="str">
        <f aca="false">IF($E193="","",ROUND(T193/$E193/U193,0)*U193)</f>
        <v/>
      </c>
      <c r="X193" s="14" t="str">
        <f aca="false">IF(NOT(ISNUMBER(E193)),"",IF(NOT(ISNUMBER(E194)),ROW(),X194))</f>
        <v/>
      </c>
    </row>
    <row r="194" customFormat="false" ht="15" hidden="false" customHeight="false" outlineLevel="0" collapsed="false">
      <c r="F194" s="66" t="str">
        <f aca="false">IF($E194="","",V194)</f>
        <v/>
      </c>
      <c r="G194" s="66" t="str">
        <f aca="false">IF($E194="","",ROUND(W194+IF($B194=Precificação!$B$26,$F$3/$E194,0),2))</f>
        <v/>
      </c>
      <c r="H194" s="30" t="str">
        <f aca="false">IF($E194="","",F194+G194)</f>
        <v/>
      </c>
      <c r="I194" s="30" t="str">
        <f aca="false">IF($E194="","",$E194*F194)</f>
        <v/>
      </c>
      <c r="J194" s="30" t="str">
        <f aca="false">IF($E194="","",$E194*G194)</f>
        <v/>
      </c>
      <c r="K194" s="30" t="str">
        <f aca="false">IF($E194="","",I194+J194)</f>
        <v/>
      </c>
      <c r="L194" s="53" t="str">
        <f aca="false">IF($E194="","",IF(R194=0,"SEM CUSTO — falta linha de custo","OK"))</f>
        <v/>
      </c>
      <c r="M194" s="67" t="str">
        <f aca="false">IF(AND(ISNUMBER(E194),NOT(ISNUMBER(E193))),"F"&amp;ROW()&amp;":G"&amp;X194,"")</f>
        <v/>
      </c>
      <c r="N194" s="30" t="str">
        <f aca="false">IF($E194="","",SUMIFS('Rateio Anexo'!$K$6:$K$600,'Rateio Anexo'!$D$6:$D$600,$B194,'Rateio Anexo'!$B$6:$B$600,"MAT"))</f>
        <v/>
      </c>
      <c r="O194" s="30" t="str">
        <f aca="false">IF($E194="","",SUMIFS('Rateio Anexo'!$K$6:$K$600,'Rateio Anexo'!$D$6:$D$600,$B194,'Rateio Anexo'!$B$6:$B$600,"MO"))</f>
        <v/>
      </c>
      <c r="P194" s="30" t="str">
        <f aca="false">IF($E194="","",IF($N$3=0,0,N194/$N$3*$R$4))</f>
        <v/>
      </c>
      <c r="Q194" s="30" t="str">
        <f aca="false">IF($E194="","",IF($O$3=0,0,O194/$O$3*$T$4))</f>
        <v/>
      </c>
      <c r="R194" s="30" t="str">
        <f aca="false">IF($E194="","",N194+O194+P194+Q194)</f>
        <v/>
      </c>
      <c r="S194" s="30" t="str">
        <f aca="false">IF($E194="","",(N194+P194)*Precificação!$B$19)</f>
        <v/>
      </c>
      <c r="T194" s="30" t="str">
        <f aca="false">IF($E194="","",(O194+Q194)*Precificação!$B$20)</f>
        <v/>
      </c>
      <c r="U194" s="68" t="str">
        <f aca="false">IF($E194="","",IF($E194=INT($E194),0.01,IF($E194*2=INT($E194*2),0.02,0.05)))</f>
        <v/>
      </c>
      <c r="V194" s="30" t="str">
        <f aca="false">IF($E194="","",ROUND(S194/$E194/U194,0)*U194)</f>
        <v/>
      </c>
      <c r="W194" s="30" t="str">
        <f aca="false">IF($E194="","",ROUND(T194/$E194/U194,0)*U194)</f>
        <v/>
      </c>
      <c r="X194" s="14" t="str">
        <f aca="false">IF(NOT(ISNUMBER(E194)),"",IF(NOT(ISNUMBER(E195)),ROW(),X195))</f>
        <v/>
      </c>
    </row>
    <row r="195" customFormat="false" ht="15" hidden="false" customHeight="false" outlineLevel="0" collapsed="false">
      <c r="F195" s="66" t="str">
        <f aca="false">IF($E195="","",V195)</f>
        <v/>
      </c>
      <c r="G195" s="66" t="str">
        <f aca="false">IF($E195="","",ROUND(W195+IF($B195=Precificação!$B$26,$F$3/$E195,0),2))</f>
        <v/>
      </c>
      <c r="H195" s="30" t="str">
        <f aca="false">IF($E195="","",F195+G195)</f>
        <v/>
      </c>
      <c r="I195" s="30" t="str">
        <f aca="false">IF($E195="","",$E195*F195)</f>
        <v/>
      </c>
      <c r="J195" s="30" t="str">
        <f aca="false">IF($E195="","",$E195*G195)</f>
        <v/>
      </c>
      <c r="K195" s="30" t="str">
        <f aca="false">IF($E195="","",I195+J195)</f>
        <v/>
      </c>
      <c r="L195" s="53" t="str">
        <f aca="false">IF($E195="","",IF(R195=0,"SEM CUSTO — falta linha de custo","OK"))</f>
        <v/>
      </c>
      <c r="M195" s="67" t="str">
        <f aca="false">IF(AND(ISNUMBER(E195),NOT(ISNUMBER(E194))),"F"&amp;ROW()&amp;":G"&amp;X195,"")</f>
        <v/>
      </c>
      <c r="N195" s="30" t="str">
        <f aca="false">IF($E195="","",SUMIFS('Rateio Anexo'!$K$6:$K$600,'Rateio Anexo'!$D$6:$D$600,$B195,'Rateio Anexo'!$B$6:$B$600,"MAT"))</f>
        <v/>
      </c>
      <c r="O195" s="30" t="str">
        <f aca="false">IF($E195="","",SUMIFS('Rateio Anexo'!$K$6:$K$600,'Rateio Anexo'!$D$6:$D$600,$B195,'Rateio Anexo'!$B$6:$B$600,"MO"))</f>
        <v/>
      </c>
      <c r="P195" s="30" t="str">
        <f aca="false">IF($E195="","",IF($N$3=0,0,N195/$N$3*$R$4))</f>
        <v/>
      </c>
      <c r="Q195" s="30" t="str">
        <f aca="false">IF($E195="","",IF($O$3=0,0,O195/$O$3*$T$4))</f>
        <v/>
      </c>
      <c r="R195" s="30" t="str">
        <f aca="false">IF($E195="","",N195+O195+P195+Q195)</f>
        <v/>
      </c>
      <c r="S195" s="30" t="str">
        <f aca="false">IF($E195="","",(N195+P195)*Precificação!$B$19)</f>
        <v/>
      </c>
      <c r="T195" s="30" t="str">
        <f aca="false">IF($E195="","",(O195+Q195)*Precificação!$B$20)</f>
        <v/>
      </c>
      <c r="U195" s="68" t="str">
        <f aca="false">IF($E195="","",IF($E195=INT($E195),0.01,IF($E195*2=INT($E195*2),0.02,0.05)))</f>
        <v/>
      </c>
      <c r="V195" s="30" t="str">
        <f aca="false">IF($E195="","",ROUND(S195/$E195/U195,0)*U195)</f>
        <v/>
      </c>
      <c r="W195" s="30" t="str">
        <f aca="false">IF($E195="","",ROUND(T195/$E195/U195,0)*U195)</f>
        <v/>
      </c>
      <c r="X195" s="14" t="str">
        <f aca="false">IF(NOT(ISNUMBER(E195)),"",IF(NOT(ISNUMBER(E196)),ROW(),X196))</f>
        <v/>
      </c>
    </row>
    <row r="196" customFormat="false" ht="15" hidden="false" customHeight="false" outlineLevel="0" collapsed="false">
      <c r="F196" s="66" t="str">
        <f aca="false">IF($E196="","",V196)</f>
        <v/>
      </c>
      <c r="G196" s="66" t="str">
        <f aca="false">IF($E196="","",ROUND(W196+IF($B196=Precificação!$B$26,$F$3/$E196,0),2))</f>
        <v/>
      </c>
      <c r="H196" s="30" t="str">
        <f aca="false">IF($E196="","",F196+G196)</f>
        <v/>
      </c>
      <c r="I196" s="30" t="str">
        <f aca="false">IF($E196="","",$E196*F196)</f>
        <v/>
      </c>
      <c r="J196" s="30" t="str">
        <f aca="false">IF($E196="","",$E196*G196)</f>
        <v/>
      </c>
      <c r="K196" s="30" t="str">
        <f aca="false">IF($E196="","",I196+J196)</f>
        <v/>
      </c>
      <c r="L196" s="53" t="str">
        <f aca="false">IF($E196="","",IF(R196=0,"SEM CUSTO — falta linha de custo","OK"))</f>
        <v/>
      </c>
      <c r="M196" s="67" t="str">
        <f aca="false">IF(AND(ISNUMBER(E196),NOT(ISNUMBER(E195))),"F"&amp;ROW()&amp;":G"&amp;X196,"")</f>
        <v/>
      </c>
      <c r="N196" s="30" t="str">
        <f aca="false">IF($E196="","",SUMIFS('Rateio Anexo'!$K$6:$K$600,'Rateio Anexo'!$D$6:$D$600,$B196,'Rateio Anexo'!$B$6:$B$600,"MAT"))</f>
        <v/>
      </c>
      <c r="O196" s="30" t="str">
        <f aca="false">IF($E196="","",SUMIFS('Rateio Anexo'!$K$6:$K$600,'Rateio Anexo'!$D$6:$D$600,$B196,'Rateio Anexo'!$B$6:$B$600,"MO"))</f>
        <v/>
      </c>
      <c r="P196" s="30" t="str">
        <f aca="false">IF($E196="","",IF($N$3=0,0,N196/$N$3*$R$4))</f>
        <v/>
      </c>
      <c r="Q196" s="30" t="str">
        <f aca="false">IF($E196="","",IF($O$3=0,0,O196/$O$3*$T$4))</f>
        <v/>
      </c>
      <c r="R196" s="30" t="str">
        <f aca="false">IF($E196="","",N196+O196+P196+Q196)</f>
        <v/>
      </c>
      <c r="S196" s="30" t="str">
        <f aca="false">IF($E196="","",(N196+P196)*Precificação!$B$19)</f>
        <v/>
      </c>
      <c r="T196" s="30" t="str">
        <f aca="false">IF($E196="","",(O196+Q196)*Precificação!$B$20)</f>
        <v/>
      </c>
      <c r="U196" s="68" t="str">
        <f aca="false">IF($E196="","",IF($E196=INT($E196),0.01,IF($E196*2=INT($E196*2),0.02,0.05)))</f>
        <v/>
      </c>
      <c r="V196" s="30" t="str">
        <f aca="false">IF($E196="","",ROUND(S196/$E196/U196,0)*U196)</f>
        <v/>
      </c>
      <c r="W196" s="30" t="str">
        <f aca="false">IF($E196="","",ROUND(T196/$E196/U196,0)*U196)</f>
        <v/>
      </c>
      <c r="X196" s="14" t="str">
        <f aca="false">IF(NOT(ISNUMBER(E196)),"",IF(NOT(ISNUMBER(E197)),ROW(),X197))</f>
        <v/>
      </c>
    </row>
    <row r="197" customFormat="false" ht="15" hidden="false" customHeight="false" outlineLevel="0" collapsed="false">
      <c r="F197" s="66" t="str">
        <f aca="false">IF($E197="","",V197)</f>
        <v/>
      </c>
      <c r="G197" s="66" t="str">
        <f aca="false">IF($E197="","",ROUND(W197+IF($B197=Precificação!$B$26,$F$3/$E197,0),2))</f>
        <v/>
      </c>
      <c r="H197" s="30" t="str">
        <f aca="false">IF($E197="","",F197+G197)</f>
        <v/>
      </c>
      <c r="I197" s="30" t="str">
        <f aca="false">IF($E197="","",$E197*F197)</f>
        <v/>
      </c>
      <c r="J197" s="30" t="str">
        <f aca="false">IF($E197="","",$E197*G197)</f>
        <v/>
      </c>
      <c r="K197" s="30" t="str">
        <f aca="false">IF($E197="","",I197+J197)</f>
        <v/>
      </c>
      <c r="L197" s="53" t="str">
        <f aca="false">IF($E197="","",IF(R197=0,"SEM CUSTO — falta linha de custo","OK"))</f>
        <v/>
      </c>
      <c r="M197" s="67" t="str">
        <f aca="false">IF(AND(ISNUMBER(E197),NOT(ISNUMBER(E196))),"F"&amp;ROW()&amp;":G"&amp;X197,"")</f>
        <v/>
      </c>
      <c r="N197" s="30" t="str">
        <f aca="false">IF($E197="","",SUMIFS('Rateio Anexo'!$K$6:$K$600,'Rateio Anexo'!$D$6:$D$600,$B197,'Rateio Anexo'!$B$6:$B$600,"MAT"))</f>
        <v/>
      </c>
      <c r="O197" s="30" t="str">
        <f aca="false">IF($E197="","",SUMIFS('Rateio Anexo'!$K$6:$K$600,'Rateio Anexo'!$D$6:$D$600,$B197,'Rateio Anexo'!$B$6:$B$600,"MO"))</f>
        <v/>
      </c>
      <c r="P197" s="30" t="str">
        <f aca="false">IF($E197="","",IF($N$3=0,0,N197/$N$3*$R$4))</f>
        <v/>
      </c>
      <c r="Q197" s="30" t="str">
        <f aca="false">IF($E197="","",IF($O$3=0,0,O197/$O$3*$T$4))</f>
        <v/>
      </c>
      <c r="R197" s="30" t="str">
        <f aca="false">IF($E197="","",N197+O197+P197+Q197)</f>
        <v/>
      </c>
      <c r="S197" s="30" t="str">
        <f aca="false">IF($E197="","",(N197+P197)*Precificação!$B$19)</f>
        <v/>
      </c>
      <c r="T197" s="30" t="str">
        <f aca="false">IF($E197="","",(O197+Q197)*Precificação!$B$20)</f>
        <v/>
      </c>
      <c r="U197" s="68" t="str">
        <f aca="false">IF($E197="","",IF($E197=INT($E197),0.01,IF($E197*2=INT($E197*2),0.02,0.05)))</f>
        <v/>
      </c>
      <c r="V197" s="30" t="str">
        <f aca="false">IF($E197="","",ROUND(S197/$E197/U197,0)*U197)</f>
        <v/>
      </c>
      <c r="W197" s="30" t="str">
        <f aca="false">IF($E197="","",ROUND(T197/$E197/U197,0)*U197)</f>
        <v/>
      </c>
      <c r="X197" s="14" t="str">
        <f aca="false">IF(NOT(ISNUMBER(E197)),"",IF(NOT(ISNUMBER(E198)),ROW(),X198))</f>
        <v/>
      </c>
    </row>
    <row r="198" customFormat="false" ht="15" hidden="false" customHeight="false" outlineLevel="0" collapsed="false">
      <c r="F198" s="66" t="str">
        <f aca="false">IF($E198="","",V198)</f>
        <v/>
      </c>
      <c r="G198" s="66" t="str">
        <f aca="false">IF($E198="","",ROUND(W198+IF($B198=Precificação!$B$26,$F$3/$E198,0),2))</f>
        <v/>
      </c>
      <c r="H198" s="30" t="str">
        <f aca="false">IF($E198="","",F198+G198)</f>
        <v/>
      </c>
      <c r="I198" s="30" t="str">
        <f aca="false">IF($E198="","",$E198*F198)</f>
        <v/>
      </c>
      <c r="J198" s="30" t="str">
        <f aca="false">IF($E198="","",$E198*G198)</f>
        <v/>
      </c>
      <c r="K198" s="30" t="str">
        <f aca="false">IF($E198="","",I198+J198)</f>
        <v/>
      </c>
      <c r="L198" s="53" t="str">
        <f aca="false">IF($E198="","",IF(R198=0,"SEM CUSTO — falta linha de custo","OK"))</f>
        <v/>
      </c>
      <c r="M198" s="67" t="str">
        <f aca="false">IF(AND(ISNUMBER(E198),NOT(ISNUMBER(E197))),"F"&amp;ROW()&amp;":G"&amp;X198,"")</f>
        <v/>
      </c>
      <c r="N198" s="30" t="str">
        <f aca="false">IF($E198="","",SUMIFS('Rateio Anexo'!$K$6:$K$600,'Rateio Anexo'!$D$6:$D$600,$B198,'Rateio Anexo'!$B$6:$B$600,"MAT"))</f>
        <v/>
      </c>
      <c r="O198" s="30" t="str">
        <f aca="false">IF($E198="","",SUMIFS('Rateio Anexo'!$K$6:$K$600,'Rateio Anexo'!$D$6:$D$600,$B198,'Rateio Anexo'!$B$6:$B$600,"MO"))</f>
        <v/>
      </c>
      <c r="P198" s="30" t="str">
        <f aca="false">IF($E198="","",IF($N$3=0,0,N198/$N$3*$R$4))</f>
        <v/>
      </c>
      <c r="Q198" s="30" t="str">
        <f aca="false">IF($E198="","",IF($O$3=0,0,O198/$O$3*$T$4))</f>
        <v/>
      </c>
      <c r="R198" s="30" t="str">
        <f aca="false">IF($E198="","",N198+O198+P198+Q198)</f>
        <v/>
      </c>
      <c r="S198" s="30" t="str">
        <f aca="false">IF($E198="","",(N198+P198)*Precificação!$B$19)</f>
        <v/>
      </c>
      <c r="T198" s="30" t="str">
        <f aca="false">IF($E198="","",(O198+Q198)*Precificação!$B$20)</f>
        <v/>
      </c>
      <c r="U198" s="68" t="str">
        <f aca="false">IF($E198="","",IF($E198=INT($E198),0.01,IF($E198*2=INT($E198*2),0.02,0.05)))</f>
        <v/>
      </c>
      <c r="V198" s="30" t="str">
        <f aca="false">IF($E198="","",ROUND(S198/$E198/U198,0)*U198)</f>
        <v/>
      </c>
      <c r="W198" s="30" t="str">
        <f aca="false">IF($E198="","",ROUND(T198/$E198/U198,0)*U198)</f>
        <v/>
      </c>
      <c r="X198" s="14" t="str">
        <f aca="false">IF(NOT(ISNUMBER(E198)),"",IF(NOT(ISNUMBER(E199)),ROW(),X199))</f>
        <v/>
      </c>
    </row>
    <row r="199" customFormat="false" ht="15" hidden="false" customHeight="false" outlineLevel="0" collapsed="false">
      <c r="F199" s="66" t="str">
        <f aca="false">IF($E199="","",V199)</f>
        <v/>
      </c>
      <c r="G199" s="66" t="str">
        <f aca="false">IF($E199="","",ROUND(W199+IF($B199=Precificação!$B$26,$F$3/$E199,0),2))</f>
        <v/>
      </c>
      <c r="H199" s="30" t="str">
        <f aca="false">IF($E199="","",F199+G199)</f>
        <v/>
      </c>
      <c r="I199" s="30" t="str">
        <f aca="false">IF($E199="","",$E199*F199)</f>
        <v/>
      </c>
      <c r="J199" s="30" t="str">
        <f aca="false">IF($E199="","",$E199*G199)</f>
        <v/>
      </c>
      <c r="K199" s="30" t="str">
        <f aca="false">IF($E199="","",I199+J199)</f>
        <v/>
      </c>
      <c r="L199" s="53" t="str">
        <f aca="false">IF($E199="","",IF(R199=0,"SEM CUSTO — falta linha de custo","OK"))</f>
        <v/>
      </c>
      <c r="M199" s="67" t="str">
        <f aca="false">IF(AND(ISNUMBER(E199),NOT(ISNUMBER(E198))),"F"&amp;ROW()&amp;":G"&amp;X199,"")</f>
        <v/>
      </c>
      <c r="N199" s="30" t="str">
        <f aca="false">IF($E199="","",SUMIFS('Rateio Anexo'!$K$6:$K$600,'Rateio Anexo'!$D$6:$D$600,$B199,'Rateio Anexo'!$B$6:$B$600,"MAT"))</f>
        <v/>
      </c>
      <c r="O199" s="30" t="str">
        <f aca="false">IF($E199="","",SUMIFS('Rateio Anexo'!$K$6:$K$600,'Rateio Anexo'!$D$6:$D$600,$B199,'Rateio Anexo'!$B$6:$B$600,"MO"))</f>
        <v/>
      </c>
      <c r="P199" s="30" t="str">
        <f aca="false">IF($E199="","",IF($N$3=0,0,N199/$N$3*$R$4))</f>
        <v/>
      </c>
      <c r="Q199" s="30" t="str">
        <f aca="false">IF($E199="","",IF($O$3=0,0,O199/$O$3*$T$4))</f>
        <v/>
      </c>
      <c r="R199" s="30" t="str">
        <f aca="false">IF($E199="","",N199+O199+P199+Q199)</f>
        <v/>
      </c>
      <c r="S199" s="30" t="str">
        <f aca="false">IF($E199="","",(N199+P199)*Precificação!$B$19)</f>
        <v/>
      </c>
      <c r="T199" s="30" t="str">
        <f aca="false">IF($E199="","",(O199+Q199)*Precificação!$B$20)</f>
        <v/>
      </c>
      <c r="U199" s="68" t="str">
        <f aca="false">IF($E199="","",IF($E199=INT($E199),0.01,IF($E199*2=INT($E199*2),0.02,0.05)))</f>
        <v/>
      </c>
      <c r="V199" s="30" t="str">
        <f aca="false">IF($E199="","",ROUND(S199/$E199/U199,0)*U199)</f>
        <v/>
      </c>
      <c r="W199" s="30" t="str">
        <f aca="false">IF($E199="","",ROUND(T199/$E199/U199,0)*U199)</f>
        <v/>
      </c>
      <c r="X199" s="14" t="str">
        <f aca="false">IF(NOT(ISNUMBER(E199)),"",IF(NOT(ISNUMBER(E200)),ROW(),X200))</f>
        <v/>
      </c>
    </row>
    <row r="200" customFormat="false" ht="15" hidden="false" customHeight="false" outlineLevel="0" collapsed="false">
      <c r="F200" s="66" t="str">
        <f aca="false">IF($E200="","",V200)</f>
        <v/>
      </c>
      <c r="G200" s="66" t="str">
        <f aca="false">IF($E200="","",ROUND(W200+IF($B200=Precificação!$B$26,$F$3/$E200,0),2))</f>
        <v/>
      </c>
      <c r="H200" s="30" t="str">
        <f aca="false">IF($E200="","",F200+G200)</f>
        <v/>
      </c>
      <c r="I200" s="30" t="str">
        <f aca="false">IF($E200="","",$E200*F200)</f>
        <v/>
      </c>
      <c r="J200" s="30" t="str">
        <f aca="false">IF($E200="","",$E200*G200)</f>
        <v/>
      </c>
      <c r="K200" s="30" t="str">
        <f aca="false">IF($E200="","",I200+J200)</f>
        <v/>
      </c>
      <c r="L200" s="53" t="str">
        <f aca="false">IF($E200="","",IF(R200=0,"SEM CUSTO — falta linha de custo","OK"))</f>
        <v/>
      </c>
      <c r="M200" s="67" t="str">
        <f aca="false">IF(AND(ISNUMBER(E200),NOT(ISNUMBER(E199))),"F"&amp;ROW()&amp;":G"&amp;X200,"")</f>
        <v/>
      </c>
      <c r="N200" s="30" t="str">
        <f aca="false">IF($E200="","",SUMIFS('Rateio Anexo'!$K$6:$K$600,'Rateio Anexo'!$D$6:$D$600,$B200,'Rateio Anexo'!$B$6:$B$600,"MAT"))</f>
        <v/>
      </c>
      <c r="O200" s="30" t="str">
        <f aca="false">IF($E200="","",SUMIFS('Rateio Anexo'!$K$6:$K$600,'Rateio Anexo'!$D$6:$D$600,$B200,'Rateio Anexo'!$B$6:$B$600,"MO"))</f>
        <v/>
      </c>
      <c r="P200" s="30" t="str">
        <f aca="false">IF($E200="","",IF($N$3=0,0,N200/$N$3*$R$4))</f>
        <v/>
      </c>
      <c r="Q200" s="30" t="str">
        <f aca="false">IF($E200="","",IF($O$3=0,0,O200/$O$3*$T$4))</f>
        <v/>
      </c>
      <c r="R200" s="30" t="str">
        <f aca="false">IF($E200="","",N200+O200+P200+Q200)</f>
        <v/>
      </c>
      <c r="S200" s="30" t="str">
        <f aca="false">IF($E200="","",(N200+P200)*Precificação!$B$19)</f>
        <v/>
      </c>
      <c r="T200" s="30" t="str">
        <f aca="false">IF($E200="","",(O200+Q200)*Precificação!$B$20)</f>
        <v/>
      </c>
      <c r="U200" s="68" t="str">
        <f aca="false">IF($E200="","",IF($E200=INT($E200),0.01,IF($E200*2=INT($E200*2),0.02,0.05)))</f>
        <v/>
      </c>
      <c r="V200" s="30" t="str">
        <f aca="false">IF($E200="","",ROUND(S200/$E200/U200,0)*U200)</f>
        <v/>
      </c>
      <c r="W200" s="30" t="str">
        <f aca="false">IF($E200="","",ROUND(T200/$E200/U200,0)*U200)</f>
        <v/>
      </c>
      <c r="X200" s="14" t="str">
        <f aca="false">IF(NOT(ISNUMBER(E200)),"",IF(NOT(ISNUMBER(E201)),ROW(),X201))</f>
        <v/>
      </c>
    </row>
    <row r="201" customFormat="false" ht="15" hidden="false" customHeight="false" outlineLevel="0" collapsed="false">
      <c r="F201" s="66" t="str">
        <f aca="false">IF($E201="","",V201)</f>
        <v/>
      </c>
      <c r="G201" s="66" t="str">
        <f aca="false">IF($E201="","",ROUND(W201+IF($B201=Precificação!$B$26,$F$3/$E201,0),2))</f>
        <v/>
      </c>
      <c r="H201" s="30" t="str">
        <f aca="false">IF($E201="","",F201+G201)</f>
        <v/>
      </c>
      <c r="I201" s="30" t="str">
        <f aca="false">IF($E201="","",$E201*F201)</f>
        <v/>
      </c>
      <c r="J201" s="30" t="str">
        <f aca="false">IF($E201="","",$E201*G201)</f>
        <v/>
      </c>
      <c r="K201" s="30" t="str">
        <f aca="false">IF($E201="","",I201+J201)</f>
        <v/>
      </c>
      <c r="L201" s="53" t="str">
        <f aca="false">IF($E201="","",IF(R201=0,"SEM CUSTO — falta linha de custo","OK"))</f>
        <v/>
      </c>
      <c r="M201" s="67" t="str">
        <f aca="false">IF(AND(ISNUMBER(E201),NOT(ISNUMBER(E200))),"F"&amp;ROW()&amp;":G"&amp;X201,"")</f>
        <v/>
      </c>
      <c r="N201" s="30" t="str">
        <f aca="false">IF($E201="","",SUMIFS('Rateio Anexo'!$K$6:$K$600,'Rateio Anexo'!$D$6:$D$600,$B201,'Rateio Anexo'!$B$6:$B$600,"MAT"))</f>
        <v/>
      </c>
      <c r="O201" s="30" t="str">
        <f aca="false">IF($E201="","",SUMIFS('Rateio Anexo'!$K$6:$K$600,'Rateio Anexo'!$D$6:$D$600,$B201,'Rateio Anexo'!$B$6:$B$600,"MO"))</f>
        <v/>
      </c>
      <c r="P201" s="30" t="str">
        <f aca="false">IF($E201="","",IF($N$3=0,0,N201/$N$3*$R$4))</f>
        <v/>
      </c>
      <c r="Q201" s="30" t="str">
        <f aca="false">IF($E201="","",IF($O$3=0,0,O201/$O$3*$T$4))</f>
        <v/>
      </c>
      <c r="R201" s="30" t="str">
        <f aca="false">IF($E201="","",N201+O201+P201+Q201)</f>
        <v/>
      </c>
      <c r="S201" s="30" t="str">
        <f aca="false">IF($E201="","",(N201+P201)*Precificação!$B$19)</f>
        <v/>
      </c>
      <c r="T201" s="30" t="str">
        <f aca="false">IF($E201="","",(O201+Q201)*Precificação!$B$20)</f>
        <v/>
      </c>
      <c r="U201" s="68" t="str">
        <f aca="false">IF($E201="","",IF($E201=INT($E201),0.01,IF($E201*2=INT($E201*2),0.02,0.05)))</f>
        <v/>
      </c>
      <c r="V201" s="30" t="str">
        <f aca="false">IF($E201="","",ROUND(S201/$E201/U201,0)*U201)</f>
        <v/>
      </c>
      <c r="W201" s="30" t="str">
        <f aca="false">IF($E201="","",ROUND(T201/$E201/U201,0)*U201)</f>
        <v/>
      </c>
      <c r="X201" s="14" t="str">
        <f aca="false">IF(NOT(ISNUMBER(E201)),"",IF(NOT(ISNUMBER(E202)),ROW(),X202))</f>
        <v/>
      </c>
    </row>
    <row r="202" customFormat="false" ht="15" hidden="false" customHeight="false" outlineLevel="0" collapsed="false">
      <c r="F202" s="66" t="str">
        <f aca="false">IF($E202="","",V202)</f>
        <v/>
      </c>
      <c r="G202" s="66" t="str">
        <f aca="false">IF($E202="","",ROUND(W202+IF($B202=Precificação!$B$26,$F$3/$E202,0),2))</f>
        <v/>
      </c>
      <c r="H202" s="30" t="str">
        <f aca="false">IF($E202="","",F202+G202)</f>
        <v/>
      </c>
      <c r="I202" s="30" t="str">
        <f aca="false">IF($E202="","",$E202*F202)</f>
        <v/>
      </c>
      <c r="J202" s="30" t="str">
        <f aca="false">IF($E202="","",$E202*G202)</f>
        <v/>
      </c>
      <c r="K202" s="30" t="str">
        <f aca="false">IF($E202="","",I202+J202)</f>
        <v/>
      </c>
      <c r="L202" s="53" t="str">
        <f aca="false">IF($E202="","",IF(R202=0,"SEM CUSTO — falta linha de custo","OK"))</f>
        <v/>
      </c>
      <c r="M202" s="67" t="str">
        <f aca="false">IF(AND(ISNUMBER(E202),NOT(ISNUMBER(E201))),"F"&amp;ROW()&amp;":G"&amp;X202,"")</f>
        <v/>
      </c>
      <c r="N202" s="30" t="str">
        <f aca="false">IF($E202="","",SUMIFS('Rateio Anexo'!$K$6:$K$600,'Rateio Anexo'!$D$6:$D$600,$B202,'Rateio Anexo'!$B$6:$B$600,"MAT"))</f>
        <v/>
      </c>
      <c r="O202" s="30" t="str">
        <f aca="false">IF($E202="","",SUMIFS('Rateio Anexo'!$K$6:$K$600,'Rateio Anexo'!$D$6:$D$600,$B202,'Rateio Anexo'!$B$6:$B$600,"MO"))</f>
        <v/>
      </c>
      <c r="P202" s="30" t="str">
        <f aca="false">IF($E202="","",IF($N$3=0,0,N202/$N$3*$R$4))</f>
        <v/>
      </c>
      <c r="Q202" s="30" t="str">
        <f aca="false">IF($E202="","",IF($O$3=0,0,O202/$O$3*$T$4))</f>
        <v/>
      </c>
      <c r="R202" s="30" t="str">
        <f aca="false">IF($E202="","",N202+O202+P202+Q202)</f>
        <v/>
      </c>
      <c r="S202" s="30" t="str">
        <f aca="false">IF($E202="","",(N202+P202)*Precificação!$B$19)</f>
        <v/>
      </c>
      <c r="T202" s="30" t="str">
        <f aca="false">IF($E202="","",(O202+Q202)*Precificação!$B$20)</f>
        <v/>
      </c>
      <c r="U202" s="68" t="str">
        <f aca="false">IF($E202="","",IF($E202=INT($E202),0.01,IF($E202*2=INT($E202*2),0.02,0.05)))</f>
        <v/>
      </c>
      <c r="V202" s="30" t="str">
        <f aca="false">IF($E202="","",ROUND(S202/$E202/U202,0)*U202)</f>
        <v/>
      </c>
      <c r="W202" s="30" t="str">
        <f aca="false">IF($E202="","",ROUND(T202/$E202/U202,0)*U202)</f>
        <v/>
      </c>
      <c r="X202" s="14" t="str">
        <f aca="false">IF(NOT(ISNUMBER(E202)),"",IF(NOT(ISNUMBER(E203)),ROW(),X203))</f>
        <v/>
      </c>
    </row>
    <row r="203" customFormat="false" ht="15" hidden="false" customHeight="false" outlineLevel="0" collapsed="false">
      <c r="F203" s="66" t="str">
        <f aca="false">IF($E203="","",V203)</f>
        <v/>
      </c>
      <c r="G203" s="66" t="str">
        <f aca="false">IF($E203="","",ROUND(W203+IF($B203=Precificação!$B$26,$F$3/$E203,0),2))</f>
        <v/>
      </c>
      <c r="H203" s="30" t="str">
        <f aca="false">IF($E203="","",F203+G203)</f>
        <v/>
      </c>
      <c r="I203" s="30" t="str">
        <f aca="false">IF($E203="","",$E203*F203)</f>
        <v/>
      </c>
      <c r="J203" s="30" t="str">
        <f aca="false">IF($E203="","",$E203*G203)</f>
        <v/>
      </c>
      <c r="K203" s="30" t="str">
        <f aca="false">IF($E203="","",I203+J203)</f>
        <v/>
      </c>
      <c r="L203" s="53" t="str">
        <f aca="false">IF($E203="","",IF(R203=0,"SEM CUSTO — falta linha de custo","OK"))</f>
        <v/>
      </c>
      <c r="M203" s="67" t="str">
        <f aca="false">IF(AND(ISNUMBER(E203),NOT(ISNUMBER(E202))),"F"&amp;ROW()&amp;":G"&amp;X203,"")</f>
        <v/>
      </c>
      <c r="N203" s="30" t="str">
        <f aca="false">IF($E203="","",SUMIFS('Rateio Anexo'!$K$6:$K$600,'Rateio Anexo'!$D$6:$D$600,$B203,'Rateio Anexo'!$B$6:$B$600,"MAT"))</f>
        <v/>
      </c>
      <c r="O203" s="30" t="str">
        <f aca="false">IF($E203="","",SUMIFS('Rateio Anexo'!$K$6:$K$600,'Rateio Anexo'!$D$6:$D$600,$B203,'Rateio Anexo'!$B$6:$B$600,"MO"))</f>
        <v/>
      </c>
      <c r="P203" s="30" t="str">
        <f aca="false">IF($E203="","",IF($N$3=0,0,N203/$N$3*$R$4))</f>
        <v/>
      </c>
      <c r="Q203" s="30" t="str">
        <f aca="false">IF($E203="","",IF($O$3=0,0,O203/$O$3*$T$4))</f>
        <v/>
      </c>
      <c r="R203" s="30" t="str">
        <f aca="false">IF($E203="","",N203+O203+P203+Q203)</f>
        <v/>
      </c>
      <c r="S203" s="30" t="str">
        <f aca="false">IF($E203="","",(N203+P203)*Precificação!$B$19)</f>
        <v/>
      </c>
      <c r="T203" s="30" t="str">
        <f aca="false">IF($E203="","",(O203+Q203)*Precificação!$B$20)</f>
        <v/>
      </c>
      <c r="U203" s="68" t="str">
        <f aca="false">IF($E203="","",IF($E203=INT($E203),0.01,IF($E203*2=INT($E203*2),0.02,0.05)))</f>
        <v/>
      </c>
      <c r="V203" s="30" t="str">
        <f aca="false">IF($E203="","",ROUND(S203/$E203/U203,0)*U203)</f>
        <v/>
      </c>
      <c r="W203" s="30" t="str">
        <f aca="false">IF($E203="","",ROUND(T203/$E203/U203,0)*U203)</f>
        <v/>
      </c>
      <c r="X203" s="14" t="str">
        <f aca="false">IF(NOT(ISNUMBER(E203)),"",IF(NOT(ISNUMBER(E204)),ROW(),X204))</f>
        <v/>
      </c>
    </row>
    <row r="204" customFormat="false" ht="15" hidden="false" customHeight="false" outlineLevel="0" collapsed="false">
      <c r="F204" s="66" t="str">
        <f aca="false">IF($E204="","",V204)</f>
        <v/>
      </c>
      <c r="G204" s="66" t="str">
        <f aca="false">IF($E204="","",ROUND(W204+IF($B204=Precificação!$B$26,$F$3/$E204,0),2))</f>
        <v/>
      </c>
      <c r="H204" s="30" t="str">
        <f aca="false">IF($E204="","",F204+G204)</f>
        <v/>
      </c>
      <c r="I204" s="30" t="str">
        <f aca="false">IF($E204="","",$E204*F204)</f>
        <v/>
      </c>
      <c r="J204" s="30" t="str">
        <f aca="false">IF($E204="","",$E204*G204)</f>
        <v/>
      </c>
      <c r="K204" s="30" t="str">
        <f aca="false">IF($E204="","",I204+J204)</f>
        <v/>
      </c>
      <c r="L204" s="53" t="str">
        <f aca="false">IF($E204="","",IF(R204=0,"SEM CUSTO — falta linha de custo","OK"))</f>
        <v/>
      </c>
      <c r="M204" s="67" t="str">
        <f aca="false">IF(AND(ISNUMBER(E204),NOT(ISNUMBER(E203))),"F"&amp;ROW()&amp;":G"&amp;X204,"")</f>
        <v/>
      </c>
      <c r="N204" s="30" t="str">
        <f aca="false">IF($E204="","",SUMIFS('Rateio Anexo'!$K$6:$K$600,'Rateio Anexo'!$D$6:$D$600,$B204,'Rateio Anexo'!$B$6:$B$600,"MAT"))</f>
        <v/>
      </c>
      <c r="O204" s="30" t="str">
        <f aca="false">IF($E204="","",SUMIFS('Rateio Anexo'!$K$6:$K$600,'Rateio Anexo'!$D$6:$D$600,$B204,'Rateio Anexo'!$B$6:$B$600,"MO"))</f>
        <v/>
      </c>
      <c r="P204" s="30" t="str">
        <f aca="false">IF($E204="","",IF($N$3=0,0,N204/$N$3*$R$4))</f>
        <v/>
      </c>
      <c r="Q204" s="30" t="str">
        <f aca="false">IF($E204="","",IF($O$3=0,0,O204/$O$3*$T$4))</f>
        <v/>
      </c>
      <c r="R204" s="30" t="str">
        <f aca="false">IF($E204="","",N204+O204+P204+Q204)</f>
        <v/>
      </c>
      <c r="S204" s="30" t="str">
        <f aca="false">IF($E204="","",(N204+P204)*Precificação!$B$19)</f>
        <v/>
      </c>
      <c r="T204" s="30" t="str">
        <f aca="false">IF($E204="","",(O204+Q204)*Precificação!$B$20)</f>
        <v/>
      </c>
      <c r="U204" s="68" t="str">
        <f aca="false">IF($E204="","",IF($E204=INT($E204),0.01,IF($E204*2=INT($E204*2),0.02,0.05)))</f>
        <v/>
      </c>
      <c r="V204" s="30" t="str">
        <f aca="false">IF($E204="","",ROUND(S204/$E204/U204,0)*U204)</f>
        <v/>
      </c>
      <c r="W204" s="30" t="str">
        <f aca="false">IF($E204="","",ROUND(T204/$E204/U204,0)*U204)</f>
        <v/>
      </c>
      <c r="X204" s="14" t="str">
        <f aca="false">IF(NOT(ISNUMBER(E204)),"",IF(NOT(ISNUMBER(E205)),ROW(),X205))</f>
        <v/>
      </c>
    </row>
    <row r="205" customFormat="false" ht="15" hidden="false" customHeight="false" outlineLevel="0" collapsed="false">
      <c r="F205" s="66" t="str">
        <f aca="false">IF($E205="","",V205)</f>
        <v/>
      </c>
      <c r="G205" s="66" t="str">
        <f aca="false">IF($E205="","",ROUND(W205+IF($B205=Precificação!$B$26,$F$3/$E205,0),2))</f>
        <v/>
      </c>
      <c r="H205" s="30" t="str">
        <f aca="false">IF($E205="","",F205+G205)</f>
        <v/>
      </c>
      <c r="I205" s="30" t="str">
        <f aca="false">IF($E205="","",$E205*F205)</f>
        <v/>
      </c>
      <c r="J205" s="30" t="str">
        <f aca="false">IF($E205="","",$E205*G205)</f>
        <v/>
      </c>
      <c r="K205" s="30" t="str">
        <f aca="false">IF($E205="","",I205+J205)</f>
        <v/>
      </c>
      <c r="L205" s="53" t="str">
        <f aca="false">IF($E205="","",IF(R205=0,"SEM CUSTO — falta linha de custo","OK"))</f>
        <v/>
      </c>
      <c r="M205" s="67" t="str">
        <f aca="false">IF(AND(ISNUMBER(E205),NOT(ISNUMBER(E204))),"F"&amp;ROW()&amp;":G"&amp;X205,"")</f>
        <v/>
      </c>
      <c r="N205" s="30" t="str">
        <f aca="false">IF($E205="","",SUMIFS('Rateio Anexo'!$K$6:$K$600,'Rateio Anexo'!$D$6:$D$600,$B205,'Rateio Anexo'!$B$6:$B$600,"MAT"))</f>
        <v/>
      </c>
      <c r="O205" s="30" t="str">
        <f aca="false">IF($E205="","",SUMIFS('Rateio Anexo'!$K$6:$K$600,'Rateio Anexo'!$D$6:$D$600,$B205,'Rateio Anexo'!$B$6:$B$600,"MO"))</f>
        <v/>
      </c>
      <c r="P205" s="30" t="str">
        <f aca="false">IF($E205="","",IF($N$3=0,0,N205/$N$3*$R$4))</f>
        <v/>
      </c>
      <c r="Q205" s="30" t="str">
        <f aca="false">IF($E205="","",IF($O$3=0,0,O205/$O$3*$T$4))</f>
        <v/>
      </c>
      <c r="R205" s="30" t="str">
        <f aca="false">IF($E205="","",N205+O205+P205+Q205)</f>
        <v/>
      </c>
      <c r="S205" s="30" t="str">
        <f aca="false">IF($E205="","",(N205+P205)*Precificação!$B$19)</f>
        <v/>
      </c>
      <c r="T205" s="30" t="str">
        <f aca="false">IF($E205="","",(O205+Q205)*Precificação!$B$20)</f>
        <v/>
      </c>
      <c r="U205" s="68" t="str">
        <f aca="false">IF($E205="","",IF($E205=INT($E205),0.01,IF($E205*2=INT($E205*2),0.02,0.05)))</f>
        <v/>
      </c>
      <c r="V205" s="30" t="str">
        <f aca="false">IF($E205="","",ROUND(S205/$E205/U205,0)*U205)</f>
        <v/>
      </c>
      <c r="W205" s="30" t="str">
        <f aca="false">IF($E205="","",ROUND(T205/$E205/U205,0)*U205)</f>
        <v/>
      </c>
      <c r="X205" s="14" t="str">
        <f aca="false">IF(NOT(ISNUMBER(E205)),"",IF(NOT(ISNUMBER(E206)),ROW(),X206))</f>
        <v/>
      </c>
    </row>
    <row r="206" customFormat="false" ht="15" hidden="false" customHeight="false" outlineLevel="0" collapsed="false">
      <c r="F206" s="66" t="str">
        <f aca="false">IF($E206="","",V206)</f>
        <v/>
      </c>
      <c r="G206" s="66" t="str">
        <f aca="false">IF($E206="","",ROUND(W206+IF($B206=Precificação!$B$26,$F$3/$E206,0),2))</f>
        <v/>
      </c>
      <c r="H206" s="30" t="str">
        <f aca="false">IF($E206="","",F206+G206)</f>
        <v/>
      </c>
      <c r="I206" s="30" t="str">
        <f aca="false">IF($E206="","",$E206*F206)</f>
        <v/>
      </c>
      <c r="J206" s="30" t="str">
        <f aca="false">IF($E206="","",$E206*G206)</f>
        <v/>
      </c>
      <c r="K206" s="30" t="str">
        <f aca="false">IF($E206="","",I206+J206)</f>
        <v/>
      </c>
      <c r="L206" s="53" t="str">
        <f aca="false">IF($E206="","",IF(R206=0,"SEM CUSTO — falta linha de custo","OK"))</f>
        <v/>
      </c>
      <c r="M206" s="67" t="str">
        <f aca="false">IF(AND(ISNUMBER(E206),NOT(ISNUMBER(E205))),"F"&amp;ROW()&amp;":G"&amp;X206,"")</f>
        <v/>
      </c>
      <c r="N206" s="30" t="str">
        <f aca="false">IF($E206="","",SUMIFS('Rateio Anexo'!$K$6:$K$600,'Rateio Anexo'!$D$6:$D$600,$B206,'Rateio Anexo'!$B$6:$B$600,"MAT"))</f>
        <v/>
      </c>
      <c r="O206" s="30" t="str">
        <f aca="false">IF($E206="","",SUMIFS('Rateio Anexo'!$K$6:$K$600,'Rateio Anexo'!$D$6:$D$600,$B206,'Rateio Anexo'!$B$6:$B$600,"MO"))</f>
        <v/>
      </c>
      <c r="P206" s="30" t="str">
        <f aca="false">IF($E206="","",IF($N$3=0,0,N206/$N$3*$R$4))</f>
        <v/>
      </c>
      <c r="Q206" s="30" t="str">
        <f aca="false">IF($E206="","",IF($O$3=0,0,O206/$O$3*$T$4))</f>
        <v/>
      </c>
      <c r="R206" s="30" t="str">
        <f aca="false">IF($E206="","",N206+O206+P206+Q206)</f>
        <v/>
      </c>
      <c r="S206" s="30" t="str">
        <f aca="false">IF($E206="","",(N206+P206)*Precificação!$B$19)</f>
        <v/>
      </c>
      <c r="T206" s="30" t="str">
        <f aca="false">IF($E206="","",(O206+Q206)*Precificação!$B$20)</f>
        <v/>
      </c>
      <c r="U206" s="68" t="str">
        <f aca="false">IF($E206="","",IF($E206=INT($E206),0.01,IF($E206*2=INT($E206*2),0.02,0.05)))</f>
        <v/>
      </c>
      <c r="V206" s="30" t="str">
        <f aca="false">IF($E206="","",ROUND(S206/$E206/U206,0)*U206)</f>
        <v/>
      </c>
      <c r="W206" s="30" t="str">
        <f aca="false">IF($E206="","",ROUND(T206/$E206/U206,0)*U206)</f>
        <v/>
      </c>
      <c r="X206" s="14" t="str">
        <f aca="false">IF(NOT(ISNUMBER(E206)),"",IF(NOT(ISNUMBER(E207)),ROW(),X207))</f>
        <v/>
      </c>
    </row>
    <row r="207" customFormat="false" ht="15" hidden="false" customHeight="false" outlineLevel="0" collapsed="false">
      <c r="F207" s="66" t="str">
        <f aca="false">IF($E207="","",V207)</f>
        <v/>
      </c>
      <c r="G207" s="66" t="str">
        <f aca="false">IF($E207="","",ROUND(W207+IF($B207=Precificação!$B$26,$F$3/$E207,0),2))</f>
        <v/>
      </c>
      <c r="H207" s="30" t="str">
        <f aca="false">IF($E207="","",F207+G207)</f>
        <v/>
      </c>
      <c r="I207" s="30" t="str">
        <f aca="false">IF($E207="","",$E207*F207)</f>
        <v/>
      </c>
      <c r="J207" s="30" t="str">
        <f aca="false">IF($E207="","",$E207*G207)</f>
        <v/>
      </c>
      <c r="K207" s="30" t="str">
        <f aca="false">IF($E207="","",I207+J207)</f>
        <v/>
      </c>
      <c r="L207" s="53" t="str">
        <f aca="false">IF($E207="","",IF(R207=0,"SEM CUSTO — falta linha de custo","OK"))</f>
        <v/>
      </c>
      <c r="M207" s="67" t="str">
        <f aca="false">IF(AND(ISNUMBER(E207),NOT(ISNUMBER(E206))),"F"&amp;ROW()&amp;":G"&amp;X207,"")</f>
        <v/>
      </c>
      <c r="N207" s="30" t="str">
        <f aca="false">IF($E207="","",SUMIFS('Rateio Anexo'!$K$6:$K$600,'Rateio Anexo'!$D$6:$D$600,$B207,'Rateio Anexo'!$B$6:$B$600,"MAT"))</f>
        <v/>
      </c>
      <c r="O207" s="30" t="str">
        <f aca="false">IF($E207="","",SUMIFS('Rateio Anexo'!$K$6:$K$600,'Rateio Anexo'!$D$6:$D$600,$B207,'Rateio Anexo'!$B$6:$B$600,"MO"))</f>
        <v/>
      </c>
      <c r="P207" s="30" t="str">
        <f aca="false">IF($E207="","",IF($N$3=0,0,N207/$N$3*$R$4))</f>
        <v/>
      </c>
      <c r="Q207" s="30" t="str">
        <f aca="false">IF($E207="","",IF($O$3=0,0,O207/$O$3*$T$4))</f>
        <v/>
      </c>
      <c r="R207" s="30" t="str">
        <f aca="false">IF($E207="","",N207+O207+P207+Q207)</f>
        <v/>
      </c>
      <c r="S207" s="30" t="str">
        <f aca="false">IF($E207="","",(N207+P207)*Precificação!$B$19)</f>
        <v/>
      </c>
      <c r="T207" s="30" t="str">
        <f aca="false">IF($E207="","",(O207+Q207)*Precificação!$B$20)</f>
        <v/>
      </c>
      <c r="U207" s="68" t="str">
        <f aca="false">IF($E207="","",IF($E207=INT($E207),0.01,IF($E207*2=INT($E207*2),0.02,0.05)))</f>
        <v/>
      </c>
      <c r="V207" s="30" t="str">
        <f aca="false">IF($E207="","",ROUND(S207/$E207/U207,0)*U207)</f>
        <v/>
      </c>
      <c r="W207" s="30" t="str">
        <f aca="false">IF($E207="","",ROUND(T207/$E207/U207,0)*U207)</f>
        <v/>
      </c>
      <c r="X207" s="14" t="str">
        <f aca="false">IF(NOT(ISNUMBER(E207)),"",IF(NOT(ISNUMBER(E208)),ROW(),X208))</f>
        <v/>
      </c>
    </row>
    <row r="208" customFormat="false" ht="15" hidden="false" customHeight="false" outlineLevel="0" collapsed="false">
      <c r="F208" s="66" t="str">
        <f aca="false">IF($E208="","",V208)</f>
        <v/>
      </c>
      <c r="G208" s="66" t="str">
        <f aca="false">IF($E208="","",ROUND(W208+IF($B208=Precificação!$B$26,$F$3/$E208,0),2))</f>
        <v/>
      </c>
      <c r="H208" s="30" t="str">
        <f aca="false">IF($E208="","",F208+G208)</f>
        <v/>
      </c>
      <c r="I208" s="30" t="str">
        <f aca="false">IF($E208="","",$E208*F208)</f>
        <v/>
      </c>
      <c r="J208" s="30" t="str">
        <f aca="false">IF($E208="","",$E208*G208)</f>
        <v/>
      </c>
      <c r="K208" s="30" t="str">
        <f aca="false">IF($E208="","",I208+J208)</f>
        <v/>
      </c>
      <c r="L208" s="53" t="str">
        <f aca="false">IF($E208="","",IF(R208=0,"SEM CUSTO — falta linha de custo","OK"))</f>
        <v/>
      </c>
      <c r="M208" s="67" t="str">
        <f aca="false">IF(AND(ISNUMBER(E208),NOT(ISNUMBER(E207))),"F"&amp;ROW()&amp;":G"&amp;X208,"")</f>
        <v/>
      </c>
      <c r="N208" s="30" t="str">
        <f aca="false">IF($E208="","",SUMIFS('Rateio Anexo'!$K$6:$K$600,'Rateio Anexo'!$D$6:$D$600,$B208,'Rateio Anexo'!$B$6:$B$600,"MAT"))</f>
        <v/>
      </c>
      <c r="O208" s="30" t="str">
        <f aca="false">IF($E208="","",SUMIFS('Rateio Anexo'!$K$6:$K$600,'Rateio Anexo'!$D$6:$D$600,$B208,'Rateio Anexo'!$B$6:$B$600,"MO"))</f>
        <v/>
      </c>
      <c r="P208" s="30" t="str">
        <f aca="false">IF($E208="","",IF($N$3=0,0,N208/$N$3*$R$4))</f>
        <v/>
      </c>
      <c r="Q208" s="30" t="str">
        <f aca="false">IF($E208="","",IF($O$3=0,0,O208/$O$3*$T$4))</f>
        <v/>
      </c>
      <c r="R208" s="30" t="str">
        <f aca="false">IF($E208="","",N208+O208+P208+Q208)</f>
        <v/>
      </c>
      <c r="S208" s="30" t="str">
        <f aca="false">IF($E208="","",(N208+P208)*Precificação!$B$19)</f>
        <v/>
      </c>
      <c r="T208" s="30" t="str">
        <f aca="false">IF($E208="","",(O208+Q208)*Precificação!$B$20)</f>
        <v/>
      </c>
      <c r="U208" s="68" t="str">
        <f aca="false">IF($E208="","",IF($E208=INT($E208),0.01,IF($E208*2=INT($E208*2),0.02,0.05)))</f>
        <v/>
      </c>
      <c r="V208" s="30" t="str">
        <f aca="false">IF($E208="","",ROUND(S208/$E208/U208,0)*U208)</f>
        <v/>
      </c>
      <c r="W208" s="30" t="str">
        <f aca="false">IF($E208="","",ROUND(T208/$E208/U208,0)*U208)</f>
        <v/>
      </c>
      <c r="X208" s="14" t="str">
        <f aca="false">IF(NOT(ISNUMBER(E208)),"",IF(NOT(ISNUMBER(E209)),ROW(),X209))</f>
        <v/>
      </c>
    </row>
    <row r="209" customFormat="false" ht="15" hidden="false" customHeight="false" outlineLevel="0" collapsed="false">
      <c r="F209" s="66" t="str">
        <f aca="false">IF($E209="","",V209)</f>
        <v/>
      </c>
      <c r="G209" s="66" t="str">
        <f aca="false">IF($E209="","",ROUND(W209+IF($B209=Precificação!$B$26,$F$3/$E209,0),2))</f>
        <v/>
      </c>
      <c r="H209" s="30" t="str">
        <f aca="false">IF($E209="","",F209+G209)</f>
        <v/>
      </c>
      <c r="I209" s="30" t="str">
        <f aca="false">IF($E209="","",$E209*F209)</f>
        <v/>
      </c>
      <c r="J209" s="30" t="str">
        <f aca="false">IF($E209="","",$E209*G209)</f>
        <v/>
      </c>
      <c r="K209" s="30" t="str">
        <f aca="false">IF($E209="","",I209+J209)</f>
        <v/>
      </c>
      <c r="L209" s="53" t="str">
        <f aca="false">IF($E209="","",IF(R209=0,"SEM CUSTO — falta linha de custo","OK"))</f>
        <v/>
      </c>
      <c r="M209" s="67" t="str">
        <f aca="false">IF(AND(ISNUMBER(E209),NOT(ISNUMBER(E208))),"F"&amp;ROW()&amp;":G"&amp;X209,"")</f>
        <v/>
      </c>
      <c r="N209" s="30" t="str">
        <f aca="false">IF($E209="","",SUMIFS('Rateio Anexo'!$K$6:$K$600,'Rateio Anexo'!$D$6:$D$600,$B209,'Rateio Anexo'!$B$6:$B$600,"MAT"))</f>
        <v/>
      </c>
      <c r="O209" s="30" t="str">
        <f aca="false">IF($E209="","",SUMIFS('Rateio Anexo'!$K$6:$K$600,'Rateio Anexo'!$D$6:$D$600,$B209,'Rateio Anexo'!$B$6:$B$600,"MO"))</f>
        <v/>
      </c>
      <c r="P209" s="30" t="str">
        <f aca="false">IF($E209="","",IF($N$3=0,0,N209/$N$3*$R$4))</f>
        <v/>
      </c>
      <c r="Q209" s="30" t="str">
        <f aca="false">IF($E209="","",IF($O$3=0,0,O209/$O$3*$T$4))</f>
        <v/>
      </c>
      <c r="R209" s="30" t="str">
        <f aca="false">IF($E209="","",N209+O209+P209+Q209)</f>
        <v/>
      </c>
      <c r="S209" s="30" t="str">
        <f aca="false">IF($E209="","",(N209+P209)*Precificação!$B$19)</f>
        <v/>
      </c>
      <c r="T209" s="30" t="str">
        <f aca="false">IF($E209="","",(O209+Q209)*Precificação!$B$20)</f>
        <v/>
      </c>
      <c r="U209" s="68" t="str">
        <f aca="false">IF($E209="","",IF($E209=INT($E209),0.01,IF($E209*2=INT($E209*2),0.02,0.05)))</f>
        <v/>
      </c>
      <c r="V209" s="30" t="str">
        <f aca="false">IF($E209="","",ROUND(S209/$E209/U209,0)*U209)</f>
        <v/>
      </c>
      <c r="W209" s="30" t="str">
        <f aca="false">IF($E209="","",ROUND(T209/$E209/U209,0)*U209)</f>
        <v/>
      </c>
      <c r="X209" s="14" t="str">
        <f aca="false">IF(NOT(ISNUMBER(E209)),"",IF(NOT(ISNUMBER(E210)),ROW(),X210))</f>
        <v/>
      </c>
    </row>
    <row r="210" customFormat="false" ht="15" hidden="false" customHeight="false" outlineLevel="0" collapsed="false">
      <c r="F210" s="66" t="str">
        <f aca="false">IF($E210="","",V210)</f>
        <v/>
      </c>
      <c r="G210" s="66" t="str">
        <f aca="false">IF($E210="","",ROUND(W210+IF($B210=Precificação!$B$26,$F$3/$E210,0),2))</f>
        <v/>
      </c>
      <c r="H210" s="30" t="str">
        <f aca="false">IF($E210="","",F210+G210)</f>
        <v/>
      </c>
      <c r="I210" s="30" t="str">
        <f aca="false">IF($E210="","",$E210*F210)</f>
        <v/>
      </c>
      <c r="J210" s="30" t="str">
        <f aca="false">IF($E210="","",$E210*G210)</f>
        <v/>
      </c>
      <c r="K210" s="30" t="str">
        <f aca="false">IF($E210="","",I210+J210)</f>
        <v/>
      </c>
      <c r="L210" s="53" t="str">
        <f aca="false">IF($E210="","",IF(R210=0,"SEM CUSTO — falta linha de custo","OK"))</f>
        <v/>
      </c>
      <c r="M210" s="67" t="str">
        <f aca="false">IF(AND(ISNUMBER(E210),NOT(ISNUMBER(E209))),"F"&amp;ROW()&amp;":G"&amp;X210,"")</f>
        <v/>
      </c>
      <c r="N210" s="30" t="str">
        <f aca="false">IF($E210="","",SUMIFS('Rateio Anexo'!$K$6:$K$600,'Rateio Anexo'!$D$6:$D$600,$B210,'Rateio Anexo'!$B$6:$B$600,"MAT"))</f>
        <v/>
      </c>
      <c r="O210" s="30" t="str">
        <f aca="false">IF($E210="","",SUMIFS('Rateio Anexo'!$K$6:$K$600,'Rateio Anexo'!$D$6:$D$600,$B210,'Rateio Anexo'!$B$6:$B$600,"MO"))</f>
        <v/>
      </c>
      <c r="P210" s="30" t="str">
        <f aca="false">IF($E210="","",IF($N$3=0,0,N210/$N$3*$R$4))</f>
        <v/>
      </c>
      <c r="Q210" s="30" t="str">
        <f aca="false">IF($E210="","",IF($O$3=0,0,O210/$O$3*$T$4))</f>
        <v/>
      </c>
      <c r="R210" s="30" t="str">
        <f aca="false">IF($E210="","",N210+O210+P210+Q210)</f>
        <v/>
      </c>
      <c r="S210" s="30" t="str">
        <f aca="false">IF($E210="","",(N210+P210)*Precificação!$B$19)</f>
        <v/>
      </c>
      <c r="T210" s="30" t="str">
        <f aca="false">IF($E210="","",(O210+Q210)*Precificação!$B$20)</f>
        <v/>
      </c>
      <c r="U210" s="68" t="str">
        <f aca="false">IF($E210="","",IF($E210=INT($E210),0.01,IF($E210*2=INT($E210*2),0.02,0.05)))</f>
        <v/>
      </c>
      <c r="V210" s="30" t="str">
        <f aca="false">IF($E210="","",ROUND(S210/$E210/U210,0)*U210)</f>
        <v/>
      </c>
      <c r="W210" s="30" t="str">
        <f aca="false">IF($E210="","",ROUND(T210/$E210/U210,0)*U210)</f>
        <v/>
      </c>
      <c r="X210" s="14" t="str">
        <f aca="false">IF(NOT(ISNUMBER(E210)),"",IF(NOT(ISNUMBER(E211)),ROW(),X211))</f>
        <v/>
      </c>
    </row>
    <row r="211" customFormat="false" ht="15" hidden="false" customHeight="false" outlineLevel="0" collapsed="false">
      <c r="F211" s="66" t="str">
        <f aca="false">IF($E211="","",V211)</f>
        <v/>
      </c>
      <c r="G211" s="66" t="str">
        <f aca="false">IF($E211="","",ROUND(W211+IF($B211=Precificação!$B$26,$F$3/$E211,0),2))</f>
        <v/>
      </c>
      <c r="H211" s="30" t="str">
        <f aca="false">IF($E211="","",F211+G211)</f>
        <v/>
      </c>
      <c r="I211" s="30" t="str">
        <f aca="false">IF($E211="","",$E211*F211)</f>
        <v/>
      </c>
      <c r="J211" s="30" t="str">
        <f aca="false">IF($E211="","",$E211*G211)</f>
        <v/>
      </c>
      <c r="K211" s="30" t="str">
        <f aca="false">IF($E211="","",I211+J211)</f>
        <v/>
      </c>
      <c r="L211" s="53" t="str">
        <f aca="false">IF($E211="","",IF(R211=0,"SEM CUSTO — falta linha de custo","OK"))</f>
        <v/>
      </c>
      <c r="M211" s="67" t="str">
        <f aca="false">IF(AND(ISNUMBER(E211),NOT(ISNUMBER(E210))),"F"&amp;ROW()&amp;":G"&amp;X211,"")</f>
        <v/>
      </c>
      <c r="N211" s="30" t="str">
        <f aca="false">IF($E211="","",SUMIFS('Rateio Anexo'!$K$6:$K$600,'Rateio Anexo'!$D$6:$D$600,$B211,'Rateio Anexo'!$B$6:$B$600,"MAT"))</f>
        <v/>
      </c>
      <c r="O211" s="30" t="str">
        <f aca="false">IF($E211="","",SUMIFS('Rateio Anexo'!$K$6:$K$600,'Rateio Anexo'!$D$6:$D$600,$B211,'Rateio Anexo'!$B$6:$B$600,"MO"))</f>
        <v/>
      </c>
      <c r="P211" s="30" t="str">
        <f aca="false">IF($E211="","",IF($N$3=0,0,N211/$N$3*$R$4))</f>
        <v/>
      </c>
      <c r="Q211" s="30" t="str">
        <f aca="false">IF($E211="","",IF($O$3=0,0,O211/$O$3*$T$4))</f>
        <v/>
      </c>
      <c r="R211" s="30" t="str">
        <f aca="false">IF($E211="","",N211+O211+P211+Q211)</f>
        <v/>
      </c>
      <c r="S211" s="30" t="str">
        <f aca="false">IF($E211="","",(N211+P211)*Precificação!$B$19)</f>
        <v/>
      </c>
      <c r="T211" s="30" t="str">
        <f aca="false">IF($E211="","",(O211+Q211)*Precificação!$B$20)</f>
        <v/>
      </c>
      <c r="U211" s="68" t="str">
        <f aca="false">IF($E211="","",IF($E211=INT($E211),0.01,IF($E211*2=INT($E211*2),0.02,0.05)))</f>
        <v/>
      </c>
      <c r="V211" s="30" t="str">
        <f aca="false">IF($E211="","",ROUND(S211/$E211/U211,0)*U211)</f>
        <v/>
      </c>
      <c r="W211" s="30" t="str">
        <f aca="false">IF($E211="","",ROUND(T211/$E211/U211,0)*U211)</f>
        <v/>
      </c>
      <c r="X211" s="14" t="str">
        <f aca="false">IF(NOT(ISNUMBER(E211)),"",IF(NOT(ISNUMBER(E212)),ROW(),X212))</f>
        <v/>
      </c>
    </row>
    <row r="212" customFormat="false" ht="15" hidden="false" customHeight="false" outlineLevel="0" collapsed="false">
      <c r="F212" s="66" t="str">
        <f aca="false">IF($E212="","",V212)</f>
        <v/>
      </c>
      <c r="G212" s="66" t="str">
        <f aca="false">IF($E212="","",ROUND(W212+IF($B212=Precificação!$B$26,$F$3/$E212,0),2))</f>
        <v/>
      </c>
      <c r="H212" s="30" t="str">
        <f aca="false">IF($E212="","",F212+G212)</f>
        <v/>
      </c>
      <c r="I212" s="30" t="str">
        <f aca="false">IF($E212="","",$E212*F212)</f>
        <v/>
      </c>
      <c r="J212" s="30" t="str">
        <f aca="false">IF($E212="","",$E212*G212)</f>
        <v/>
      </c>
      <c r="K212" s="30" t="str">
        <f aca="false">IF($E212="","",I212+J212)</f>
        <v/>
      </c>
      <c r="L212" s="53" t="str">
        <f aca="false">IF($E212="","",IF(R212=0,"SEM CUSTO — falta linha de custo","OK"))</f>
        <v/>
      </c>
      <c r="M212" s="67" t="str">
        <f aca="false">IF(AND(ISNUMBER(E212),NOT(ISNUMBER(E211))),"F"&amp;ROW()&amp;":G"&amp;X212,"")</f>
        <v/>
      </c>
      <c r="N212" s="30" t="str">
        <f aca="false">IF($E212="","",SUMIFS('Rateio Anexo'!$K$6:$K$600,'Rateio Anexo'!$D$6:$D$600,$B212,'Rateio Anexo'!$B$6:$B$600,"MAT"))</f>
        <v/>
      </c>
      <c r="O212" s="30" t="str">
        <f aca="false">IF($E212="","",SUMIFS('Rateio Anexo'!$K$6:$K$600,'Rateio Anexo'!$D$6:$D$600,$B212,'Rateio Anexo'!$B$6:$B$600,"MO"))</f>
        <v/>
      </c>
      <c r="P212" s="30" t="str">
        <f aca="false">IF($E212="","",IF($N$3=0,0,N212/$N$3*$R$4))</f>
        <v/>
      </c>
      <c r="Q212" s="30" t="str">
        <f aca="false">IF($E212="","",IF($O$3=0,0,O212/$O$3*$T$4))</f>
        <v/>
      </c>
      <c r="R212" s="30" t="str">
        <f aca="false">IF($E212="","",N212+O212+P212+Q212)</f>
        <v/>
      </c>
      <c r="S212" s="30" t="str">
        <f aca="false">IF($E212="","",(N212+P212)*Precificação!$B$19)</f>
        <v/>
      </c>
      <c r="T212" s="30" t="str">
        <f aca="false">IF($E212="","",(O212+Q212)*Precificação!$B$20)</f>
        <v/>
      </c>
      <c r="U212" s="68" t="str">
        <f aca="false">IF($E212="","",IF($E212=INT($E212),0.01,IF($E212*2=INT($E212*2),0.02,0.05)))</f>
        <v/>
      </c>
      <c r="V212" s="30" t="str">
        <f aca="false">IF($E212="","",ROUND(S212/$E212/U212,0)*U212)</f>
        <v/>
      </c>
      <c r="W212" s="30" t="str">
        <f aca="false">IF($E212="","",ROUND(T212/$E212/U212,0)*U212)</f>
        <v/>
      </c>
      <c r="X212" s="14" t="str">
        <f aca="false">IF(NOT(ISNUMBER(E212)),"",IF(NOT(ISNUMBER(E213)),ROW(),X213))</f>
        <v/>
      </c>
    </row>
    <row r="213" customFormat="false" ht="15" hidden="false" customHeight="false" outlineLevel="0" collapsed="false">
      <c r="F213" s="66" t="str">
        <f aca="false">IF($E213="","",V213)</f>
        <v/>
      </c>
      <c r="G213" s="66" t="str">
        <f aca="false">IF($E213="","",ROUND(W213+IF($B213=Precificação!$B$26,$F$3/$E213,0),2))</f>
        <v/>
      </c>
      <c r="H213" s="30" t="str">
        <f aca="false">IF($E213="","",F213+G213)</f>
        <v/>
      </c>
      <c r="I213" s="30" t="str">
        <f aca="false">IF($E213="","",$E213*F213)</f>
        <v/>
      </c>
      <c r="J213" s="30" t="str">
        <f aca="false">IF($E213="","",$E213*G213)</f>
        <v/>
      </c>
      <c r="K213" s="30" t="str">
        <f aca="false">IF($E213="","",I213+J213)</f>
        <v/>
      </c>
      <c r="L213" s="53" t="str">
        <f aca="false">IF($E213="","",IF(R213=0,"SEM CUSTO — falta linha de custo","OK"))</f>
        <v/>
      </c>
      <c r="M213" s="67" t="str">
        <f aca="false">IF(AND(ISNUMBER(E213),NOT(ISNUMBER(E212))),"F"&amp;ROW()&amp;":G"&amp;X213,"")</f>
        <v/>
      </c>
      <c r="N213" s="30" t="str">
        <f aca="false">IF($E213="","",SUMIFS('Rateio Anexo'!$K$6:$K$600,'Rateio Anexo'!$D$6:$D$600,$B213,'Rateio Anexo'!$B$6:$B$600,"MAT"))</f>
        <v/>
      </c>
      <c r="O213" s="30" t="str">
        <f aca="false">IF($E213="","",SUMIFS('Rateio Anexo'!$K$6:$K$600,'Rateio Anexo'!$D$6:$D$600,$B213,'Rateio Anexo'!$B$6:$B$600,"MO"))</f>
        <v/>
      </c>
      <c r="P213" s="30" t="str">
        <f aca="false">IF($E213="","",IF($N$3=0,0,N213/$N$3*$R$4))</f>
        <v/>
      </c>
      <c r="Q213" s="30" t="str">
        <f aca="false">IF($E213="","",IF($O$3=0,0,O213/$O$3*$T$4))</f>
        <v/>
      </c>
      <c r="R213" s="30" t="str">
        <f aca="false">IF($E213="","",N213+O213+P213+Q213)</f>
        <v/>
      </c>
      <c r="S213" s="30" t="str">
        <f aca="false">IF($E213="","",(N213+P213)*Precificação!$B$19)</f>
        <v/>
      </c>
      <c r="T213" s="30" t="str">
        <f aca="false">IF($E213="","",(O213+Q213)*Precificação!$B$20)</f>
        <v/>
      </c>
      <c r="U213" s="68" t="str">
        <f aca="false">IF($E213="","",IF($E213=INT($E213),0.01,IF($E213*2=INT($E213*2),0.02,0.05)))</f>
        <v/>
      </c>
      <c r="V213" s="30" t="str">
        <f aca="false">IF($E213="","",ROUND(S213/$E213/U213,0)*U213)</f>
        <v/>
      </c>
      <c r="W213" s="30" t="str">
        <f aca="false">IF($E213="","",ROUND(T213/$E213/U213,0)*U213)</f>
        <v/>
      </c>
      <c r="X213" s="14" t="str">
        <f aca="false">IF(NOT(ISNUMBER(E213)),"",IF(NOT(ISNUMBER(E214)),ROW(),X214))</f>
        <v/>
      </c>
    </row>
    <row r="214" customFormat="false" ht="15" hidden="false" customHeight="false" outlineLevel="0" collapsed="false">
      <c r="F214" s="66" t="str">
        <f aca="false">IF($E214="","",V214)</f>
        <v/>
      </c>
      <c r="G214" s="66" t="str">
        <f aca="false">IF($E214="","",ROUND(W214+IF($B214=Precificação!$B$26,$F$3/$E214,0),2))</f>
        <v/>
      </c>
      <c r="H214" s="30" t="str">
        <f aca="false">IF($E214="","",F214+G214)</f>
        <v/>
      </c>
      <c r="I214" s="30" t="str">
        <f aca="false">IF($E214="","",$E214*F214)</f>
        <v/>
      </c>
      <c r="J214" s="30" t="str">
        <f aca="false">IF($E214="","",$E214*G214)</f>
        <v/>
      </c>
      <c r="K214" s="30" t="str">
        <f aca="false">IF($E214="","",I214+J214)</f>
        <v/>
      </c>
      <c r="L214" s="53" t="str">
        <f aca="false">IF($E214="","",IF(R214=0,"SEM CUSTO — falta linha de custo","OK"))</f>
        <v/>
      </c>
      <c r="M214" s="67" t="str">
        <f aca="false">IF(AND(ISNUMBER(E214),NOT(ISNUMBER(E213))),"F"&amp;ROW()&amp;":G"&amp;X214,"")</f>
        <v/>
      </c>
      <c r="N214" s="30" t="str">
        <f aca="false">IF($E214="","",SUMIFS('Rateio Anexo'!$K$6:$K$600,'Rateio Anexo'!$D$6:$D$600,$B214,'Rateio Anexo'!$B$6:$B$600,"MAT"))</f>
        <v/>
      </c>
      <c r="O214" s="30" t="str">
        <f aca="false">IF($E214="","",SUMIFS('Rateio Anexo'!$K$6:$K$600,'Rateio Anexo'!$D$6:$D$600,$B214,'Rateio Anexo'!$B$6:$B$600,"MO"))</f>
        <v/>
      </c>
      <c r="P214" s="30" t="str">
        <f aca="false">IF($E214="","",IF($N$3=0,0,N214/$N$3*$R$4))</f>
        <v/>
      </c>
      <c r="Q214" s="30" t="str">
        <f aca="false">IF($E214="","",IF($O$3=0,0,O214/$O$3*$T$4))</f>
        <v/>
      </c>
      <c r="R214" s="30" t="str">
        <f aca="false">IF($E214="","",N214+O214+P214+Q214)</f>
        <v/>
      </c>
      <c r="S214" s="30" t="str">
        <f aca="false">IF($E214="","",(N214+P214)*Precificação!$B$19)</f>
        <v/>
      </c>
      <c r="T214" s="30" t="str">
        <f aca="false">IF($E214="","",(O214+Q214)*Precificação!$B$20)</f>
        <v/>
      </c>
      <c r="U214" s="68" t="str">
        <f aca="false">IF($E214="","",IF($E214=INT($E214),0.01,IF($E214*2=INT($E214*2),0.02,0.05)))</f>
        <v/>
      </c>
      <c r="V214" s="30" t="str">
        <f aca="false">IF($E214="","",ROUND(S214/$E214/U214,0)*U214)</f>
        <v/>
      </c>
      <c r="W214" s="30" t="str">
        <f aca="false">IF($E214="","",ROUND(T214/$E214/U214,0)*U214)</f>
        <v/>
      </c>
      <c r="X214" s="14" t="str">
        <f aca="false">IF(NOT(ISNUMBER(E214)),"",IF(NOT(ISNUMBER(E215)),ROW(),X215))</f>
        <v/>
      </c>
    </row>
    <row r="215" customFormat="false" ht="15" hidden="false" customHeight="false" outlineLevel="0" collapsed="false">
      <c r="F215" s="66" t="str">
        <f aca="false">IF($E215="","",V215)</f>
        <v/>
      </c>
      <c r="G215" s="66" t="str">
        <f aca="false">IF($E215="","",ROUND(W215+IF($B215=Precificação!$B$26,$F$3/$E215,0),2))</f>
        <v/>
      </c>
      <c r="H215" s="30" t="str">
        <f aca="false">IF($E215="","",F215+G215)</f>
        <v/>
      </c>
      <c r="I215" s="30" t="str">
        <f aca="false">IF($E215="","",$E215*F215)</f>
        <v/>
      </c>
      <c r="J215" s="30" t="str">
        <f aca="false">IF($E215="","",$E215*G215)</f>
        <v/>
      </c>
      <c r="K215" s="30" t="str">
        <f aca="false">IF($E215="","",I215+J215)</f>
        <v/>
      </c>
      <c r="L215" s="53" t="str">
        <f aca="false">IF($E215="","",IF(R215=0,"SEM CUSTO — falta linha de custo","OK"))</f>
        <v/>
      </c>
      <c r="M215" s="67" t="str">
        <f aca="false">IF(AND(ISNUMBER(E215),NOT(ISNUMBER(E214))),"F"&amp;ROW()&amp;":G"&amp;X215,"")</f>
        <v/>
      </c>
      <c r="N215" s="30" t="str">
        <f aca="false">IF($E215="","",SUMIFS('Rateio Anexo'!$K$6:$K$600,'Rateio Anexo'!$D$6:$D$600,$B215,'Rateio Anexo'!$B$6:$B$600,"MAT"))</f>
        <v/>
      </c>
      <c r="O215" s="30" t="str">
        <f aca="false">IF($E215="","",SUMIFS('Rateio Anexo'!$K$6:$K$600,'Rateio Anexo'!$D$6:$D$600,$B215,'Rateio Anexo'!$B$6:$B$600,"MO"))</f>
        <v/>
      </c>
      <c r="P215" s="30" t="str">
        <f aca="false">IF($E215="","",IF($N$3=0,0,N215/$N$3*$R$4))</f>
        <v/>
      </c>
      <c r="Q215" s="30" t="str">
        <f aca="false">IF($E215="","",IF($O$3=0,0,O215/$O$3*$T$4))</f>
        <v/>
      </c>
      <c r="R215" s="30" t="str">
        <f aca="false">IF($E215="","",N215+O215+P215+Q215)</f>
        <v/>
      </c>
      <c r="S215" s="30" t="str">
        <f aca="false">IF($E215="","",(N215+P215)*Precificação!$B$19)</f>
        <v/>
      </c>
      <c r="T215" s="30" t="str">
        <f aca="false">IF($E215="","",(O215+Q215)*Precificação!$B$20)</f>
        <v/>
      </c>
      <c r="U215" s="68" t="str">
        <f aca="false">IF($E215="","",IF($E215=INT($E215),0.01,IF($E215*2=INT($E215*2),0.02,0.05)))</f>
        <v/>
      </c>
      <c r="V215" s="30" t="str">
        <f aca="false">IF($E215="","",ROUND(S215/$E215/U215,0)*U215)</f>
        <v/>
      </c>
      <c r="W215" s="30" t="str">
        <f aca="false">IF($E215="","",ROUND(T215/$E215/U215,0)*U215)</f>
        <v/>
      </c>
      <c r="X215" s="14" t="str">
        <f aca="false">IF(NOT(ISNUMBER(E215)),"",IF(NOT(ISNUMBER(E216)),ROW(),X216))</f>
        <v/>
      </c>
    </row>
    <row r="216" customFormat="false" ht="15" hidden="false" customHeight="false" outlineLevel="0" collapsed="false">
      <c r="F216" s="66" t="str">
        <f aca="false">IF($E216="","",V216)</f>
        <v/>
      </c>
      <c r="G216" s="66" t="str">
        <f aca="false">IF($E216="","",ROUND(W216+IF($B216=Precificação!$B$26,$F$3/$E216,0),2))</f>
        <v/>
      </c>
      <c r="H216" s="30" t="str">
        <f aca="false">IF($E216="","",F216+G216)</f>
        <v/>
      </c>
      <c r="I216" s="30" t="str">
        <f aca="false">IF($E216="","",$E216*F216)</f>
        <v/>
      </c>
      <c r="J216" s="30" t="str">
        <f aca="false">IF($E216="","",$E216*G216)</f>
        <v/>
      </c>
      <c r="K216" s="30" t="str">
        <f aca="false">IF($E216="","",I216+J216)</f>
        <v/>
      </c>
      <c r="L216" s="53" t="str">
        <f aca="false">IF($E216="","",IF(R216=0,"SEM CUSTO — falta linha de custo","OK"))</f>
        <v/>
      </c>
      <c r="M216" s="67" t="str">
        <f aca="false">IF(AND(ISNUMBER(E216),NOT(ISNUMBER(E215))),"F"&amp;ROW()&amp;":G"&amp;X216,"")</f>
        <v/>
      </c>
      <c r="N216" s="30" t="str">
        <f aca="false">IF($E216="","",SUMIFS('Rateio Anexo'!$K$6:$K$600,'Rateio Anexo'!$D$6:$D$600,$B216,'Rateio Anexo'!$B$6:$B$600,"MAT"))</f>
        <v/>
      </c>
      <c r="O216" s="30" t="str">
        <f aca="false">IF($E216="","",SUMIFS('Rateio Anexo'!$K$6:$K$600,'Rateio Anexo'!$D$6:$D$600,$B216,'Rateio Anexo'!$B$6:$B$600,"MO"))</f>
        <v/>
      </c>
      <c r="P216" s="30" t="str">
        <f aca="false">IF($E216="","",IF($N$3=0,0,N216/$N$3*$R$4))</f>
        <v/>
      </c>
      <c r="Q216" s="30" t="str">
        <f aca="false">IF($E216="","",IF($O$3=0,0,O216/$O$3*$T$4))</f>
        <v/>
      </c>
      <c r="R216" s="30" t="str">
        <f aca="false">IF($E216="","",N216+O216+P216+Q216)</f>
        <v/>
      </c>
      <c r="S216" s="30" t="str">
        <f aca="false">IF($E216="","",(N216+P216)*Precificação!$B$19)</f>
        <v/>
      </c>
      <c r="T216" s="30" t="str">
        <f aca="false">IF($E216="","",(O216+Q216)*Precificação!$B$20)</f>
        <v/>
      </c>
      <c r="U216" s="68" t="str">
        <f aca="false">IF($E216="","",IF($E216=INT($E216),0.01,IF($E216*2=INT($E216*2),0.02,0.05)))</f>
        <v/>
      </c>
      <c r="V216" s="30" t="str">
        <f aca="false">IF($E216="","",ROUND(S216/$E216/U216,0)*U216)</f>
        <v/>
      </c>
      <c r="W216" s="30" t="str">
        <f aca="false">IF($E216="","",ROUND(T216/$E216/U216,0)*U216)</f>
        <v/>
      </c>
      <c r="X216" s="14" t="str">
        <f aca="false">IF(NOT(ISNUMBER(E216)),"",IF(NOT(ISNUMBER(E217)),ROW(),X217))</f>
        <v/>
      </c>
    </row>
    <row r="217" customFormat="false" ht="15" hidden="false" customHeight="false" outlineLevel="0" collapsed="false">
      <c r="F217" s="66" t="str">
        <f aca="false">IF($E217="","",V217)</f>
        <v/>
      </c>
      <c r="G217" s="66" t="str">
        <f aca="false">IF($E217="","",ROUND(W217+IF($B217=Precificação!$B$26,$F$3/$E217,0),2))</f>
        <v/>
      </c>
      <c r="H217" s="30" t="str">
        <f aca="false">IF($E217="","",F217+G217)</f>
        <v/>
      </c>
      <c r="I217" s="30" t="str">
        <f aca="false">IF($E217="","",$E217*F217)</f>
        <v/>
      </c>
      <c r="J217" s="30" t="str">
        <f aca="false">IF($E217="","",$E217*G217)</f>
        <v/>
      </c>
      <c r="K217" s="30" t="str">
        <f aca="false">IF($E217="","",I217+J217)</f>
        <v/>
      </c>
      <c r="L217" s="53" t="str">
        <f aca="false">IF($E217="","",IF(R217=0,"SEM CUSTO — falta linha de custo","OK"))</f>
        <v/>
      </c>
      <c r="M217" s="67" t="str">
        <f aca="false">IF(AND(ISNUMBER(E217),NOT(ISNUMBER(E216))),"F"&amp;ROW()&amp;":G"&amp;X217,"")</f>
        <v/>
      </c>
      <c r="N217" s="30" t="str">
        <f aca="false">IF($E217="","",SUMIFS('Rateio Anexo'!$K$6:$K$600,'Rateio Anexo'!$D$6:$D$600,$B217,'Rateio Anexo'!$B$6:$B$600,"MAT"))</f>
        <v/>
      </c>
      <c r="O217" s="30" t="str">
        <f aca="false">IF($E217="","",SUMIFS('Rateio Anexo'!$K$6:$K$600,'Rateio Anexo'!$D$6:$D$600,$B217,'Rateio Anexo'!$B$6:$B$600,"MO"))</f>
        <v/>
      </c>
      <c r="P217" s="30" t="str">
        <f aca="false">IF($E217="","",IF($N$3=0,0,N217/$N$3*$R$4))</f>
        <v/>
      </c>
      <c r="Q217" s="30" t="str">
        <f aca="false">IF($E217="","",IF($O$3=0,0,O217/$O$3*$T$4))</f>
        <v/>
      </c>
      <c r="R217" s="30" t="str">
        <f aca="false">IF($E217="","",N217+O217+P217+Q217)</f>
        <v/>
      </c>
      <c r="S217" s="30" t="str">
        <f aca="false">IF($E217="","",(N217+P217)*Precificação!$B$19)</f>
        <v/>
      </c>
      <c r="T217" s="30" t="str">
        <f aca="false">IF($E217="","",(O217+Q217)*Precificação!$B$20)</f>
        <v/>
      </c>
      <c r="U217" s="68" t="str">
        <f aca="false">IF($E217="","",IF($E217=INT($E217),0.01,IF($E217*2=INT($E217*2),0.02,0.05)))</f>
        <v/>
      </c>
      <c r="V217" s="30" t="str">
        <f aca="false">IF($E217="","",ROUND(S217/$E217/U217,0)*U217)</f>
        <v/>
      </c>
      <c r="W217" s="30" t="str">
        <f aca="false">IF($E217="","",ROUND(T217/$E217/U217,0)*U217)</f>
        <v/>
      </c>
      <c r="X217" s="14" t="str">
        <f aca="false">IF(NOT(ISNUMBER(E217)),"",IF(NOT(ISNUMBER(E218)),ROW(),X218))</f>
        <v/>
      </c>
    </row>
    <row r="218" customFormat="false" ht="15" hidden="false" customHeight="false" outlineLevel="0" collapsed="false">
      <c r="F218" s="66" t="str">
        <f aca="false">IF($E218="","",V218)</f>
        <v/>
      </c>
      <c r="G218" s="66" t="str">
        <f aca="false">IF($E218="","",ROUND(W218+IF($B218=Precificação!$B$26,$F$3/$E218,0),2))</f>
        <v/>
      </c>
      <c r="H218" s="30" t="str">
        <f aca="false">IF($E218="","",F218+G218)</f>
        <v/>
      </c>
      <c r="I218" s="30" t="str">
        <f aca="false">IF($E218="","",$E218*F218)</f>
        <v/>
      </c>
      <c r="J218" s="30" t="str">
        <f aca="false">IF($E218="","",$E218*G218)</f>
        <v/>
      </c>
      <c r="K218" s="30" t="str">
        <f aca="false">IF($E218="","",I218+J218)</f>
        <v/>
      </c>
      <c r="L218" s="53" t="str">
        <f aca="false">IF($E218="","",IF(R218=0,"SEM CUSTO — falta linha de custo","OK"))</f>
        <v/>
      </c>
      <c r="M218" s="67" t="str">
        <f aca="false">IF(AND(ISNUMBER(E218),NOT(ISNUMBER(E217))),"F"&amp;ROW()&amp;":G"&amp;X218,"")</f>
        <v/>
      </c>
      <c r="N218" s="30" t="str">
        <f aca="false">IF($E218="","",SUMIFS('Rateio Anexo'!$K$6:$K$600,'Rateio Anexo'!$D$6:$D$600,$B218,'Rateio Anexo'!$B$6:$B$600,"MAT"))</f>
        <v/>
      </c>
      <c r="O218" s="30" t="str">
        <f aca="false">IF($E218="","",SUMIFS('Rateio Anexo'!$K$6:$K$600,'Rateio Anexo'!$D$6:$D$600,$B218,'Rateio Anexo'!$B$6:$B$600,"MO"))</f>
        <v/>
      </c>
      <c r="P218" s="30" t="str">
        <f aca="false">IF($E218="","",IF($N$3=0,0,N218/$N$3*$R$4))</f>
        <v/>
      </c>
      <c r="Q218" s="30" t="str">
        <f aca="false">IF($E218="","",IF($O$3=0,0,O218/$O$3*$T$4))</f>
        <v/>
      </c>
      <c r="R218" s="30" t="str">
        <f aca="false">IF($E218="","",N218+O218+P218+Q218)</f>
        <v/>
      </c>
      <c r="S218" s="30" t="str">
        <f aca="false">IF($E218="","",(N218+P218)*Precificação!$B$19)</f>
        <v/>
      </c>
      <c r="T218" s="30" t="str">
        <f aca="false">IF($E218="","",(O218+Q218)*Precificação!$B$20)</f>
        <v/>
      </c>
      <c r="U218" s="68" t="str">
        <f aca="false">IF($E218="","",IF($E218=INT($E218),0.01,IF($E218*2=INT($E218*2),0.02,0.05)))</f>
        <v/>
      </c>
      <c r="V218" s="30" t="str">
        <f aca="false">IF($E218="","",ROUND(S218/$E218/U218,0)*U218)</f>
        <v/>
      </c>
      <c r="W218" s="30" t="str">
        <f aca="false">IF($E218="","",ROUND(T218/$E218/U218,0)*U218)</f>
        <v/>
      </c>
      <c r="X218" s="14" t="str">
        <f aca="false">IF(NOT(ISNUMBER(E218)),"",IF(NOT(ISNUMBER(E219)),ROW(),X219))</f>
        <v/>
      </c>
    </row>
    <row r="219" customFormat="false" ht="15" hidden="false" customHeight="false" outlineLevel="0" collapsed="false">
      <c r="F219" s="66" t="str">
        <f aca="false">IF($E219="","",V219)</f>
        <v/>
      </c>
      <c r="G219" s="66" t="str">
        <f aca="false">IF($E219="","",ROUND(W219+IF($B219=Precificação!$B$26,$F$3/$E219,0),2))</f>
        <v/>
      </c>
      <c r="H219" s="30" t="str">
        <f aca="false">IF($E219="","",F219+G219)</f>
        <v/>
      </c>
      <c r="I219" s="30" t="str">
        <f aca="false">IF($E219="","",$E219*F219)</f>
        <v/>
      </c>
      <c r="J219" s="30" t="str">
        <f aca="false">IF($E219="","",$E219*G219)</f>
        <v/>
      </c>
      <c r="K219" s="30" t="str">
        <f aca="false">IF($E219="","",I219+J219)</f>
        <v/>
      </c>
      <c r="L219" s="53" t="str">
        <f aca="false">IF($E219="","",IF(R219=0,"SEM CUSTO — falta linha de custo","OK"))</f>
        <v/>
      </c>
      <c r="M219" s="67" t="str">
        <f aca="false">IF(AND(ISNUMBER(E219),NOT(ISNUMBER(E218))),"F"&amp;ROW()&amp;":G"&amp;X219,"")</f>
        <v/>
      </c>
      <c r="N219" s="30" t="str">
        <f aca="false">IF($E219="","",SUMIFS('Rateio Anexo'!$K$6:$K$600,'Rateio Anexo'!$D$6:$D$600,$B219,'Rateio Anexo'!$B$6:$B$600,"MAT"))</f>
        <v/>
      </c>
      <c r="O219" s="30" t="str">
        <f aca="false">IF($E219="","",SUMIFS('Rateio Anexo'!$K$6:$K$600,'Rateio Anexo'!$D$6:$D$600,$B219,'Rateio Anexo'!$B$6:$B$600,"MO"))</f>
        <v/>
      </c>
      <c r="P219" s="30" t="str">
        <f aca="false">IF($E219="","",IF($N$3=0,0,N219/$N$3*$R$4))</f>
        <v/>
      </c>
      <c r="Q219" s="30" t="str">
        <f aca="false">IF($E219="","",IF($O$3=0,0,O219/$O$3*$T$4))</f>
        <v/>
      </c>
      <c r="R219" s="30" t="str">
        <f aca="false">IF($E219="","",N219+O219+P219+Q219)</f>
        <v/>
      </c>
      <c r="S219" s="30" t="str">
        <f aca="false">IF($E219="","",(N219+P219)*Precificação!$B$19)</f>
        <v/>
      </c>
      <c r="T219" s="30" t="str">
        <f aca="false">IF($E219="","",(O219+Q219)*Precificação!$B$20)</f>
        <v/>
      </c>
      <c r="U219" s="68" t="str">
        <f aca="false">IF($E219="","",IF($E219=INT($E219),0.01,IF($E219*2=INT($E219*2),0.02,0.05)))</f>
        <v/>
      </c>
      <c r="V219" s="30" t="str">
        <f aca="false">IF($E219="","",ROUND(S219/$E219/U219,0)*U219)</f>
        <v/>
      </c>
      <c r="W219" s="30" t="str">
        <f aca="false">IF($E219="","",ROUND(T219/$E219/U219,0)*U219)</f>
        <v/>
      </c>
      <c r="X219" s="14" t="str">
        <f aca="false">IF(NOT(ISNUMBER(E219)),"",IF(NOT(ISNUMBER(E220)),ROW(),X220))</f>
        <v/>
      </c>
    </row>
    <row r="220" customFormat="false" ht="15" hidden="false" customHeight="false" outlineLevel="0" collapsed="false">
      <c r="F220" s="66" t="str">
        <f aca="false">IF($E220="","",V220)</f>
        <v/>
      </c>
      <c r="G220" s="66" t="str">
        <f aca="false">IF($E220="","",ROUND(W220+IF($B220=Precificação!$B$26,$F$3/$E220,0),2))</f>
        <v/>
      </c>
      <c r="H220" s="30" t="str">
        <f aca="false">IF($E220="","",F220+G220)</f>
        <v/>
      </c>
      <c r="I220" s="30" t="str">
        <f aca="false">IF($E220="","",$E220*F220)</f>
        <v/>
      </c>
      <c r="J220" s="30" t="str">
        <f aca="false">IF($E220="","",$E220*G220)</f>
        <v/>
      </c>
      <c r="K220" s="30" t="str">
        <f aca="false">IF($E220="","",I220+J220)</f>
        <v/>
      </c>
      <c r="L220" s="53" t="str">
        <f aca="false">IF($E220="","",IF(R220=0,"SEM CUSTO — falta linha de custo","OK"))</f>
        <v/>
      </c>
      <c r="M220" s="67" t="str">
        <f aca="false">IF(AND(ISNUMBER(E220),NOT(ISNUMBER(E219))),"F"&amp;ROW()&amp;":G"&amp;X220,"")</f>
        <v/>
      </c>
      <c r="N220" s="30" t="str">
        <f aca="false">IF($E220="","",SUMIFS('Rateio Anexo'!$K$6:$K$600,'Rateio Anexo'!$D$6:$D$600,$B220,'Rateio Anexo'!$B$6:$B$600,"MAT"))</f>
        <v/>
      </c>
      <c r="O220" s="30" t="str">
        <f aca="false">IF($E220="","",SUMIFS('Rateio Anexo'!$K$6:$K$600,'Rateio Anexo'!$D$6:$D$600,$B220,'Rateio Anexo'!$B$6:$B$600,"MO"))</f>
        <v/>
      </c>
      <c r="P220" s="30" t="str">
        <f aca="false">IF($E220="","",IF($N$3=0,0,N220/$N$3*$R$4))</f>
        <v/>
      </c>
      <c r="Q220" s="30" t="str">
        <f aca="false">IF($E220="","",IF($O$3=0,0,O220/$O$3*$T$4))</f>
        <v/>
      </c>
      <c r="R220" s="30" t="str">
        <f aca="false">IF($E220="","",N220+O220+P220+Q220)</f>
        <v/>
      </c>
      <c r="S220" s="30" t="str">
        <f aca="false">IF($E220="","",(N220+P220)*Precificação!$B$19)</f>
        <v/>
      </c>
      <c r="T220" s="30" t="str">
        <f aca="false">IF($E220="","",(O220+Q220)*Precificação!$B$20)</f>
        <v/>
      </c>
      <c r="U220" s="68" t="str">
        <f aca="false">IF($E220="","",IF($E220=INT($E220),0.01,IF($E220*2=INT($E220*2),0.02,0.05)))</f>
        <v/>
      </c>
      <c r="V220" s="30" t="str">
        <f aca="false">IF($E220="","",ROUND(S220/$E220/U220,0)*U220)</f>
        <v/>
      </c>
      <c r="W220" s="30" t="str">
        <f aca="false">IF($E220="","",ROUND(T220/$E220/U220,0)*U220)</f>
        <v/>
      </c>
      <c r="X220" s="14" t="str">
        <f aca="false">IF(NOT(ISNUMBER(E220)),"",IF(NOT(ISNUMBER(E221)),ROW(),X221))</f>
        <v/>
      </c>
    </row>
    <row r="221" customFormat="false" ht="15" hidden="false" customHeight="false" outlineLevel="0" collapsed="false">
      <c r="F221" s="66" t="str">
        <f aca="false">IF($E221="","",V221)</f>
        <v/>
      </c>
      <c r="G221" s="66" t="str">
        <f aca="false">IF($E221="","",ROUND(W221+IF($B221=Precificação!$B$26,$F$3/$E221,0),2))</f>
        <v/>
      </c>
      <c r="H221" s="30" t="str">
        <f aca="false">IF($E221="","",F221+G221)</f>
        <v/>
      </c>
      <c r="I221" s="30" t="str">
        <f aca="false">IF($E221="","",$E221*F221)</f>
        <v/>
      </c>
      <c r="J221" s="30" t="str">
        <f aca="false">IF($E221="","",$E221*G221)</f>
        <v/>
      </c>
      <c r="K221" s="30" t="str">
        <f aca="false">IF($E221="","",I221+J221)</f>
        <v/>
      </c>
      <c r="L221" s="53" t="str">
        <f aca="false">IF($E221="","",IF(R221=0,"SEM CUSTO — falta linha de custo","OK"))</f>
        <v/>
      </c>
      <c r="M221" s="67" t="str">
        <f aca="false">IF(AND(ISNUMBER(E221),NOT(ISNUMBER(E220))),"F"&amp;ROW()&amp;":G"&amp;X221,"")</f>
        <v/>
      </c>
      <c r="N221" s="30" t="str">
        <f aca="false">IF($E221="","",SUMIFS('Rateio Anexo'!$K$6:$K$600,'Rateio Anexo'!$D$6:$D$600,$B221,'Rateio Anexo'!$B$6:$B$600,"MAT"))</f>
        <v/>
      </c>
      <c r="O221" s="30" t="str">
        <f aca="false">IF($E221="","",SUMIFS('Rateio Anexo'!$K$6:$K$600,'Rateio Anexo'!$D$6:$D$600,$B221,'Rateio Anexo'!$B$6:$B$600,"MO"))</f>
        <v/>
      </c>
      <c r="P221" s="30" t="str">
        <f aca="false">IF($E221="","",IF($N$3=0,0,N221/$N$3*$R$4))</f>
        <v/>
      </c>
      <c r="Q221" s="30" t="str">
        <f aca="false">IF($E221="","",IF($O$3=0,0,O221/$O$3*$T$4))</f>
        <v/>
      </c>
      <c r="R221" s="30" t="str">
        <f aca="false">IF($E221="","",N221+O221+P221+Q221)</f>
        <v/>
      </c>
      <c r="S221" s="30" t="str">
        <f aca="false">IF($E221="","",(N221+P221)*Precificação!$B$19)</f>
        <v/>
      </c>
      <c r="T221" s="30" t="str">
        <f aca="false">IF($E221="","",(O221+Q221)*Precificação!$B$20)</f>
        <v/>
      </c>
      <c r="U221" s="68" t="str">
        <f aca="false">IF($E221="","",IF($E221=INT($E221),0.01,IF($E221*2=INT($E221*2),0.02,0.05)))</f>
        <v/>
      </c>
      <c r="V221" s="30" t="str">
        <f aca="false">IF($E221="","",ROUND(S221/$E221/U221,0)*U221)</f>
        <v/>
      </c>
      <c r="W221" s="30" t="str">
        <f aca="false">IF($E221="","",ROUND(T221/$E221/U221,0)*U221)</f>
        <v/>
      </c>
      <c r="X221" s="14" t="str">
        <f aca="false">IF(NOT(ISNUMBER(E221)),"",IF(NOT(ISNUMBER(E222)),ROW(),X222))</f>
        <v/>
      </c>
    </row>
    <row r="222" customFormat="false" ht="15" hidden="false" customHeight="false" outlineLevel="0" collapsed="false">
      <c r="F222" s="66" t="str">
        <f aca="false">IF($E222="","",V222)</f>
        <v/>
      </c>
      <c r="G222" s="66" t="str">
        <f aca="false">IF($E222="","",ROUND(W222+IF($B222=Precificação!$B$26,$F$3/$E222,0),2))</f>
        <v/>
      </c>
      <c r="H222" s="30" t="str">
        <f aca="false">IF($E222="","",F222+G222)</f>
        <v/>
      </c>
      <c r="I222" s="30" t="str">
        <f aca="false">IF($E222="","",$E222*F222)</f>
        <v/>
      </c>
      <c r="J222" s="30" t="str">
        <f aca="false">IF($E222="","",$E222*G222)</f>
        <v/>
      </c>
      <c r="K222" s="30" t="str">
        <f aca="false">IF($E222="","",I222+J222)</f>
        <v/>
      </c>
      <c r="L222" s="53" t="str">
        <f aca="false">IF($E222="","",IF(R222=0,"SEM CUSTO — falta linha de custo","OK"))</f>
        <v/>
      </c>
      <c r="M222" s="67" t="str">
        <f aca="false">IF(AND(ISNUMBER(E222),NOT(ISNUMBER(E221))),"F"&amp;ROW()&amp;":G"&amp;X222,"")</f>
        <v/>
      </c>
      <c r="N222" s="30" t="str">
        <f aca="false">IF($E222="","",SUMIFS('Rateio Anexo'!$K$6:$K$600,'Rateio Anexo'!$D$6:$D$600,$B222,'Rateio Anexo'!$B$6:$B$600,"MAT"))</f>
        <v/>
      </c>
      <c r="O222" s="30" t="str">
        <f aca="false">IF($E222="","",SUMIFS('Rateio Anexo'!$K$6:$K$600,'Rateio Anexo'!$D$6:$D$600,$B222,'Rateio Anexo'!$B$6:$B$600,"MO"))</f>
        <v/>
      </c>
      <c r="P222" s="30" t="str">
        <f aca="false">IF($E222="","",IF($N$3=0,0,N222/$N$3*$R$4))</f>
        <v/>
      </c>
      <c r="Q222" s="30" t="str">
        <f aca="false">IF($E222="","",IF($O$3=0,0,O222/$O$3*$T$4))</f>
        <v/>
      </c>
      <c r="R222" s="30" t="str">
        <f aca="false">IF($E222="","",N222+O222+P222+Q222)</f>
        <v/>
      </c>
      <c r="S222" s="30" t="str">
        <f aca="false">IF($E222="","",(N222+P222)*Precificação!$B$19)</f>
        <v/>
      </c>
      <c r="T222" s="30" t="str">
        <f aca="false">IF($E222="","",(O222+Q222)*Precificação!$B$20)</f>
        <v/>
      </c>
      <c r="U222" s="68" t="str">
        <f aca="false">IF($E222="","",IF($E222=INT($E222),0.01,IF($E222*2=INT($E222*2),0.02,0.05)))</f>
        <v/>
      </c>
      <c r="V222" s="30" t="str">
        <f aca="false">IF($E222="","",ROUND(S222/$E222/U222,0)*U222)</f>
        <v/>
      </c>
      <c r="W222" s="30" t="str">
        <f aca="false">IF($E222="","",ROUND(T222/$E222/U222,0)*U222)</f>
        <v/>
      </c>
      <c r="X222" s="14" t="str">
        <f aca="false">IF(NOT(ISNUMBER(E222)),"",IF(NOT(ISNUMBER(E223)),ROW(),X223))</f>
        <v/>
      </c>
    </row>
    <row r="223" customFormat="false" ht="15" hidden="false" customHeight="false" outlineLevel="0" collapsed="false">
      <c r="F223" s="66" t="str">
        <f aca="false">IF($E223="","",V223)</f>
        <v/>
      </c>
      <c r="G223" s="66" t="str">
        <f aca="false">IF($E223="","",ROUND(W223+IF($B223=Precificação!$B$26,$F$3/$E223,0),2))</f>
        <v/>
      </c>
      <c r="H223" s="30" t="str">
        <f aca="false">IF($E223="","",F223+G223)</f>
        <v/>
      </c>
      <c r="I223" s="30" t="str">
        <f aca="false">IF($E223="","",$E223*F223)</f>
        <v/>
      </c>
      <c r="J223" s="30" t="str">
        <f aca="false">IF($E223="","",$E223*G223)</f>
        <v/>
      </c>
      <c r="K223" s="30" t="str">
        <f aca="false">IF($E223="","",I223+J223)</f>
        <v/>
      </c>
      <c r="L223" s="53" t="str">
        <f aca="false">IF($E223="","",IF(R223=0,"SEM CUSTO — falta linha de custo","OK"))</f>
        <v/>
      </c>
      <c r="M223" s="67" t="str">
        <f aca="false">IF(AND(ISNUMBER(E223),NOT(ISNUMBER(E222))),"F"&amp;ROW()&amp;":G"&amp;X223,"")</f>
        <v/>
      </c>
      <c r="N223" s="30" t="str">
        <f aca="false">IF($E223="","",SUMIFS('Rateio Anexo'!$K$6:$K$600,'Rateio Anexo'!$D$6:$D$600,$B223,'Rateio Anexo'!$B$6:$B$600,"MAT"))</f>
        <v/>
      </c>
      <c r="O223" s="30" t="str">
        <f aca="false">IF($E223="","",SUMIFS('Rateio Anexo'!$K$6:$K$600,'Rateio Anexo'!$D$6:$D$600,$B223,'Rateio Anexo'!$B$6:$B$600,"MO"))</f>
        <v/>
      </c>
      <c r="P223" s="30" t="str">
        <f aca="false">IF($E223="","",IF($N$3=0,0,N223/$N$3*$R$4))</f>
        <v/>
      </c>
      <c r="Q223" s="30" t="str">
        <f aca="false">IF($E223="","",IF($O$3=0,0,O223/$O$3*$T$4))</f>
        <v/>
      </c>
      <c r="R223" s="30" t="str">
        <f aca="false">IF($E223="","",N223+O223+P223+Q223)</f>
        <v/>
      </c>
      <c r="S223" s="30" t="str">
        <f aca="false">IF($E223="","",(N223+P223)*Precificação!$B$19)</f>
        <v/>
      </c>
      <c r="T223" s="30" t="str">
        <f aca="false">IF($E223="","",(O223+Q223)*Precificação!$B$20)</f>
        <v/>
      </c>
      <c r="U223" s="68" t="str">
        <f aca="false">IF($E223="","",IF($E223=INT($E223),0.01,IF($E223*2=INT($E223*2),0.02,0.05)))</f>
        <v/>
      </c>
      <c r="V223" s="30" t="str">
        <f aca="false">IF($E223="","",ROUND(S223/$E223/U223,0)*U223)</f>
        <v/>
      </c>
      <c r="W223" s="30" t="str">
        <f aca="false">IF($E223="","",ROUND(T223/$E223/U223,0)*U223)</f>
        <v/>
      </c>
      <c r="X223" s="14" t="str">
        <f aca="false">IF(NOT(ISNUMBER(E223)),"",IF(NOT(ISNUMBER(E224)),ROW(),X224))</f>
        <v/>
      </c>
    </row>
    <row r="224" customFormat="false" ht="15" hidden="false" customHeight="false" outlineLevel="0" collapsed="false">
      <c r="F224" s="66" t="str">
        <f aca="false">IF($E224="","",V224)</f>
        <v/>
      </c>
      <c r="G224" s="66" t="str">
        <f aca="false">IF($E224="","",ROUND(W224+IF($B224=Precificação!$B$26,$F$3/$E224,0),2))</f>
        <v/>
      </c>
      <c r="H224" s="30" t="str">
        <f aca="false">IF($E224="","",F224+G224)</f>
        <v/>
      </c>
      <c r="I224" s="30" t="str">
        <f aca="false">IF($E224="","",$E224*F224)</f>
        <v/>
      </c>
      <c r="J224" s="30" t="str">
        <f aca="false">IF($E224="","",$E224*G224)</f>
        <v/>
      </c>
      <c r="K224" s="30" t="str">
        <f aca="false">IF($E224="","",I224+J224)</f>
        <v/>
      </c>
      <c r="L224" s="53" t="str">
        <f aca="false">IF($E224="","",IF(R224=0,"SEM CUSTO — falta linha de custo","OK"))</f>
        <v/>
      </c>
      <c r="M224" s="67" t="str">
        <f aca="false">IF(AND(ISNUMBER(E224),NOT(ISNUMBER(E223))),"F"&amp;ROW()&amp;":G"&amp;X224,"")</f>
        <v/>
      </c>
      <c r="N224" s="30" t="str">
        <f aca="false">IF($E224="","",SUMIFS('Rateio Anexo'!$K$6:$K$600,'Rateio Anexo'!$D$6:$D$600,$B224,'Rateio Anexo'!$B$6:$B$600,"MAT"))</f>
        <v/>
      </c>
      <c r="O224" s="30" t="str">
        <f aca="false">IF($E224="","",SUMIFS('Rateio Anexo'!$K$6:$K$600,'Rateio Anexo'!$D$6:$D$600,$B224,'Rateio Anexo'!$B$6:$B$600,"MO"))</f>
        <v/>
      </c>
      <c r="P224" s="30" t="str">
        <f aca="false">IF($E224="","",IF($N$3=0,0,N224/$N$3*$R$4))</f>
        <v/>
      </c>
      <c r="Q224" s="30" t="str">
        <f aca="false">IF($E224="","",IF($O$3=0,0,O224/$O$3*$T$4))</f>
        <v/>
      </c>
      <c r="R224" s="30" t="str">
        <f aca="false">IF($E224="","",N224+O224+P224+Q224)</f>
        <v/>
      </c>
      <c r="S224" s="30" t="str">
        <f aca="false">IF($E224="","",(N224+P224)*Precificação!$B$19)</f>
        <v/>
      </c>
      <c r="T224" s="30" t="str">
        <f aca="false">IF($E224="","",(O224+Q224)*Precificação!$B$20)</f>
        <v/>
      </c>
      <c r="U224" s="68" t="str">
        <f aca="false">IF($E224="","",IF($E224=INT($E224),0.01,IF($E224*2=INT($E224*2),0.02,0.05)))</f>
        <v/>
      </c>
      <c r="V224" s="30" t="str">
        <f aca="false">IF($E224="","",ROUND(S224/$E224/U224,0)*U224)</f>
        <v/>
      </c>
      <c r="W224" s="30" t="str">
        <f aca="false">IF($E224="","",ROUND(T224/$E224/U224,0)*U224)</f>
        <v/>
      </c>
      <c r="X224" s="14" t="str">
        <f aca="false">IF(NOT(ISNUMBER(E224)),"",IF(NOT(ISNUMBER(E225)),ROW(),X225))</f>
        <v/>
      </c>
    </row>
    <row r="225" customFormat="false" ht="15" hidden="false" customHeight="false" outlineLevel="0" collapsed="false">
      <c r="F225" s="66" t="str">
        <f aca="false">IF($E225="","",V225)</f>
        <v/>
      </c>
      <c r="G225" s="66" t="str">
        <f aca="false">IF($E225="","",ROUND(W225+IF($B225=Precificação!$B$26,$F$3/$E225,0),2))</f>
        <v/>
      </c>
      <c r="H225" s="30" t="str">
        <f aca="false">IF($E225="","",F225+G225)</f>
        <v/>
      </c>
      <c r="I225" s="30" t="str">
        <f aca="false">IF($E225="","",$E225*F225)</f>
        <v/>
      </c>
      <c r="J225" s="30" t="str">
        <f aca="false">IF($E225="","",$E225*G225)</f>
        <v/>
      </c>
      <c r="K225" s="30" t="str">
        <f aca="false">IF($E225="","",I225+J225)</f>
        <v/>
      </c>
      <c r="L225" s="53" t="str">
        <f aca="false">IF($E225="","",IF(R225=0,"SEM CUSTO — falta linha de custo","OK"))</f>
        <v/>
      </c>
      <c r="M225" s="67" t="str">
        <f aca="false">IF(AND(ISNUMBER(E225),NOT(ISNUMBER(E224))),"F"&amp;ROW()&amp;":G"&amp;X225,"")</f>
        <v/>
      </c>
      <c r="N225" s="30" t="str">
        <f aca="false">IF($E225="","",SUMIFS('Rateio Anexo'!$K$6:$K$600,'Rateio Anexo'!$D$6:$D$600,$B225,'Rateio Anexo'!$B$6:$B$600,"MAT"))</f>
        <v/>
      </c>
      <c r="O225" s="30" t="str">
        <f aca="false">IF($E225="","",SUMIFS('Rateio Anexo'!$K$6:$K$600,'Rateio Anexo'!$D$6:$D$600,$B225,'Rateio Anexo'!$B$6:$B$600,"MO"))</f>
        <v/>
      </c>
      <c r="P225" s="30" t="str">
        <f aca="false">IF($E225="","",IF($N$3=0,0,N225/$N$3*$R$4))</f>
        <v/>
      </c>
      <c r="Q225" s="30" t="str">
        <f aca="false">IF($E225="","",IF($O$3=0,0,O225/$O$3*$T$4))</f>
        <v/>
      </c>
      <c r="R225" s="30" t="str">
        <f aca="false">IF($E225="","",N225+O225+P225+Q225)</f>
        <v/>
      </c>
      <c r="S225" s="30" t="str">
        <f aca="false">IF($E225="","",(N225+P225)*Precificação!$B$19)</f>
        <v/>
      </c>
      <c r="T225" s="30" t="str">
        <f aca="false">IF($E225="","",(O225+Q225)*Precificação!$B$20)</f>
        <v/>
      </c>
      <c r="U225" s="68" t="str">
        <f aca="false">IF($E225="","",IF($E225=INT($E225),0.01,IF($E225*2=INT($E225*2),0.02,0.05)))</f>
        <v/>
      </c>
      <c r="V225" s="30" t="str">
        <f aca="false">IF($E225="","",ROUND(S225/$E225/U225,0)*U225)</f>
        <v/>
      </c>
      <c r="W225" s="30" t="str">
        <f aca="false">IF($E225="","",ROUND(T225/$E225/U225,0)*U225)</f>
        <v/>
      </c>
      <c r="X225" s="14" t="str">
        <f aca="false">IF(NOT(ISNUMBER(E225)),"",IF(NOT(ISNUMBER(E226)),ROW(),X226))</f>
        <v/>
      </c>
    </row>
    <row r="226" customFormat="false" ht="15" hidden="false" customHeight="false" outlineLevel="0" collapsed="false">
      <c r="F226" s="66" t="str">
        <f aca="false">IF($E226="","",V226)</f>
        <v/>
      </c>
      <c r="G226" s="66" t="str">
        <f aca="false">IF($E226="","",ROUND(W226+IF($B226=Precificação!$B$26,$F$3/$E226,0),2))</f>
        <v/>
      </c>
      <c r="H226" s="30" t="str">
        <f aca="false">IF($E226="","",F226+G226)</f>
        <v/>
      </c>
      <c r="I226" s="30" t="str">
        <f aca="false">IF($E226="","",$E226*F226)</f>
        <v/>
      </c>
      <c r="J226" s="30" t="str">
        <f aca="false">IF($E226="","",$E226*G226)</f>
        <v/>
      </c>
      <c r="K226" s="30" t="str">
        <f aca="false">IF($E226="","",I226+J226)</f>
        <v/>
      </c>
      <c r="L226" s="53" t="str">
        <f aca="false">IF($E226="","",IF(R226=0,"SEM CUSTO — falta linha de custo","OK"))</f>
        <v/>
      </c>
      <c r="M226" s="67" t="str">
        <f aca="false">IF(AND(ISNUMBER(E226),NOT(ISNUMBER(E225))),"F"&amp;ROW()&amp;":G"&amp;X226,"")</f>
        <v/>
      </c>
      <c r="N226" s="30" t="str">
        <f aca="false">IF($E226="","",SUMIFS('Rateio Anexo'!$K$6:$K$600,'Rateio Anexo'!$D$6:$D$600,$B226,'Rateio Anexo'!$B$6:$B$600,"MAT"))</f>
        <v/>
      </c>
      <c r="O226" s="30" t="str">
        <f aca="false">IF($E226="","",SUMIFS('Rateio Anexo'!$K$6:$K$600,'Rateio Anexo'!$D$6:$D$600,$B226,'Rateio Anexo'!$B$6:$B$600,"MO"))</f>
        <v/>
      </c>
      <c r="P226" s="30" t="str">
        <f aca="false">IF($E226="","",IF($N$3=0,0,N226/$N$3*$R$4))</f>
        <v/>
      </c>
      <c r="Q226" s="30" t="str">
        <f aca="false">IF($E226="","",IF($O$3=0,0,O226/$O$3*$T$4))</f>
        <v/>
      </c>
      <c r="R226" s="30" t="str">
        <f aca="false">IF($E226="","",N226+O226+P226+Q226)</f>
        <v/>
      </c>
      <c r="S226" s="30" t="str">
        <f aca="false">IF($E226="","",(N226+P226)*Precificação!$B$19)</f>
        <v/>
      </c>
      <c r="T226" s="30" t="str">
        <f aca="false">IF($E226="","",(O226+Q226)*Precificação!$B$20)</f>
        <v/>
      </c>
      <c r="U226" s="68" t="str">
        <f aca="false">IF($E226="","",IF($E226=INT($E226),0.01,IF($E226*2=INT($E226*2),0.02,0.05)))</f>
        <v/>
      </c>
      <c r="V226" s="30" t="str">
        <f aca="false">IF($E226="","",ROUND(S226/$E226/U226,0)*U226)</f>
        <v/>
      </c>
      <c r="W226" s="30" t="str">
        <f aca="false">IF($E226="","",ROUND(T226/$E226/U226,0)*U226)</f>
        <v/>
      </c>
      <c r="X226" s="14" t="str">
        <f aca="false">IF(NOT(ISNUMBER(E226)),"",IF(NOT(ISNUMBER(E227)),ROW(),X227))</f>
        <v/>
      </c>
    </row>
    <row r="227" customFormat="false" ht="15" hidden="false" customHeight="false" outlineLevel="0" collapsed="false">
      <c r="F227" s="66" t="str">
        <f aca="false">IF($E227="","",V227)</f>
        <v/>
      </c>
      <c r="G227" s="66" t="str">
        <f aca="false">IF($E227="","",ROUND(W227+IF($B227=Precificação!$B$26,$F$3/$E227,0),2))</f>
        <v/>
      </c>
      <c r="H227" s="30" t="str">
        <f aca="false">IF($E227="","",F227+G227)</f>
        <v/>
      </c>
      <c r="I227" s="30" t="str">
        <f aca="false">IF($E227="","",$E227*F227)</f>
        <v/>
      </c>
      <c r="J227" s="30" t="str">
        <f aca="false">IF($E227="","",$E227*G227)</f>
        <v/>
      </c>
      <c r="K227" s="30" t="str">
        <f aca="false">IF($E227="","",I227+J227)</f>
        <v/>
      </c>
      <c r="L227" s="53" t="str">
        <f aca="false">IF($E227="","",IF(R227=0,"SEM CUSTO — falta linha de custo","OK"))</f>
        <v/>
      </c>
      <c r="M227" s="67" t="str">
        <f aca="false">IF(AND(ISNUMBER(E227),NOT(ISNUMBER(E226))),"F"&amp;ROW()&amp;":G"&amp;X227,"")</f>
        <v/>
      </c>
      <c r="N227" s="30" t="str">
        <f aca="false">IF($E227="","",SUMIFS('Rateio Anexo'!$K$6:$K$600,'Rateio Anexo'!$D$6:$D$600,$B227,'Rateio Anexo'!$B$6:$B$600,"MAT"))</f>
        <v/>
      </c>
      <c r="O227" s="30" t="str">
        <f aca="false">IF($E227="","",SUMIFS('Rateio Anexo'!$K$6:$K$600,'Rateio Anexo'!$D$6:$D$600,$B227,'Rateio Anexo'!$B$6:$B$600,"MO"))</f>
        <v/>
      </c>
      <c r="P227" s="30" t="str">
        <f aca="false">IF($E227="","",IF($N$3=0,0,N227/$N$3*$R$4))</f>
        <v/>
      </c>
      <c r="Q227" s="30" t="str">
        <f aca="false">IF($E227="","",IF($O$3=0,0,O227/$O$3*$T$4))</f>
        <v/>
      </c>
      <c r="R227" s="30" t="str">
        <f aca="false">IF($E227="","",N227+O227+P227+Q227)</f>
        <v/>
      </c>
      <c r="S227" s="30" t="str">
        <f aca="false">IF($E227="","",(N227+P227)*Precificação!$B$19)</f>
        <v/>
      </c>
      <c r="T227" s="30" t="str">
        <f aca="false">IF($E227="","",(O227+Q227)*Precificação!$B$20)</f>
        <v/>
      </c>
      <c r="U227" s="68" t="str">
        <f aca="false">IF($E227="","",IF($E227=INT($E227),0.01,IF($E227*2=INT($E227*2),0.02,0.05)))</f>
        <v/>
      </c>
      <c r="V227" s="30" t="str">
        <f aca="false">IF($E227="","",ROUND(S227/$E227/U227,0)*U227)</f>
        <v/>
      </c>
      <c r="W227" s="30" t="str">
        <f aca="false">IF($E227="","",ROUND(T227/$E227/U227,0)*U227)</f>
        <v/>
      </c>
      <c r="X227" s="14" t="str">
        <f aca="false">IF(NOT(ISNUMBER(E227)),"",IF(NOT(ISNUMBER(E228)),ROW(),X228))</f>
        <v/>
      </c>
    </row>
    <row r="228" customFormat="false" ht="15" hidden="false" customHeight="false" outlineLevel="0" collapsed="false">
      <c r="F228" s="66" t="str">
        <f aca="false">IF($E228="","",V228)</f>
        <v/>
      </c>
      <c r="G228" s="66" t="str">
        <f aca="false">IF($E228="","",ROUND(W228+IF($B228=Precificação!$B$26,$F$3/$E228,0),2))</f>
        <v/>
      </c>
      <c r="H228" s="30" t="str">
        <f aca="false">IF($E228="","",F228+G228)</f>
        <v/>
      </c>
      <c r="I228" s="30" t="str">
        <f aca="false">IF($E228="","",$E228*F228)</f>
        <v/>
      </c>
      <c r="J228" s="30" t="str">
        <f aca="false">IF($E228="","",$E228*G228)</f>
        <v/>
      </c>
      <c r="K228" s="30" t="str">
        <f aca="false">IF($E228="","",I228+J228)</f>
        <v/>
      </c>
      <c r="L228" s="53" t="str">
        <f aca="false">IF($E228="","",IF(R228=0,"SEM CUSTO — falta linha de custo","OK"))</f>
        <v/>
      </c>
      <c r="M228" s="67" t="str">
        <f aca="false">IF(AND(ISNUMBER(E228),NOT(ISNUMBER(E227))),"F"&amp;ROW()&amp;":G"&amp;X228,"")</f>
        <v/>
      </c>
      <c r="N228" s="30" t="str">
        <f aca="false">IF($E228="","",SUMIFS('Rateio Anexo'!$K$6:$K$600,'Rateio Anexo'!$D$6:$D$600,$B228,'Rateio Anexo'!$B$6:$B$600,"MAT"))</f>
        <v/>
      </c>
      <c r="O228" s="30" t="str">
        <f aca="false">IF($E228="","",SUMIFS('Rateio Anexo'!$K$6:$K$600,'Rateio Anexo'!$D$6:$D$600,$B228,'Rateio Anexo'!$B$6:$B$600,"MO"))</f>
        <v/>
      </c>
      <c r="P228" s="30" t="str">
        <f aca="false">IF($E228="","",IF($N$3=0,0,N228/$N$3*$R$4))</f>
        <v/>
      </c>
      <c r="Q228" s="30" t="str">
        <f aca="false">IF($E228="","",IF($O$3=0,0,O228/$O$3*$T$4))</f>
        <v/>
      </c>
      <c r="R228" s="30" t="str">
        <f aca="false">IF($E228="","",N228+O228+P228+Q228)</f>
        <v/>
      </c>
      <c r="S228" s="30" t="str">
        <f aca="false">IF($E228="","",(N228+P228)*Precificação!$B$19)</f>
        <v/>
      </c>
      <c r="T228" s="30" t="str">
        <f aca="false">IF($E228="","",(O228+Q228)*Precificação!$B$20)</f>
        <v/>
      </c>
      <c r="U228" s="68" t="str">
        <f aca="false">IF($E228="","",IF($E228=INT($E228),0.01,IF($E228*2=INT($E228*2),0.02,0.05)))</f>
        <v/>
      </c>
      <c r="V228" s="30" t="str">
        <f aca="false">IF($E228="","",ROUND(S228/$E228/U228,0)*U228)</f>
        <v/>
      </c>
      <c r="W228" s="30" t="str">
        <f aca="false">IF($E228="","",ROUND(T228/$E228/U228,0)*U228)</f>
        <v/>
      </c>
      <c r="X228" s="14" t="str">
        <f aca="false">IF(NOT(ISNUMBER(E228)),"",IF(NOT(ISNUMBER(E229)),ROW(),X229))</f>
        <v/>
      </c>
    </row>
    <row r="229" customFormat="false" ht="15" hidden="false" customHeight="false" outlineLevel="0" collapsed="false">
      <c r="F229" s="66" t="str">
        <f aca="false">IF($E229="","",V229)</f>
        <v/>
      </c>
      <c r="G229" s="66" t="str">
        <f aca="false">IF($E229="","",ROUND(W229+IF($B229=Precificação!$B$26,$F$3/$E229,0),2))</f>
        <v/>
      </c>
      <c r="H229" s="30" t="str">
        <f aca="false">IF($E229="","",F229+G229)</f>
        <v/>
      </c>
      <c r="I229" s="30" t="str">
        <f aca="false">IF($E229="","",$E229*F229)</f>
        <v/>
      </c>
      <c r="J229" s="30" t="str">
        <f aca="false">IF($E229="","",$E229*G229)</f>
        <v/>
      </c>
      <c r="K229" s="30" t="str">
        <f aca="false">IF($E229="","",I229+J229)</f>
        <v/>
      </c>
      <c r="L229" s="53" t="str">
        <f aca="false">IF($E229="","",IF(R229=0,"SEM CUSTO — falta linha de custo","OK"))</f>
        <v/>
      </c>
      <c r="M229" s="67" t="str">
        <f aca="false">IF(AND(ISNUMBER(E229),NOT(ISNUMBER(E228))),"F"&amp;ROW()&amp;":G"&amp;X229,"")</f>
        <v/>
      </c>
      <c r="N229" s="30" t="str">
        <f aca="false">IF($E229="","",SUMIFS('Rateio Anexo'!$K$6:$K$600,'Rateio Anexo'!$D$6:$D$600,$B229,'Rateio Anexo'!$B$6:$B$600,"MAT"))</f>
        <v/>
      </c>
      <c r="O229" s="30" t="str">
        <f aca="false">IF($E229="","",SUMIFS('Rateio Anexo'!$K$6:$K$600,'Rateio Anexo'!$D$6:$D$600,$B229,'Rateio Anexo'!$B$6:$B$600,"MO"))</f>
        <v/>
      </c>
      <c r="P229" s="30" t="str">
        <f aca="false">IF($E229="","",IF($N$3=0,0,N229/$N$3*$R$4))</f>
        <v/>
      </c>
      <c r="Q229" s="30" t="str">
        <f aca="false">IF($E229="","",IF($O$3=0,0,O229/$O$3*$T$4))</f>
        <v/>
      </c>
      <c r="R229" s="30" t="str">
        <f aca="false">IF($E229="","",N229+O229+P229+Q229)</f>
        <v/>
      </c>
      <c r="S229" s="30" t="str">
        <f aca="false">IF($E229="","",(N229+P229)*Precificação!$B$19)</f>
        <v/>
      </c>
      <c r="T229" s="30" t="str">
        <f aca="false">IF($E229="","",(O229+Q229)*Precificação!$B$20)</f>
        <v/>
      </c>
      <c r="U229" s="68" t="str">
        <f aca="false">IF($E229="","",IF($E229=INT($E229),0.01,IF($E229*2=INT($E229*2),0.02,0.05)))</f>
        <v/>
      </c>
      <c r="V229" s="30" t="str">
        <f aca="false">IF($E229="","",ROUND(S229/$E229/U229,0)*U229)</f>
        <v/>
      </c>
      <c r="W229" s="30" t="str">
        <f aca="false">IF($E229="","",ROUND(T229/$E229/U229,0)*U229)</f>
        <v/>
      </c>
      <c r="X229" s="14" t="str">
        <f aca="false">IF(NOT(ISNUMBER(E229)),"",IF(NOT(ISNUMBER(E230)),ROW(),X230))</f>
        <v/>
      </c>
    </row>
    <row r="230" customFormat="false" ht="15" hidden="false" customHeight="false" outlineLevel="0" collapsed="false">
      <c r="F230" s="66" t="str">
        <f aca="false">IF($E230="","",V230)</f>
        <v/>
      </c>
      <c r="G230" s="66" t="str">
        <f aca="false">IF($E230="","",ROUND(W230+IF($B230=Precificação!$B$26,$F$3/$E230,0),2))</f>
        <v/>
      </c>
      <c r="H230" s="30" t="str">
        <f aca="false">IF($E230="","",F230+G230)</f>
        <v/>
      </c>
      <c r="I230" s="30" t="str">
        <f aca="false">IF($E230="","",$E230*F230)</f>
        <v/>
      </c>
      <c r="J230" s="30" t="str">
        <f aca="false">IF($E230="","",$E230*G230)</f>
        <v/>
      </c>
      <c r="K230" s="30" t="str">
        <f aca="false">IF($E230="","",I230+J230)</f>
        <v/>
      </c>
      <c r="L230" s="53" t="str">
        <f aca="false">IF($E230="","",IF(R230=0,"SEM CUSTO — falta linha de custo","OK"))</f>
        <v/>
      </c>
      <c r="M230" s="67" t="str">
        <f aca="false">IF(AND(ISNUMBER(E230),NOT(ISNUMBER(E229))),"F"&amp;ROW()&amp;":G"&amp;X230,"")</f>
        <v/>
      </c>
      <c r="N230" s="30" t="str">
        <f aca="false">IF($E230="","",SUMIFS('Rateio Anexo'!$K$6:$K$600,'Rateio Anexo'!$D$6:$D$600,$B230,'Rateio Anexo'!$B$6:$B$600,"MAT"))</f>
        <v/>
      </c>
      <c r="O230" s="30" t="str">
        <f aca="false">IF($E230="","",SUMIFS('Rateio Anexo'!$K$6:$K$600,'Rateio Anexo'!$D$6:$D$600,$B230,'Rateio Anexo'!$B$6:$B$600,"MO"))</f>
        <v/>
      </c>
      <c r="P230" s="30" t="str">
        <f aca="false">IF($E230="","",IF($N$3=0,0,N230/$N$3*$R$4))</f>
        <v/>
      </c>
      <c r="Q230" s="30" t="str">
        <f aca="false">IF($E230="","",IF($O$3=0,0,O230/$O$3*$T$4))</f>
        <v/>
      </c>
      <c r="R230" s="30" t="str">
        <f aca="false">IF($E230="","",N230+O230+P230+Q230)</f>
        <v/>
      </c>
      <c r="S230" s="30" t="str">
        <f aca="false">IF($E230="","",(N230+P230)*Precificação!$B$19)</f>
        <v/>
      </c>
      <c r="T230" s="30" t="str">
        <f aca="false">IF($E230="","",(O230+Q230)*Precificação!$B$20)</f>
        <v/>
      </c>
      <c r="U230" s="68" t="str">
        <f aca="false">IF($E230="","",IF($E230=INT($E230),0.01,IF($E230*2=INT($E230*2),0.02,0.05)))</f>
        <v/>
      </c>
      <c r="V230" s="30" t="str">
        <f aca="false">IF($E230="","",ROUND(S230/$E230/U230,0)*U230)</f>
        <v/>
      </c>
      <c r="W230" s="30" t="str">
        <f aca="false">IF($E230="","",ROUND(T230/$E230/U230,0)*U230)</f>
        <v/>
      </c>
      <c r="X230" s="14" t="str">
        <f aca="false">IF(NOT(ISNUMBER(E230)),"",IF(NOT(ISNUMBER(E231)),ROW(),X231))</f>
        <v/>
      </c>
    </row>
    <row r="231" customFormat="false" ht="15" hidden="false" customHeight="false" outlineLevel="0" collapsed="false">
      <c r="F231" s="66" t="str">
        <f aca="false">IF($E231="","",V231)</f>
        <v/>
      </c>
      <c r="G231" s="66" t="str">
        <f aca="false">IF($E231="","",ROUND(W231+IF($B231=Precificação!$B$26,$F$3/$E231,0),2))</f>
        <v/>
      </c>
      <c r="H231" s="30" t="str">
        <f aca="false">IF($E231="","",F231+G231)</f>
        <v/>
      </c>
      <c r="I231" s="30" t="str">
        <f aca="false">IF($E231="","",$E231*F231)</f>
        <v/>
      </c>
      <c r="J231" s="30" t="str">
        <f aca="false">IF($E231="","",$E231*G231)</f>
        <v/>
      </c>
      <c r="K231" s="30" t="str">
        <f aca="false">IF($E231="","",I231+J231)</f>
        <v/>
      </c>
      <c r="L231" s="53" t="str">
        <f aca="false">IF($E231="","",IF(R231=0,"SEM CUSTO — falta linha de custo","OK"))</f>
        <v/>
      </c>
      <c r="M231" s="67" t="str">
        <f aca="false">IF(AND(ISNUMBER(E231),NOT(ISNUMBER(E230))),"F"&amp;ROW()&amp;":G"&amp;X231,"")</f>
        <v/>
      </c>
      <c r="N231" s="30" t="str">
        <f aca="false">IF($E231="","",SUMIFS('Rateio Anexo'!$K$6:$K$600,'Rateio Anexo'!$D$6:$D$600,$B231,'Rateio Anexo'!$B$6:$B$600,"MAT"))</f>
        <v/>
      </c>
      <c r="O231" s="30" t="str">
        <f aca="false">IF($E231="","",SUMIFS('Rateio Anexo'!$K$6:$K$600,'Rateio Anexo'!$D$6:$D$600,$B231,'Rateio Anexo'!$B$6:$B$600,"MO"))</f>
        <v/>
      </c>
      <c r="P231" s="30" t="str">
        <f aca="false">IF($E231="","",IF($N$3=0,0,N231/$N$3*$R$4))</f>
        <v/>
      </c>
      <c r="Q231" s="30" t="str">
        <f aca="false">IF($E231="","",IF($O$3=0,0,O231/$O$3*$T$4))</f>
        <v/>
      </c>
      <c r="R231" s="30" t="str">
        <f aca="false">IF($E231="","",N231+O231+P231+Q231)</f>
        <v/>
      </c>
      <c r="S231" s="30" t="str">
        <f aca="false">IF($E231="","",(N231+P231)*Precificação!$B$19)</f>
        <v/>
      </c>
      <c r="T231" s="30" t="str">
        <f aca="false">IF($E231="","",(O231+Q231)*Precificação!$B$20)</f>
        <v/>
      </c>
      <c r="U231" s="68" t="str">
        <f aca="false">IF($E231="","",IF($E231=INT($E231),0.01,IF($E231*2=INT($E231*2),0.02,0.05)))</f>
        <v/>
      </c>
      <c r="V231" s="30" t="str">
        <f aca="false">IF($E231="","",ROUND(S231/$E231/U231,0)*U231)</f>
        <v/>
      </c>
      <c r="W231" s="30" t="str">
        <f aca="false">IF($E231="","",ROUND(T231/$E231/U231,0)*U231)</f>
        <v/>
      </c>
      <c r="X231" s="14" t="str">
        <f aca="false">IF(NOT(ISNUMBER(E231)),"",IF(NOT(ISNUMBER(E232)),ROW(),X232))</f>
        <v/>
      </c>
    </row>
    <row r="232" customFormat="false" ht="15" hidden="false" customHeight="false" outlineLevel="0" collapsed="false">
      <c r="F232" s="66" t="str">
        <f aca="false">IF($E232="","",V232)</f>
        <v/>
      </c>
      <c r="G232" s="66" t="str">
        <f aca="false">IF($E232="","",ROUND(W232+IF($B232=Precificação!$B$26,$F$3/$E232,0),2))</f>
        <v/>
      </c>
      <c r="H232" s="30" t="str">
        <f aca="false">IF($E232="","",F232+G232)</f>
        <v/>
      </c>
      <c r="I232" s="30" t="str">
        <f aca="false">IF($E232="","",$E232*F232)</f>
        <v/>
      </c>
      <c r="J232" s="30" t="str">
        <f aca="false">IF($E232="","",$E232*G232)</f>
        <v/>
      </c>
      <c r="K232" s="30" t="str">
        <f aca="false">IF($E232="","",I232+J232)</f>
        <v/>
      </c>
      <c r="L232" s="53" t="str">
        <f aca="false">IF($E232="","",IF(R232=0,"SEM CUSTO — falta linha de custo","OK"))</f>
        <v/>
      </c>
      <c r="M232" s="67" t="str">
        <f aca="false">IF(AND(ISNUMBER(E232),NOT(ISNUMBER(E231))),"F"&amp;ROW()&amp;":G"&amp;X232,"")</f>
        <v/>
      </c>
      <c r="N232" s="30" t="str">
        <f aca="false">IF($E232="","",SUMIFS('Rateio Anexo'!$K$6:$K$600,'Rateio Anexo'!$D$6:$D$600,$B232,'Rateio Anexo'!$B$6:$B$600,"MAT"))</f>
        <v/>
      </c>
      <c r="O232" s="30" t="str">
        <f aca="false">IF($E232="","",SUMIFS('Rateio Anexo'!$K$6:$K$600,'Rateio Anexo'!$D$6:$D$600,$B232,'Rateio Anexo'!$B$6:$B$600,"MO"))</f>
        <v/>
      </c>
      <c r="P232" s="30" t="str">
        <f aca="false">IF($E232="","",IF($N$3=0,0,N232/$N$3*$R$4))</f>
        <v/>
      </c>
      <c r="Q232" s="30" t="str">
        <f aca="false">IF($E232="","",IF($O$3=0,0,O232/$O$3*$T$4))</f>
        <v/>
      </c>
      <c r="R232" s="30" t="str">
        <f aca="false">IF($E232="","",N232+O232+P232+Q232)</f>
        <v/>
      </c>
      <c r="S232" s="30" t="str">
        <f aca="false">IF($E232="","",(N232+P232)*Precificação!$B$19)</f>
        <v/>
      </c>
      <c r="T232" s="30" t="str">
        <f aca="false">IF($E232="","",(O232+Q232)*Precificação!$B$20)</f>
        <v/>
      </c>
      <c r="U232" s="68" t="str">
        <f aca="false">IF($E232="","",IF($E232=INT($E232),0.01,IF($E232*2=INT($E232*2),0.02,0.05)))</f>
        <v/>
      </c>
      <c r="V232" s="30" t="str">
        <f aca="false">IF($E232="","",ROUND(S232/$E232/U232,0)*U232)</f>
        <v/>
      </c>
      <c r="W232" s="30" t="str">
        <f aca="false">IF($E232="","",ROUND(T232/$E232/U232,0)*U232)</f>
        <v/>
      </c>
      <c r="X232" s="14" t="str">
        <f aca="false">IF(NOT(ISNUMBER(E232)),"",IF(NOT(ISNUMBER(E233)),ROW(),X233))</f>
        <v/>
      </c>
    </row>
    <row r="233" customFormat="false" ht="15" hidden="false" customHeight="false" outlineLevel="0" collapsed="false">
      <c r="F233" s="66" t="str">
        <f aca="false">IF($E233="","",V233)</f>
        <v/>
      </c>
      <c r="G233" s="66" t="str">
        <f aca="false">IF($E233="","",ROUND(W233+IF($B233=Precificação!$B$26,$F$3/$E233,0),2))</f>
        <v/>
      </c>
      <c r="H233" s="30" t="str">
        <f aca="false">IF($E233="","",F233+G233)</f>
        <v/>
      </c>
      <c r="I233" s="30" t="str">
        <f aca="false">IF($E233="","",$E233*F233)</f>
        <v/>
      </c>
      <c r="J233" s="30" t="str">
        <f aca="false">IF($E233="","",$E233*G233)</f>
        <v/>
      </c>
      <c r="K233" s="30" t="str">
        <f aca="false">IF($E233="","",I233+J233)</f>
        <v/>
      </c>
      <c r="L233" s="53" t="str">
        <f aca="false">IF($E233="","",IF(R233=0,"SEM CUSTO — falta linha de custo","OK"))</f>
        <v/>
      </c>
      <c r="M233" s="67" t="str">
        <f aca="false">IF(AND(ISNUMBER(E233),NOT(ISNUMBER(E232))),"F"&amp;ROW()&amp;":G"&amp;X233,"")</f>
        <v/>
      </c>
      <c r="N233" s="30" t="str">
        <f aca="false">IF($E233="","",SUMIFS('Rateio Anexo'!$K$6:$K$600,'Rateio Anexo'!$D$6:$D$600,$B233,'Rateio Anexo'!$B$6:$B$600,"MAT"))</f>
        <v/>
      </c>
      <c r="O233" s="30" t="str">
        <f aca="false">IF($E233="","",SUMIFS('Rateio Anexo'!$K$6:$K$600,'Rateio Anexo'!$D$6:$D$600,$B233,'Rateio Anexo'!$B$6:$B$600,"MO"))</f>
        <v/>
      </c>
      <c r="P233" s="30" t="str">
        <f aca="false">IF($E233="","",IF($N$3=0,0,N233/$N$3*$R$4))</f>
        <v/>
      </c>
      <c r="Q233" s="30" t="str">
        <f aca="false">IF($E233="","",IF($O$3=0,0,O233/$O$3*$T$4))</f>
        <v/>
      </c>
      <c r="R233" s="30" t="str">
        <f aca="false">IF($E233="","",N233+O233+P233+Q233)</f>
        <v/>
      </c>
      <c r="S233" s="30" t="str">
        <f aca="false">IF($E233="","",(N233+P233)*Precificação!$B$19)</f>
        <v/>
      </c>
      <c r="T233" s="30" t="str">
        <f aca="false">IF($E233="","",(O233+Q233)*Precificação!$B$20)</f>
        <v/>
      </c>
      <c r="U233" s="68" t="str">
        <f aca="false">IF($E233="","",IF($E233=INT($E233),0.01,IF($E233*2=INT($E233*2),0.02,0.05)))</f>
        <v/>
      </c>
      <c r="V233" s="30" t="str">
        <f aca="false">IF($E233="","",ROUND(S233/$E233/U233,0)*U233)</f>
        <v/>
      </c>
      <c r="W233" s="30" t="str">
        <f aca="false">IF($E233="","",ROUND(T233/$E233/U233,0)*U233)</f>
        <v/>
      </c>
      <c r="X233" s="14" t="str">
        <f aca="false">IF(NOT(ISNUMBER(E233)),"",IF(NOT(ISNUMBER(E234)),ROW(),X234))</f>
        <v/>
      </c>
    </row>
    <row r="234" customFormat="false" ht="15" hidden="false" customHeight="false" outlineLevel="0" collapsed="false">
      <c r="F234" s="66" t="str">
        <f aca="false">IF($E234="","",V234)</f>
        <v/>
      </c>
      <c r="G234" s="66" t="str">
        <f aca="false">IF($E234="","",ROUND(W234+IF($B234=Precificação!$B$26,$F$3/$E234,0),2))</f>
        <v/>
      </c>
      <c r="H234" s="30" t="str">
        <f aca="false">IF($E234="","",F234+G234)</f>
        <v/>
      </c>
      <c r="I234" s="30" t="str">
        <f aca="false">IF($E234="","",$E234*F234)</f>
        <v/>
      </c>
      <c r="J234" s="30" t="str">
        <f aca="false">IF($E234="","",$E234*G234)</f>
        <v/>
      </c>
      <c r="K234" s="30" t="str">
        <f aca="false">IF($E234="","",I234+J234)</f>
        <v/>
      </c>
      <c r="L234" s="53" t="str">
        <f aca="false">IF($E234="","",IF(R234=0,"SEM CUSTO — falta linha de custo","OK"))</f>
        <v/>
      </c>
      <c r="M234" s="67" t="str">
        <f aca="false">IF(AND(ISNUMBER(E234),NOT(ISNUMBER(E233))),"F"&amp;ROW()&amp;":G"&amp;X234,"")</f>
        <v/>
      </c>
      <c r="N234" s="30" t="str">
        <f aca="false">IF($E234="","",SUMIFS('Rateio Anexo'!$K$6:$K$600,'Rateio Anexo'!$D$6:$D$600,$B234,'Rateio Anexo'!$B$6:$B$600,"MAT"))</f>
        <v/>
      </c>
      <c r="O234" s="30" t="str">
        <f aca="false">IF($E234="","",SUMIFS('Rateio Anexo'!$K$6:$K$600,'Rateio Anexo'!$D$6:$D$600,$B234,'Rateio Anexo'!$B$6:$B$600,"MO"))</f>
        <v/>
      </c>
      <c r="P234" s="30" t="str">
        <f aca="false">IF($E234="","",IF($N$3=0,0,N234/$N$3*$R$4))</f>
        <v/>
      </c>
      <c r="Q234" s="30" t="str">
        <f aca="false">IF($E234="","",IF($O$3=0,0,O234/$O$3*$T$4))</f>
        <v/>
      </c>
      <c r="R234" s="30" t="str">
        <f aca="false">IF($E234="","",N234+O234+P234+Q234)</f>
        <v/>
      </c>
      <c r="S234" s="30" t="str">
        <f aca="false">IF($E234="","",(N234+P234)*Precificação!$B$19)</f>
        <v/>
      </c>
      <c r="T234" s="30" t="str">
        <f aca="false">IF($E234="","",(O234+Q234)*Precificação!$B$20)</f>
        <v/>
      </c>
      <c r="U234" s="68" t="str">
        <f aca="false">IF($E234="","",IF($E234=INT($E234),0.01,IF($E234*2=INT($E234*2),0.02,0.05)))</f>
        <v/>
      </c>
      <c r="V234" s="30" t="str">
        <f aca="false">IF($E234="","",ROUND(S234/$E234/U234,0)*U234)</f>
        <v/>
      </c>
      <c r="W234" s="30" t="str">
        <f aca="false">IF($E234="","",ROUND(T234/$E234/U234,0)*U234)</f>
        <v/>
      </c>
      <c r="X234" s="14" t="str">
        <f aca="false">IF(NOT(ISNUMBER(E234)),"",IF(NOT(ISNUMBER(E235)),ROW(),X235))</f>
        <v/>
      </c>
    </row>
    <row r="235" customFormat="false" ht="15" hidden="false" customHeight="false" outlineLevel="0" collapsed="false">
      <c r="F235" s="66" t="str">
        <f aca="false">IF($E235="","",V235)</f>
        <v/>
      </c>
      <c r="G235" s="66" t="str">
        <f aca="false">IF($E235="","",ROUND(W235+IF($B235=Precificação!$B$26,$F$3/$E235,0),2))</f>
        <v/>
      </c>
      <c r="H235" s="30" t="str">
        <f aca="false">IF($E235="","",F235+G235)</f>
        <v/>
      </c>
      <c r="I235" s="30" t="str">
        <f aca="false">IF($E235="","",$E235*F235)</f>
        <v/>
      </c>
      <c r="J235" s="30" t="str">
        <f aca="false">IF($E235="","",$E235*G235)</f>
        <v/>
      </c>
      <c r="K235" s="30" t="str">
        <f aca="false">IF($E235="","",I235+J235)</f>
        <v/>
      </c>
      <c r="L235" s="53" t="str">
        <f aca="false">IF($E235="","",IF(R235=0,"SEM CUSTO — falta linha de custo","OK"))</f>
        <v/>
      </c>
      <c r="M235" s="67" t="str">
        <f aca="false">IF(AND(ISNUMBER(E235),NOT(ISNUMBER(E234))),"F"&amp;ROW()&amp;":G"&amp;X235,"")</f>
        <v/>
      </c>
      <c r="N235" s="30" t="str">
        <f aca="false">IF($E235="","",SUMIFS('Rateio Anexo'!$K$6:$K$600,'Rateio Anexo'!$D$6:$D$600,$B235,'Rateio Anexo'!$B$6:$B$600,"MAT"))</f>
        <v/>
      </c>
      <c r="O235" s="30" t="str">
        <f aca="false">IF($E235="","",SUMIFS('Rateio Anexo'!$K$6:$K$600,'Rateio Anexo'!$D$6:$D$600,$B235,'Rateio Anexo'!$B$6:$B$600,"MO"))</f>
        <v/>
      </c>
      <c r="P235" s="30" t="str">
        <f aca="false">IF($E235="","",IF($N$3=0,0,N235/$N$3*$R$4))</f>
        <v/>
      </c>
      <c r="Q235" s="30" t="str">
        <f aca="false">IF($E235="","",IF($O$3=0,0,O235/$O$3*$T$4))</f>
        <v/>
      </c>
      <c r="R235" s="30" t="str">
        <f aca="false">IF($E235="","",N235+O235+P235+Q235)</f>
        <v/>
      </c>
      <c r="S235" s="30" t="str">
        <f aca="false">IF($E235="","",(N235+P235)*Precificação!$B$19)</f>
        <v/>
      </c>
      <c r="T235" s="30" t="str">
        <f aca="false">IF($E235="","",(O235+Q235)*Precificação!$B$20)</f>
        <v/>
      </c>
      <c r="U235" s="68" t="str">
        <f aca="false">IF($E235="","",IF($E235=INT($E235),0.01,IF($E235*2=INT($E235*2),0.02,0.05)))</f>
        <v/>
      </c>
      <c r="V235" s="30" t="str">
        <f aca="false">IF($E235="","",ROUND(S235/$E235/U235,0)*U235)</f>
        <v/>
      </c>
      <c r="W235" s="30" t="str">
        <f aca="false">IF($E235="","",ROUND(T235/$E235/U235,0)*U235)</f>
        <v/>
      </c>
      <c r="X235" s="14" t="str">
        <f aca="false">IF(NOT(ISNUMBER(E235)),"",IF(NOT(ISNUMBER(E236)),ROW(),X236))</f>
        <v/>
      </c>
    </row>
    <row r="236" customFormat="false" ht="15" hidden="false" customHeight="false" outlineLevel="0" collapsed="false">
      <c r="F236" s="66" t="str">
        <f aca="false">IF($E236="","",V236)</f>
        <v/>
      </c>
      <c r="G236" s="66" t="str">
        <f aca="false">IF($E236="","",ROUND(W236+IF($B236=Precificação!$B$26,$F$3/$E236,0),2))</f>
        <v/>
      </c>
      <c r="H236" s="30" t="str">
        <f aca="false">IF($E236="","",F236+G236)</f>
        <v/>
      </c>
      <c r="I236" s="30" t="str">
        <f aca="false">IF($E236="","",$E236*F236)</f>
        <v/>
      </c>
      <c r="J236" s="30" t="str">
        <f aca="false">IF($E236="","",$E236*G236)</f>
        <v/>
      </c>
      <c r="K236" s="30" t="str">
        <f aca="false">IF($E236="","",I236+J236)</f>
        <v/>
      </c>
      <c r="L236" s="53" t="str">
        <f aca="false">IF($E236="","",IF(R236=0,"SEM CUSTO — falta linha de custo","OK"))</f>
        <v/>
      </c>
      <c r="M236" s="67" t="str">
        <f aca="false">IF(AND(ISNUMBER(E236),NOT(ISNUMBER(E235))),"F"&amp;ROW()&amp;":G"&amp;X236,"")</f>
        <v/>
      </c>
      <c r="N236" s="30" t="str">
        <f aca="false">IF($E236="","",SUMIFS('Rateio Anexo'!$K$6:$K$600,'Rateio Anexo'!$D$6:$D$600,$B236,'Rateio Anexo'!$B$6:$B$600,"MAT"))</f>
        <v/>
      </c>
      <c r="O236" s="30" t="str">
        <f aca="false">IF($E236="","",SUMIFS('Rateio Anexo'!$K$6:$K$600,'Rateio Anexo'!$D$6:$D$600,$B236,'Rateio Anexo'!$B$6:$B$600,"MO"))</f>
        <v/>
      </c>
      <c r="P236" s="30" t="str">
        <f aca="false">IF($E236="","",IF($N$3=0,0,N236/$N$3*$R$4))</f>
        <v/>
      </c>
      <c r="Q236" s="30" t="str">
        <f aca="false">IF($E236="","",IF($O$3=0,0,O236/$O$3*$T$4))</f>
        <v/>
      </c>
      <c r="R236" s="30" t="str">
        <f aca="false">IF($E236="","",N236+O236+P236+Q236)</f>
        <v/>
      </c>
      <c r="S236" s="30" t="str">
        <f aca="false">IF($E236="","",(N236+P236)*Precificação!$B$19)</f>
        <v/>
      </c>
      <c r="T236" s="30" t="str">
        <f aca="false">IF($E236="","",(O236+Q236)*Precificação!$B$20)</f>
        <v/>
      </c>
      <c r="U236" s="68" t="str">
        <f aca="false">IF($E236="","",IF($E236=INT($E236),0.01,IF($E236*2=INT($E236*2),0.02,0.05)))</f>
        <v/>
      </c>
      <c r="V236" s="30" t="str">
        <f aca="false">IF($E236="","",ROUND(S236/$E236/U236,0)*U236)</f>
        <v/>
      </c>
      <c r="W236" s="30" t="str">
        <f aca="false">IF($E236="","",ROUND(T236/$E236/U236,0)*U236)</f>
        <v/>
      </c>
      <c r="X236" s="14" t="str">
        <f aca="false">IF(NOT(ISNUMBER(E236)),"",IF(NOT(ISNUMBER(E237)),ROW(),X237))</f>
        <v/>
      </c>
    </row>
    <row r="237" customFormat="false" ht="15" hidden="false" customHeight="false" outlineLevel="0" collapsed="false">
      <c r="F237" s="66" t="str">
        <f aca="false">IF($E237="","",V237)</f>
        <v/>
      </c>
      <c r="G237" s="66" t="str">
        <f aca="false">IF($E237="","",ROUND(W237+IF($B237=Precificação!$B$26,$F$3/$E237,0),2))</f>
        <v/>
      </c>
      <c r="H237" s="30" t="str">
        <f aca="false">IF($E237="","",F237+G237)</f>
        <v/>
      </c>
      <c r="I237" s="30" t="str">
        <f aca="false">IF($E237="","",$E237*F237)</f>
        <v/>
      </c>
      <c r="J237" s="30" t="str">
        <f aca="false">IF($E237="","",$E237*G237)</f>
        <v/>
      </c>
      <c r="K237" s="30" t="str">
        <f aca="false">IF($E237="","",I237+J237)</f>
        <v/>
      </c>
      <c r="L237" s="53" t="str">
        <f aca="false">IF($E237="","",IF(R237=0,"SEM CUSTO — falta linha de custo","OK"))</f>
        <v/>
      </c>
      <c r="M237" s="67" t="str">
        <f aca="false">IF(AND(ISNUMBER(E237),NOT(ISNUMBER(E236))),"F"&amp;ROW()&amp;":G"&amp;X237,"")</f>
        <v/>
      </c>
      <c r="N237" s="30" t="str">
        <f aca="false">IF($E237="","",SUMIFS('Rateio Anexo'!$K$6:$K$600,'Rateio Anexo'!$D$6:$D$600,$B237,'Rateio Anexo'!$B$6:$B$600,"MAT"))</f>
        <v/>
      </c>
      <c r="O237" s="30" t="str">
        <f aca="false">IF($E237="","",SUMIFS('Rateio Anexo'!$K$6:$K$600,'Rateio Anexo'!$D$6:$D$600,$B237,'Rateio Anexo'!$B$6:$B$600,"MO"))</f>
        <v/>
      </c>
      <c r="P237" s="30" t="str">
        <f aca="false">IF($E237="","",IF($N$3=0,0,N237/$N$3*$R$4))</f>
        <v/>
      </c>
      <c r="Q237" s="30" t="str">
        <f aca="false">IF($E237="","",IF($O$3=0,0,O237/$O$3*$T$4))</f>
        <v/>
      </c>
      <c r="R237" s="30" t="str">
        <f aca="false">IF($E237="","",N237+O237+P237+Q237)</f>
        <v/>
      </c>
      <c r="S237" s="30" t="str">
        <f aca="false">IF($E237="","",(N237+P237)*Precificação!$B$19)</f>
        <v/>
      </c>
      <c r="T237" s="30" t="str">
        <f aca="false">IF($E237="","",(O237+Q237)*Precificação!$B$20)</f>
        <v/>
      </c>
      <c r="U237" s="68" t="str">
        <f aca="false">IF($E237="","",IF($E237=INT($E237),0.01,IF($E237*2=INT($E237*2),0.02,0.05)))</f>
        <v/>
      </c>
      <c r="V237" s="30" t="str">
        <f aca="false">IF($E237="","",ROUND(S237/$E237/U237,0)*U237)</f>
        <v/>
      </c>
      <c r="W237" s="30" t="str">
        <f aca="false">IF($E237="","",ROUND(T237/$E237/U237,0)*U237)</f>
        <v/>
      </c>
      <c r="X237" s="14" t="str">
        <f aca="false">IF(NOT(ISNUMBER(E237)),"",IF(NOT(ISNUMBER(E238)),ROW(),X238))</f>
        <v/>
      </c>
    </row>
    <row r="238" customFormat="false" ht="15" hidden="false" customHeight="false" outlineLevel="0" collapsed="false">
      <c r="F238" s="66" t="str">
        <f aca="false">IF($E238="","",V238)</f>
        <v/>
      </c>
      <c r="G238" s="66" t="str">
        <f aca="false">IF($E238="","",ROUND(W238+IF($B238=Precificação!$B$26,$F$3/$E238,0),2))</f>
        <v/>
      </c>
      <c r="H238" s="30" t="str">
        <f aca="false">IF($E238="","",F238+G238)</f>
        <v/>
      </c>
      <c r="I238" s="30" t="str">
        <f aca="false">IF($E238="","",$E238*F238)</f>
        <v/>
      </c>
      <c r="J238" s="30" t="str">
        <f aca="false">IF($E238="","",$E238*G238)</f>
        <v/>
      </c>
      <c r="K238" s="30" t="str">
        <f aca="false">IF($E238="","",I238+J238)</f>
        <v/>
      </c>
      <c r="L238" s="53" t="str">
        <f aca="false">IF($E238="","",IF(R238=0,"SEM CUSTO — falta linha de custo","OK"))</f>
        <v/>
      </c>
      <c r="M238" s="67" t="str">
        <f aca="false">IF(AND(ISNUMBER(E238),NOT(ISNUMBER(E237))),"F"&amp;ROW()&amp;":G"&amp;X238,"")</f>
        <v/>
      </c>
      <c r="N238" s="30" t="str">
        <f aca="false">IF($E238="","",SUMIFS('Rateio Anexo'!$K$6:$K$600,'Rateio Anexo'!$D$6:$D$600,$B238,'Rateio Anexo'!$B$6:$B$600,"MAT"))</f>
        <v/>
      </c>
      <c r="O238" s="30" t="str">
        <f aca="false">IF($E238="","",SUMIFS('Rateio Anexo'!$K$6:$K$600,'Rateio Anexo'!$D$6:$D$600,$B238,'Rateio Anexo'!$B$6:$B$600,"MO"))</f>
        <v/>
      </c>
      <c r="P238" s="30" t="str">
        <f aca="false">IF($E238="","",IF($N$3=0,0,N238/$N$3*$R$4))</f>
        <v/>
      </c>
      <c r="Q238" s="30" t="str">
        <f aca="false">IF($E238="","",IF($O$3=0,0,O238/$O$3*$T$4))</f>
        <v/>
      </c>
      <c r="R238" s="30" t="str">
        <f aca="false">IF($E238="","",N238+O238+P238+Q238)</f>
        <v/>
      </c>
      <c r="S238" s="30" t="str">
        <f aca="false">IF($E238="","",(N238+P238)*Precificação!$B$19)</f>
        <v/>
      </c>
      <c r="T238" s="30" t="str">
        <f aca="false">IF($E238="","",(O238+Q238)*Precificação!$B$20)</f>
        <v/>
      </c>
      <c r="U238" s="68" t="str">
        <f aca="false">IF($E238="","",IF($E238=INT($E238),0.01,IF($E238*2=INT($E238*2),0.02,0.05)))</f>
        <v/>
      </c>
      <c r="V238" s="30" t="str">
        <f aca="false">IF($E238="","",ROUND(S238/$E238/U238,0)*U238)</f>
        <v/>
      </c>
      <c r="W238" s="30" t="str">
        <f aca="false">IF($E238="","",ROUND(T238/$E238/U238,0)*U238)</f>
        <v/>
      </c>
      <c r="X238" s="14" t="str">
        <f aca="false">IF(NOT(ISNUMBER(E238)),"",IF(NOT(ISNUMBER(E239)),ROW(),X239))</f>
        <v/>
      </c>
    </row>
    <row r="239" customFormat="false" ht="15" hidden="false" customHeight="false" outlineLevel="0" collapsed="false">
      <c r="F239" s="66" t="str">
        <f aca="false">IF($E239="","",V239)</f>
        <v/>
      </c>
      <c r="G239" s="66" t="str">
        <f aca="false">IF($E239="","",ROUND(W239+IF($B239=Precificação!$B$26,$F$3/$E239,0),2))</f>
        <v/>
      </c>
      <c r="H239" s="30" t="str">
        <f aca="false">IF($E239="","",F239+G239)</f>
        <v/>
      </c>
      <c r="I239" s="30" t="str">
        <f aca="false">IF($E239="","",$E239*F239)</f>
        <v/>
      </c>
      <c r="J239" s="30" t="str">
        <f aca="false">IF($E239="","",$E239*G239)</f>
        <v/>
      </c>
      <c r="K239" s="30" t="str">
        <f aca="false">IF($E239="","",I239+J239)</f>
        <v/>
      </c>
      <c r="L239" s="53" t="str">
        <f aca="false">IF($E239="","",IF(R239=0,"SEM CUSTO — falta linha de custo","OK"))</f>
        <v/>
      </c>
      <c r="M239" s="67" t="str">
        <f aca="false">IF(AND(ISNUMBER(E239),NOT(ISNUMBER(E238))),"F"&amp;ROW()&amp;":G"&amp;X239,"")</f>
        <v/>
      </c>
      <c r="N239" s="30" t="str">
        <f aca="false">IF($E239="","",SUMIFS('Rateio Anexo'!$K$6:$K$600,'Rateio Anexo'!$D$6:$D$600,$B239,'Rateio Anexo'!$B$6:$B$600,"MAT"))</f>
        <v/>
      </c>
      <c r="O239" s="30" t="str">
        <f aca="false">IF($E239="","",SUMIFS('Rateio Anexo'!$K$6:$K$600,'Rateio Anexo'!$D$6:$D$600,$B239,'Rateio Anexo'!$B$6:$B$600,"MO"))</f>
        <v/>
      </c>
      <c r="P239" s="30" t="str">
        <f aca="false">IF($E239="","",IF($N$3=0,0,N239/$N$3*$R$4))</f>
        <v/>
      </c>
      <c r="Q239" s="30" t="str">
        <f aca="false">IF($E239="","",IF($O$3=0,0,O239/$O$3*$T$4))</f>
        <v/>
      </c>
      <c r="R239" s="30" t="str">
        <f aca="false">IF($E239="","",N239+O239+P239+Q239)</f>
        <v/>
      </c>
      <c r="S239" s="30" t="str">
        <f aca="false">IF($E239="","",(N239+P239)*Precificação!$B$19)</f>
        <v/>
      </c>
      <c r="T239" s="30" t="str">
        <f aca="false">IF($E239="","",(O239+Q239)*Precificação!$B$20)</f>
        <v/>
      </c>
      <c r="U239" s="68" t="str">
        <f aca="false">IF($E239="","",IF($E239=INT($E239),0.01,IF($E239*2=INT($E239*2),0.02,0.05)))</f>
        <v/>
      </c>
      <c r="V239" s="30" t="str">
        <f aca="false">IF($E239="","",ROUND(S239/$E239/U239,0)*U239)</f>
        <v/>
      </c>
      <c r="W239" s="30" t="str">
        <f aca="false">IF($E239="","",ROUND(T239/$E239/U239,0)*U239)</f>
        <v/>
      </c>
      <c r="X239" s="14" t="str">
        <f aca="false">IF(NOT(ISNUMBER(E239)),"",IF(NOT(ISNUMBER(E240)),ROW(),X240))</f>
        <v/>
      </c>
    </row>
    <row r="240" customFormat="false" ht="15" hidden="false" customHeight="false" outlineLevel="0" collapsed="false">
      <c r="F240" s="66" t="str">
        <f aca="false">IF($E240="","",V240)</f>
        <v/>
      </c>
      <c r="G240" s="66" t="str">
        <f aca="false">IF($E240="","",ROUND(W240+IF($B240=Precificação!$B$26,$F$3/$E240,0),2))</f>
        <v/>
      </c>
      <c r="H240" s="30" t="str">
        <f aca="false">IF($E240="","",F240+G240)</f>
        <v/>
      </c>
      <c r="I240" s="30" t="str">
        <f aca="false">IF($E240="","",$E240*F240)</f>
        <v/>
      </c>
      <c r="J240" s="30" t="str">
        <f aca="false">IF($E240="","",$E240*G240)</f>
        <v/>
      </c>
      <c r="K240" s="30" t="str">
        <f aca="false">IF($E240="","",I240+J240)</f>
        <v/>
      </c>
      <c r="L240" s="53" t="str">
        <f aca="false">IF($E240="","",IF(R240=0,"SEM CUSTO — falta linha de custo","OK"))</f>
        <v/>
      </c>
      <c r="M240" s="67" t="str">
        <f aca="false">IF(AND(ISNUMBER(E240),NOT(ISNUMBER(E239))),"F"&amp;ROW()&amp;":G"&amp;X240,"")</f>
        <v/>
      </c>
      <c r="N240" s="30" t="str">
        <f aca="false">IF($E240="","",SUMIFS('Rateio Anexo'!$K$6:$K$600,'Rateio Anexo'!$D$6:$D$600,$B240,'Rateio Anexo'!$B$6:$B$600,"MAT"))</f>
        <v/>
      </c>
      <c r="O240" s="30" t="str">
        <f aca="false">IF($E240="","",SUMIFS('Rateio Anexo'!$K$6:$K$600,'Rateio Anexo'!$D$6:$D$600,$B240,'Rateio Anexo'!$B$6:$B$600,"MO"))</f>
        <v/>
      </c>
      <c r="P240" s="30" t="str">
        <f aca="false">IF($E240="","",IF($N$3=0,0,N240/$N$3*$R$4))</f>
        <v/>
      </c>
      <c r="Q240" s="30" t="str">
        <f aca="false">IF($E240="","",IF($O$3=0,0,O240/$O$3*$T$4))</f>
        <v/>
      </c>
      <c r="R240" s="30" t="str">
        <f aca="false">IF($E240="","",N240+O240+P240+Q240)</f>
        <v/>
      </c>
      <c r="S240" s="30" t="str">
        <f aca="false">IF($E240="","",(N240+P240)*Precificação!$B$19)</f>
        <v/>
      </c>
      <c r="T240" s="30" t="str">
        <f aca="false">IF($E240="","",(O240+Q240)*Precificação!$B$20)</f>
        <v/>
      </c>
      <c r="U240" s="68" t="str">
        <f aca="false">IF($E240="","",IF($E240=INT($E240),0.01,IF($E240*2=INT($E240*2),0.02,0.05)))</f>
        <v/>
      </c>
      <c r="V240" s="30" t="str">
        <f aca="false">IF($E240="","",ROUND(S240/$E240/U240,0)*U240)</f>
        <v/>
      </c>
      <c r="W240" s="30" t="str">
        <f aca="false">IF($E240="","",ROUND(T240/$E240/U240,0)*U240)</f>
        <v/>
      </c>
      <c r="X240" s="14" t="str">
        <f aca="false">IF(NOT(ISNUMBER(E240)),"",IF(NOT(ISNUMBER(E241)),ROW(),X241))</f>
        <v/>
      </c>
    </row>
    <row r="241" customFormat="false" ht="15" hidden="false" customHeight="false" outlineLevel="0" collapsed="false">
      <c r="F241" s="66" t="str">
        <f aca="false">IF($E241="","",V241)</f>
        <v/>
      </c>
      <c r="G241" s="66" t="str">
        <f aca="false">IF($E241="","",ROUND(W241+IF($B241=Precificação!$B$26,$F$3/$E241,0),2))</f>
        <v/>
      </c>
      <c r="H241" s="30" t="str">
        <f aca="false">IF($E241="","",F241+G241)</f>
        <v/>
      </c>
      <c r="I241" s="30" t="str">
        <f aca="false">IF($E241="","",$E241*F241)</f>
        <v/>
      </c>
      <c r="J241" s="30" t="str">
        <f aca="false">IF($E241="","",$E241*G241)</f>
        <v/>
      </c>
      <c r="K241" s="30" t="str">
        <f aca="false">IF($E241="","",I241+J241)</f>
        <v/>
      </c>
      <c r="L241" s="53" t="str">
        <f aca="false">IF($E241="","",IF(R241=0,"SEM CUSTO — falta linha de custo","OK"))</f>
        <v/>
      </c>
      <c r="M241" s="67" t="str">
        <f aca="false">IF(AND(ISNUMBER(E241),NOT(ISNUMBER(E240))),"F"&amp;ROW()&amp;":G"&amp;X241,"")</f>
        <v/>
      </c>
      <c r="N241" s="30" t="str">
        <f aca="false">IF($E241="","",SUMIFS('Rateio Anexo'!$K$6:$K$600,'Rateio Anexo'!$D$6:$D$600,$B241,'Rateio Anexo'!$B$6:$B$600,"MAT"))</f>
        <v/>
      </c>
      <c r="O241" s="30" t="str">
        <f aca="false">IF($E241="","",SUMIFS('Rateio Anexo'!$K$6:$K$600,'Rateio Anexo'!$D$6:$D$600,$B241,'Rateio Anexo'!$B$6:$B$600,"MO"))</f>
        <v/>
      </c>
      <c r="P241" s="30" t="str">
        <f aca="false">IF($E241="","",IF($N$3=0,0,N241/$N$3*$R$4))</f>
        <v/>
      </c>
      <c r="Q241" s="30" t="str">
        <f aca="false">IF($E241="","",IF($O$3=0,0,O241/$O$3*$T$4))</f>
        <v/>
      </c>
      <c r="R241" s="30" t="str">
        <f aca="false">IF($E241="","",N241+O241+P241+Q241)</f>
        <v/>
      </c>
      <c r="S241" s="30" t="str">
        <f aca="false">IF($E241="","",(N241+P241)*Precificação!$B$19)</f>
        <v/>
      </c>
      <c r="T241" s="30" t="str">
        <f aca="false">IF($E241="","",(O241+Q241)*Precificação!$B$20)</f>
        <v/>
      </c>
      <c r="U241" s="68" t="str">
        <f aca="false">IF($E241="","",IF($E241=INT($E241),0.01,IF($E241*2=INT($E241*2),0.02,0.05)))</f>
        <v/>
      </c>
      <c r="V241" s="30" t="str">
        <f aca="false">IF($E241="","",ROUND(S241/$E241/U241,0)*U241)</f>
        <v/>
      </c>
      <c r="W241" s="30" t="str">
        <f aca="false">IF($E241="","",ROUND(T241/$E241/U241,0)*U241)</f>
        <v/>
      </c>
      <c r="X241" s="14" t="str">
        <f aca="false">IF(NOT(ISNUMBER(E241)),"",IF(NOT(ISNUMBER(E242)),ROW(),X242))</f>
        <v/>
      </c>
    </row>
    <row r="242" customFormat="false" ht="15" hidden="false" customHeight="false" outlineLevel="0" collapsed="false">
      <c r="F242" s="66" t="str">
        <f aca="false">IF($E242="","",V242)</f>
        <v/>
      </c>
      <c r="G242" s="66" t="str">
        <f aca="false">IF($E242="","",ROUND(W242+IF($B242=Precificação!$B$26,$F$3/$E242,0),2))</f>
        <v/>
      </c>
      <c r="H242" s="30" t="str">
        <f aca="false">IF($E242="","",F242+G242)</f>
        <v/>
      </c>
      <c r="I242" s="30" t="str">
        <f aca="false">IF($E242="","",$E242*F242)</f>
        <v/>
      </c>
      <c r="J242" s="30" t="str">
        <f aca="false">IF($E242="","",$E242*G242)</f>
        <v/>
      </c>
      <c r="K242" s="30" t="str">
        <f aca="false">IF($E242="","",I242+J242)</f>
        <v/>
      </c>
      <c r="L242" s="53" t="str">
        <f aca="false">IF($E242="","",IF(R242=0,"SEM CUSTO — falta linha de custo","OK"))</f>
        <v/>
      </c>
      <c r="M242" s="67" t="str">
        <f aca="false">IF(AND(ISNUMBER(E242),NOT(ISNUMBER(E241))),"F"&amp;ROW()&amp;":G"&amp;X242,"")</f>
        <v/>
      </c>
      <c r="N242" s="30" t="str">
        <f aca="false">IF($E242="","",SUMIFS('Rateio Anexo'!$K$6:$K$600,'Rateio Anexo'!$D$6:$D$600,$B242,'Rateio Anexo'!$B$6:$B$600,"MAT"))</f>
        <v/>
      </c>
      <c r="O242" s="30" t="str">
        <f aca="false">IF($E242="","",SUMIFS('Rateio Anexo'!$K$6:$K$600,'Rateio Anexo'!$D$6:$D$600,$B242,'Rateio Anexo'!$B$6:$B$600,"MO"))</f>
        <v/>
      </c>
      <c r="P242" s="30" t="str">
        <f aca="false">IF($E242="","",IF($N$3=0,0,N242/$N$3*$R$4))</f>
        <v/>
      </c>
      <c r="Q242" s="30" t="str">
        <f aca="false">IF($E242="","",IF($O$3=0,0,O242/$O$3*$T$4))</f>
        <v/>
      </c>
      <c r="R242" s="30" t="str">
        <f aca="false">IF($E242="","",N242+O242+P242+Q242)</f>
        <v/>
      </c>
      <c r="S242" s="30" t="str">
        <f aca="false">IF($E242="","",(N242+P242)*Precificação!$B$19)</f>
        <v/>
      </c>
      <c r="T242" s="30" t="str">
        <f aca="false">IF($E242="","",(O242+Q242)*Precificação!$B$20)</f>
        <v/>
      </c>
      <c r="U242" s="68" t="str">
        <f aca="false">IF($E242="","",IF($E242=INT($E242),0.01,IF($E242*2=INT($E242*2),0.02,0.05)))</f>
        <v/>
      </c>
      <c r="V242" s="30" t="str">
        <f aca="false">IF($E242="","",ROUND(S242/$E242/U242,0)*U242)</f>
        <v/>
      </c>
      <c r="W242" s="30" t="str">
        <f aca="false">IF($E242="","",ROUND(T242/$E242/U242,0)*U242)</f>
        <v/>
      </c>
      <c r="X242" s="14" t="str">
        <f aca="false">IF(NOT(ISNUMBER(E242)),"",IF(NOT(ISNUMBER(E243)),ROW(),X243))</f>
        <v/>
      </c>
    </row>
    <row r="243" customFormat="false" ht="15" hidden="false" customHeight="false" outlineLevel="0" collapsed="false">
      <c r="F243" s="66" t="str">
        <f aca="false">IF($E243="","",V243)</f>
        <v/>
      </c>
      <c r="G243" s="66" t="str">
        <f aca="false">IF($E243="","",ROUND(W243+IF($B243=Precificação!$B$26,$F$3/$E243,0),2))</f>
        <v/>
      </c>
      <c r="H243" s="30" t="str">
        <f aca="false">IF($E243="","",F243+G243)</f>
        <v/>
      </c>
      <c r="I243" s="30" t="str">
        <f aca="false">IF($E243="","",$E243*F243)</f>
        <v/>
      </c>
      <c r="J243" s="30" t="str">
        <f aca="false">IF($E243="","",$E243*G243)</f>
        <v/>
      </c>
      <c r="K243" s="30" t="str">
        <f aca="false">IF($E243="","",I243+J243)</f>
        <v/>
      </c>
      <c r="L243" s="53" t="str">
        <f aca="false">IF($E243="","",IF(R243=0,"SEM CUSTO — falta linha de custo","OK"))</f>
        <v/>
      </c>
      <c r="M243" s="67" t="str">
        <f aca="false">IF(AND(ISNUMBER(E243),NOT(ISNUMBER(E242))),"F"&amp;ROW()&amp;":G"&amp;X243,"")</f>
        <v/>
      </c>
      <c r="N243" s="30" t="str">
        <f aca="false">IF($E243="","",SUMIFS('Rateio Anexo'!$K$6:$K$600,'Rateio Anexo'!$D$6:$D$600,$B243,'Rateio Anexo'!$B$6:$B$600,"MAT"))</f>
        <v/>
      </c>
      <c r="O243" s="30" t="str">
        <f aca="false">IF($E243="","",SUMIFS('Rateio Anexo'!$K$6:$K$600,'Rateio Anexo'!$D$6:$D$600,$B243,'Rateio Anexo'!$B$6:$B$600,"MO"))</f>
        <v/>
      </c>
      <c r="P243" s="30" t="str">
        <f aca="false">IF($E243="","",IF($N$3=0,0,N243/$N$3*$R$4))</f>
        <v/>
      </c>
      <c r="Q243" s="30" t="str">
        <f aca="false">IF($E243="","",IF($O$3=0,0,O243/$O$3*$T$4))</f>
        <v/>
      </c>
      <c r="R243" s="30" t="str">
        <f aca="false">IF($E243="","",N243+O243+P243+Q243)</f>
        <v/>
      </c>
      <c r="S243" s="30" t="str">
        <f aca="false">IF($E243="","",(N243+P243)*Precificação!$B$19)</f>
        <v/>
      </c>
      <c r="T243" s="30" t="str">
        <f aca="false">IF($E243="","",(O243+Q243)*Precificação!$B$20)</f>
        <v/>
      </c>
      <c r="U243" s="68" t="str">
        <f aca="false">IF($E243="","",IF($E243=INT($E243),0.01,IF($E243*2=INT($E243*2),0.02,0.05)))</f>
        <v/>
      </c>
      <c r="V243" s="30" t="str">
        <f aca="false">IF($E243="","",ROUND(S243/$E243/U243,0)*U243)</f>
        <v/>
      </c>
      <c r="W243" s="30" t="str">
        <f aca="false">IF($E243="","",ROUND(T243/$E243/U243,0)*U243)</f>
        <v/>
      </c>
      <c r="X243" s="14" t="str">
        <f aca="false">IF(NOT(ISNUMBER(E243)),"",IF(NOT(ISNUMBER(E244)),ROW(),X244))</f>
        <v/>
      </c>
    </row>
    <row r="244" customFormat="false" ht="15" hidden="false" customHeight="false" outlineLevel="0" collapsed="false">
      <c r="F244" s="66" t="str">
        <f aca="false">IF($E244="","",V244)</f>
        <v/>
      </c>
      <c r="G244" s="66" t="str">
        <f aca="false">IF($E244="","",ROUND(W244+IF($B244=Precificação!$B$26,$F$3/$E244,0),2))</f>
        <v/>
      </c>
      <c r="H244" s="30" t="str">
        <f aca="false">IF($E244="","",F244+G244)</f>
        <v/>
      </c>
      <c r="I244" s="30" t="str">
        <f aca="false">IF($E244="","",$E244*F244)</f>
        <v/>
      </c>
      <c r="J244" s="30" t="str">
        <f aca="false">IF($E244="","",$E244*G244)</f>
        <v/>
      </c>
      <c r="K244" s="30" t="str">
        <f aca="false">IF($E244="","",I244+J244)</f>
        <v/>
      </c>
      <c r="L244" s="53" t="str">
        <f aca="false">IF($E244="","",IF(R244=0,"SEM CUSTO — falta linha de custo","OK"))</f>
        <v/>
      </c>
      <c r="M244" s="67" t="str">
        <f aca="false">IF(AND(ISNUMBER(E244),NOT(ISNUMBER(E243))),"F"&amp;ROW()&amp;":G"&amp;X244,"")</f>
        <v/>
      </c>
      <c r="N244" s="30" t="str">
        <f aca="false">IF($E244="","",SUMIFS('Rateio Anexo'!$K$6:$K$600,'Rateio Anexo'!$D$6:$D$600,$B244,'Rateio Anexo'!$B$6:$B$600,"MAT"))</f>
        <v/>
      </c>
      <c r="O244" s="30" t="str">
        <f aca="false">IF($E244="","",SUMIFS('Rateio Anexo'!$K$6:$K$600,'Rateio Anexo'!$D$6:$D$600,$B244,'Rateio Anexo'!$B$6:$B$600,"MO"))</f>
        <v/>
      </c>
      <c r="P244" s="30" t="str">
        <f aca="false">IF($E244="","",IF($N$3=0,0,N244/$N$3*$R$4))</f>
        <v/>
      </c>
      <c r="Q244" s="30" t="str">
        <f aca="false">IF($E244="","",IF($O$3=0,0,O244/$O$3*$T$4))</f>
        <v/>
      </c>
      <c r="R244" s="30" t="str">
        <f aca="false">IF($E244="","",N244+O244+P244+Q244)</f>
        <v/>
      </c>
      <c r="S244" s="30" t="str">
        <f aca="false">IF($E244="","",(N244+P244)*Precificação!$B$19)</f>
        <v/>
      </c>
      <c r="T244" s="30" t="str">
        <f aca="false">IF($E244="","",(O244+Q244)*Precificação!$B$20)</f>
        <v/>
      </c>
      <c r="U244" s="68" t="str">
        <f aca="false">IF($E244="","",IF($E244=INT($E244),0.01,IF($E244*2=INT($E244*2),0.02,0.05)))</f>
        <v/>
      </c>
      <c r="V244" s="30" t="str">
        <f aca="false">IF($E244="","",ROUND(S244/$E244/U244,0)*U244)</f>
        <v/>
      </c>
      <c r="W244" s="30" t="str">
        <f aca="false">IF($E244="","",ROUND(T244/$E244/U244,0)*U244)</f>
        <v/>
      </c>
      <c r="X244" s="14" t="str">
        <f aca="false">IF(NOT(ISNUMBER(E244)),"",IF(NOT(ISNUMBER(E245)),ROW(),X245))</f>
        <v/>
      </c>
    </row>
    <row r="245" customFormat="false" ht="15" hidden="false" customHeight="false" outlineLevel="0" collapsed="false">
      <c r="F245" s="66" t="str">
        <f aca="false">IF($E245="","",V245)</f>
        <v/>
      </c>
      <c r="G245" s="66" t="str">
        <f aca="false">IF($E245="","",ROUND(W245+IF($B245=Precificação!$B$26,$F$3/$E245,0),2))</f>
        <v/>
      </c>
      <c r="H245" s="30" t="str">
        <f aca="false">IF($E245="","",F245+G245)</f>
        <v/>
      </c>
      <c r="I245" s="30" t="str">
        <f aca="false">IF($E245="","",$E245*F245)</f>
        <v/>
      </c>
      <c r="J245" s="30" t="str">
        <f aca="false">IF($E245="","",$E245*G245)</f>
        <v/>
      </c>
      <c r="K245" s="30" t="str">
        <f aca="false">IF($E245="","",I245+J245)</f>
        <v/>
      </c>
      <c r="L245" s="53" t="str">
        <f aca="false">IF($E245="","",IF(R245=0,"SEM CUSTO — falta linha de custo","OK"))</f>
        <v/>
      </c>
      <c r="M245" s="67" t="str">
        <f aca="false">IF(AND(ISNUMBER(E245),NOT(ISNUMBER(E244))),"F"&amp;ROW()&amp;":G"&amp;X245,"")</f>
        <v/>
      </c>
      <c r="N245" s="30" t="str">
        <f aca="false">IF($E245="","",SUMIFS('Rateio Anexo'!$K$6:$K$600,'Rateio Anexo'!$D$6:$D$600,$B245,'Rateio Anexo'!$B$6:$B$600,"MAT"))</f>
        <v/>
      </c>
      <c r="O245" s="30" t="str">
        <f aca="false">IF($E245="","",SUMIFS('Rateio Anexo'!$K$6:$K$600,'Rateio Anexo'!$D$6:$D$600,$B245,'Rateio Anexo'!$B$6:$B$600,"MO"))</f>
        <v/>
      </c>
      <c r="P245" s="30" t="str">
        <f aca="false">IF($E245="","",IF($N$3=0,0,N245/$N$3*$R$4))</f>
        <v/>
      </c>
      <c r="Q245" s="30" t="str">
        <f aca="false">IF($E245="","",IF($O$3=0,0,O245/$O$3*$T$4))</f>
        <v/>
      </c>
      <c r="R245" s="30" t="str">
        <f aca="false">IF($E245="","",N245+O245+P245+Q245)</f>
        <v/>
      </c>
      <c r="S245" s="30" t="str">
        <f aca="false">IF($E245="","",(N245+P245)*Precificação!$B$19)</f>
        <v/>
      </c>
      <c r="T245" s="30" t="str">
        <f aca="false">IF($E245="","",(O245+Q245)*Precificação!$B$20)</f>
        <v/>
      </c>
      <c r="U245" s="68" t="str">
        <f aca="false">IF($E245="","",IF($E245=INT($E245),0.01,IF($E245*2=INT($E245*2),0.02,0.05)))</f>
        <v/>
      </c>
      <c r="V245" s="30" t="str">
        <f aca="false">IF($E245="","",ROUND(S245/$E245/U245,0)*U245)</f>
        <v/>
      </c>
      <c r="W245" s="30" t="str">
        <f aca="false">IF($E245="","",ROUND(T245/$E245/U245,0)*U245)</f>
        <v/>
      </c>
      <c r="X245" s="14" t="str">
        <f aca="false">IF(NOT(ISNUMBER(E245)),"",IF(NOT(ISNUMBER(E246)),ROW(),X246))</f>
        <v/>
      </c>
    </row>
    <row r="246" customFormat="false" ht="15" hidden="false" customHeight="false" outlineLevel="0" collapsed="false">
      <c r="F246" s="66" t="str">
        <f aca="false">IF($E246="","",V246)</f>
        <v/>
      </c>
      <c r="G246" s="66" t="str">
        <f aca="false">IF($E246="","",ROUND(W246+IF($B246=Precificação!$B$26,$F$3/$E246,0),2))</f>
        <v/>
      </c>
      <c r="H246" s="30" t="str">
        <f aca="false">IF($E246="","",F246+G246)</f>
        <v/>
      </c>
      <c r="I246" s="30" t="str">
        <f aca="false">IF($E246="","",$E246*F246)</f>
        <v/>
      </c>
      <c r="J246" s="30" t="str">
        <f aca="false">IF($E246="","",$E246*G246)</f>
        <v/>
      </c>
      <c r="K246" s="30" t="str">
        <f aca="false">IF($E246="","",I246+J246)</f>
        <v/>
      </c>
      <c r="L246" s="53" t="str">
        <f aca="false">IF($E246="","",IF(R246=0,"SEM CUSTO — falta linha de custo","OK"))</f>
        <v/>
      </c>
      <c r="M246" s="67" t="str">
        <f aca="false">IF(AND(ISNUMBER(E246),NOT(ISNUMBER(E245))),"F"&amp;ROW()&amp;":G"&amp;X246,"")</f>
        <v/>
      </c>
      <c r="N246" s="30" t="str">
        <f aca="false">IF($E246="","",SUMIFS('Rateio Anexo'!$K$6:$K$600,'Rateio Anexo'!$D$6:$D$600,$B246,'Rateio Anexo'!$B$6:$B$600,"MAT"))</f>
        <v/>
      </c>
      <c r="O246" s="30" t="str">
        <f aca="false">IF($E246="","",SUMIFS('Rateio Anexo'!$K$6:$K$600,'Rateio Anexo'!$D$6:$D$600,$B246,'Rateio Anexo'!$B$6:$B$600,"MO"))</f>
        <v/>
      </c>
      <c r="P246" s="30" t="str">
        <f aca="false">IF($E246="","",IF($N$3=0,0,N246/$N$3*$R$4))</f>
        <v/>
      </c>
      <c r="Q246" s="30" t="str">
        <f aca="false">IF($E246="","",IF($O$3=0,0,O246/$O$3*$T$4))</f>
        <v/>
      </c>
      <c r="R246" s="30" t="str">
        <f aca="false">IF($E246="","",N246+O246+P246+Q246)</f>
        <v/>
      </c>
      <c r="S246" s="30" t="str">
        <f aca="false">IF($E246="","",(N246+P246)*Precificação!$B$19)</f>
        <v/>
      </c>
      <c r="T246" s="30" t="str">
        <f aca="false">IF($E246="","",(O246+Q246)*Precificação!$B$20)</f>
        <v/>
      </c>
      <c r="U246" s="68" t="str">
        <f aca="false">IF($E246="","",IF($E246=INT($E246),0.01,IF($E246*2=INT($E246*2),0.02,0.05)))</f>
        <v/>
      </c>
      <c r="V246" s="30" t="str">
        <f aca="false">IF($E246="","",ROUND(S246/$E246/U246,0)*U246)</f>
        <v/>
      </c>
      <c r="W246" s="30" t="str">
        <f aca="false">IF($E246="","",ROUND(T246/$E246/U246,0)*U246)</f>
        <v/>
      </c>
      <c r="X246" s="14" t="str">
        <f aca="false">IF(NOT(ISNUMBER(E246)),"",IF(NOT(ISNUMBER(E247)),ROW(),X247))</f>
        <v/>
      </c>
    </row>
    <row r="247" customFormat="false" ht="15" hidden="false" customHeight="false" outlineLevel="0" collapsed="false">
      <c r="F247" s="66" t="str">
        <f aca="false">IF($E247="","",V247)</f>
        <v/>
      </c>
      <c r="G247" s="66" t="str">
        <f aca="false">IF($E247="","",ROUND(W247+IF($B247=Precificação!$B$26,$F$3/$E247,0),2))</f>
        <v/>
      </c>
      <c r="H247" s="30" t="str">
        <f aca="false">IF($E247="","",F247+G247)</f>
        <v/>
      </c>
      <c r="I247" s="30" t="str">
        <f aca="false">IF($E247="","",$E247*F247)</f>
        <v/>
      </c>
      <c r="J247" s="30" t="str">
        <f aca="false">IF($E247="","",$E247*G247)</f>
        <v/>
      </c>
      <c r="K247" s="30" t="str">
        <f aca="false">IF($E247="","",I247+J247)</f>
        <v/>
      </c>
      <c r="L247" s="53" t="str">
        <f aca="false">IF($E247="","",IF(R247=0,"SEM CUSTO — falta linha de custo","OK"))</f>
        <v/>
      </c>
      <c r="M247" s="67" t="str">
        <f aca="false">IF(AND(ISNUMBER(E247),NOT(ISNUMBER(E246))),"F"&amp;ROW()&amp;":G"&amp;X247,"")</f>
        <v/>
      </c>
      <c r="N247" s="30" t="str">
        <f aca="false">IF($E247="","",SUMIFS('Rateio Anexo'!$K$6:$K$600,'Rateio Anexo'!$D$6:$D$600,$B247,'Rateio Anexo'!$B$6:$B$600,"MAT"))</f>
        <v/>
      </c>
      <c r="O247" s="30" t="str">
        <f aca="false">IF($E247="","",SUMIFS('Rateio Anexo'!$K$6:$K$600,'Rateio Anexo'!$D$6:$D$600,$B247,'Rateio Anexo'!$B$6:$B$600,"MO"))</f>
        <v/>
      </c>
      <c r="P247" s="30" t="str">
        <f aca="false">IF($E247="","",IF($N$3=0,0,N247/$N$3*$R$4))</f>
        <v/>
      </c>
      <c r="Q247" s="30" t="str">
        <f aca="false">IF($E247="","",IF($O$3=0,0,O247/$O$3*$T$4))</f>
        <v/>
      </c>
      <c r="R247" s="30" t="str">
        <f aca="false">IF($E247="","",N247+O247+P247+Q247)</f>
        <v/>
      </c>
      <c r="S247" s="30" t="str">
        <f aca="false">IF($E247="","",(N247+P247)*Precificação!$B$19)</f>
        <v/>
      </c>
      <c r="T247" s="30" t="str">
        <f aca="false">IF($E247="","",(O247+Q247)*Precificação!$B$20)</f>
        <v/>
      </c>
      <c r="U247" s="68" t="str">
        <f aca="false">IF($E247="","",IF($E247=INT($E247),0.01,IF($E247*2=INT($E247*2),0.02,0.05)))</f>
        <v/>
      </c>
      <c r="V247" s="30" t="str">
        <f aca="false">IF($E247="","",ROUND(S247/$E247/U247,0)*U247)</f>
        <v/>
      </c>
      <c r="W247" s="30" t="str">
        <f aca="false">IF($E247="","",ROUND(T247/$E247/U247,0)*U247)</f>
        <v/>
      </c>
      <c r="X247" s="14" t="str">
        <f aca="false">IF(NOT(ISNUMBER(E247)),"",IF(NOT(ISNUMBER(E248)),ROW(),X248))</f>
        <v/>
      </c>
    </row>
    <row r="248" customFormat="false" ht="15" hidden="false" customHeight="false" outlineLevel="0" collapsed="false">
      <c r="F248" s="66" t="str">
        <f aca="false">IF($E248="","",V248)</f>
        <v/>
      </c>
      <c r="G248" s="66" t="str">
        <f aca="false">IF($E248="","",ROUND(W248+IF($B248=Precificação!$B$26,$F$3/$E248,0),2))</f>
        <v/>
      </c>
      <c r="H248" s="30" t="str">
        <f aca="false">IF($E248="","",F248+G248)</f>
        <v/>
      </c>
      <c r="I248" s="30" t="str">
        <f aca="false">IF($E248="","",$E248*F248)</f>
        <v/>
      </c>
      <c r="J248" s="30" t="str">
        <f aca="false">IF($E248="","",$E248*G248)</f>
        <v/>
      </c>
      <c r="K248" s="30" t="str">
        <f aca="false">IF($E248="","",I248+J248)</f>
        <v/>
      </c>
      <c r="L248" s="53" t="str">
        <f aca="false">IF($E248="","",IF(R248=0,"SEM CUSTO — falta linha de custo","OK"))</f>
        <v/>
      </c>
      <c r="M248" s="67" t="str">
        <f aca="false">IF(AND(ISNUMBER(E248),NOT(ISNUMBER(E247))),"F"&amp;ROW()&amp;":G"&amp;X248,"")</f>
        <v/>
      </c>
      <c r="N248" s="30" t="str">
        <f aca="false">IF($E248="","",SUMIFS('Rateio Anexo'!$K$6:$K$600,'Rateio Anexo'!$D$6:$D$600,$B248,'Rateio Anexo'!$B$6:$B$600,"MAT"))</f>
        <v/>
      </c>
      <c r="O248" s="30" t="str">
        <f aca="false">IF($E248="","",SUMIFS('Rateio Anexo'!$K$6:$K$600,'Rateio Anexo'!$D$6:$D$600,$B248,'Rateio Anexo'!$B$6:$B$600,"MO"))</f>
        <v/>
      </c>
      <c r="P248" s="30" t="str">
        <f aca="false">IF($E248="","",IF($N$3=0,0,N248/$N$3*$R$4))</f>
        <v/>
      </c>
      <c r="Q248" s="30" t="str">
        <f aca="false">IF($E248="","",IF($O$3=0,0,O248/$O$3*$T$4))</f>
        <v/>
      </c>
      <c r="R248" s="30" t="str">
        <f aca="false">IF($E248="","",N248+O248+P248+Q248)</f>
        <v/>
      </c>
      <c r="S248" s="30" t="str">
        <f aca="false">IF($E248="","",(N248+P248)*Precificação!$B$19)</f>
        <v/>
      </c>
      <c r="T248" s="30" t="str">
        <f aca="false">IF($E248="","",(O248+Q248)*Precificação!$B$20)</f>
        <v/>
      </c>
      <c r="U248" s="68" t="str">
        <f aca="false">IF($E248="","",IF($E248=INT($E248),0.01,IF($E248*2=INT($E248*2),0.02,0.05)))</f>
        <v/>
      </c>
      <c r="V248" s="30" t="str">
        <f aca="false">IF($E248="","",ROUND(S248/$E248/U248,0)*U248)</f>
        <v/>
      </c>
      <c r="W248" s="30" t="str">
        <f aca="false">IF($E248="","",ROUND(T248/$E248/U248,0)*U248)</f>
        <v/>
      </c>
      <c r="X248" s="14" t="str">
        <f aca="false">IF(NOT(ISNUMBER(E248)),"",IF(NOT(ISNUMBER(E249)),ROW(),X249))</f>
        <v/>
      </c>
    </row>
    <row r="249" customFormat="false" ht="15" hidden="false" customHeight="false" outlineLevel="0" collapsed="false">
      <c r="F249" s="66" t="str">
        <f aca="false">IF($E249="","",V249)</f>
        <v/>
      </c>
      <c r="G249" s="66" t="str">
        <f aca="false">IF($E249="","",ROUND(W249+IF($B249=Precificação!$B$26,$F$3/$E249,0),2))</f>
        <v/>
      </c>
      <c r="H249" s="30" t="str">
        <f aca="false">IF($E249="","",F249+G249)</f>
        <v/>
      </c>
      <c r="I249" s="30" t="str">
        <f aca="false">IF($E249="","",$E249*F249)</f>
        <v/>
      </c>
      <c r="J249" s="30" t="str">
        <f aca="false">IF($E249="","",$E249*G249)</f>
        <v/>
      </c>
      <c r="K249" s="30" t="str">
        <f aca="false">IF($E249="","",I249+J249)</f>
        <v/>
      </c>
      <c r="L249" s="53" t="str">
        <f aca="false">IF($E249="","",IF(R249=0,"SEM CUSTO — falta linha de custo","OK"))</f>
        <v/>
      </c>
      <c r="M249" s="67" t="str">
        <f aca="false">IF(AND(ISNUMBER(E249),NOT(ISNUMBER(E248))),"F"&amp;ROW()&amp;":G"&amp;X249,"")</f>
        <v/>
      </c>
      <c r="N249" s="30" t="str">
        <f aca="false">IF($E249="","",SUMIFS('Rateio Anexo'!$K$6:$K$600,'Rateio Anexo'!$D$6:$D$600,$B249,'Rateio Anexo'!$B$6:$B$600,"MAT"))</f>
        <v/>
      </c>
      <c r="O249" s="30" t="str">
        <f aca="false">IF($E249="","",SUMIFS('Rateio Anexo'!$K$6:$K$600,'Rateio Anexo'!$D$6:$D$600,$B249,'Rateio Anexo'!$B$6:$B$600,"MO"))</f>
        <v/>
      </c>
      <c r="P249" s="30" t="str">
        <f aca="false">IF($E249="","",IF($N$3=0,0,N249/$N$3*$R$4))</f>
        <v/>
      </c>
      <c r="Q249" s="30" t="str">
        <f aca="false">IF($E249="","",IF($O$3=0,0,O249/$O$3*$T$4))</f>
        <v/>
      </c>
      <c r="R249" s="30" t="str">
        <f aca="false">IF($E249="","",N249+O249+P249+Q249)</f>
        <v/>
      </c>
      <c r="S249" s="30" t="str">
        <f aca="false">IF($E249="","",(N249+P249)*Precificação!$B$19)</f>
        <v/>
      </c>
      <c r="T249" s="30" t="str">
        <f aca="false">IF($E249="","",(O249+Q249)*Precificação!$B$20)</f>
        <v/>
      </c>
      <c r="U249" s="68" t="str">
        <f aca="false">IF($E249="","",IF($E249=INT($E249),0.01,IF($E249*2=INT($E249*2),0.02,0.05)))</f>
        <v/>
      </c>
      <c r="V249" s="30" t="str">
        <f aca="false">IF($E249="","",ROUND(S249/$E249/U249,0)*U249)</f>
        <v/>
      </c>
      <c r="W249" s="30" t="str">
        <f aca="false">IF($E249="","",ROUND(T249/$E249/U249,0)*U249)</f>
        <v/>
      </c>
      <c r="X249" s="14" t="str">
        <f aca="false">IF(NOT(ISNUMBER(E249)),"",IF(NOT(ISNUMBER(E250)),ROW(),X250))</f>
        <v/>
      </c>
    </row>
    <row r="250" customFormat="false" ht="15" hidden="false" customHeight="false" outlineLevel="0" collapsed="false">
      <c r="F250" s="66" t="str">
        <f aca="false">IF($E250="","",V250)</f>
        <v/>
      </c>
      <c r="G250" s="66" t="str">
        <f aca="false">IF($E250="","",ROUND(W250+IF($B250=Precificação!$B$26,$F$3/$E250,0),2))</f>
        <v/>
      </c>
      <c r="H250" s="30" t="str">
        <f aca="false">IF($E250="","",F250+G250)</f>
        <v/>
      </c>
      <c r="I250" s="30" t="str">
        <f aca="false">IF($E250="","",$E250*F250)</f>
        <v/>
      </c>
      <c r="J250" s="30" t="str">
        <f aca="false">IF($E250="","",$E250*G250)</f>
        <v/>
      </c>
      <c r="K250" s="30" t="str">
        <f aca="false">IF($E250="","",I250+J250)</f>
        <v/>
      </c>
      <c r="L250" s="53" t="str">
        <f aca="false">IF($E250="","",IF(R250=0,"SEM CUSTO — falta linha de custo","OK"))</f>
        <v/>
      </c>
      <c r="M250" s="67" t="str">
        <f aca="false">IF(AND(ISNUMBER(E250),NOT(ISNUMBER(E249))),"F"&amp;ROW()&amp;":G"&amp;X250,"")</f>
        <v/>
      </c>
      <c r="N250" s="30" t="str">
        <f aca="false">IF($E250="","",SUMIFS('Rateio Anexo'!$K$6:$K$600,'Rateio Anexo'!$D$6:$D$600,$B250,'Rateio Anexo'!$B$6:$B$600,"MAT"))</f>
        <v/>
      </c>
      <c r="O250" s="30" t="str">
        <f aca="false">IF($E250="","",SUMIFS('Rateio Anexo'!$K$6:$K$600,'Rateio Anexo'!$D$6:$D$600,$B250,'Rateio Anexo'!$B$6:$B$600,"MO"))</f>
        <v/>
      </c>
      <c r="P250" s="30" t="str">
        <f aca="false">IF($E250="","",IF($N$3=0,0,N250/$N$3*$R$4))</f>
        <v/>
      </c>
      <c r="Q250" s="30" t="str">
        <f aca="false">IF($E250="","",IF($O$3=0,0,O250/$O$3*$T$4))</f>
        <v/>
      </c>
      <c r="R250" s="30" t="str">
        <f aca="false">IF($E250="","",N250+O250+P250+Q250)</f>
        <v/>
      </c>
      <c r="S250" s="30" t="str">
        <f aca="false">IF($E250="","",(N250+P250)*Precificação!$B$19)</f>
        <v/>
      </c>
      <c r="T250" s="30" t="str">
        <f aca="false">IF($E250="","",(O250+Q250)*Precificação!$B$20)</f>
        <v/>
      </c>
      <c r="U250" s="68" t="str">
        <f aca="false">IF($E250="","",IF($E250=INT($E250),0.01,IF($E250*2=INT($E250*2),0.02,0.05)))</f>
        <v/>
      </c>
      <c r="V250" s="30" t="str">
        <f aca="false">IF($E250="","",ROUND(S250/$E250/U250,0)*U250)</f>
        <v/>
      </c>
      <c r="W250" s="30" t="str">
        <f aca="false">IF($E250="","",ROUND(T250/$E250/U250,0)*U250)</f>
        <v/>
      </c>
      <c r="X250" s="14" t="str">
        <f aca="false">IF(NOT(ISNUMBER(E250)),"",IF(NOT(ISNUMBER(E251)),ROW(),X251))</f>
        <v/>
      </c>
    </row>
    <row r="251" customFormat="false" ht="15" hidden="false" customHeight="false" outlineLevel="0" collapsed="false">
      <c r="F251" s="66" t="str">
        <f aca="false">IF($E251="","",V251)</f>
        <v/>
      </c>
      <c r="G251" s="66" t="str">
        <f aca="false">IF($E251="","",ROUND(W251+IF($B251=Precificação!$B$26,$F$3/$E251,0),2))</f>
        <v/>
      </c>
      <c r="H251" s="30" t="str">
        <f aca="false">IF($E251="","",F251+G251)</f>
        <v/>
      </c>
      <c r="I251" s="30" t="str">
        <f aca="false">IF($E251="","",$E251*F251)</f>
        <v/>
      </c>
      <c r="J251" s="30" t="str">
        <f aca="false">IF($E251="","",$E251*G251)</f>
        <v/>
      </c>
      <c r="K251" s="30" t="str">
        <f aca="false">IF($E251="","",I251+J251)</f>
        <v/>
      </c>
      <c r="L251" s="53" t="str">
        <f aca="false">IF($E251="","",IF(R251=0,"SEM CUSTO — falta linha de custo","OK"))</f>
        <v/>
      </c>
      <c r="M251" s="67" t="str">
        <f aca="false">IF(AND(ISNUMBER(E251),NOT(ISNUMBER(E250))),"F"&amp;ROW()&amp;":G"&amp;X251,"")</f>
        <v/>
      </c>
      <c r="N251" s="30" t="str">
        <f aca="false">IF($E251="","",SUMIFS('Rateio Anexo'!$K$6:$K$600,'Rateio Anexo'!$D$6:$D$600,$B251,'Rateio Anexo'!$B$6:$B$600,"MAT"))</f>
        <v/>
      </c>
      <c r="O251" s="30" t="str">
        <f aca="false">IF($E251="","",SUMIFS('Rateio Anexo'!$K$6:$K$600,'Rateio Anexo'!$D$6:$D$600,$B251,'Rateio Anexo'!$B$6:$B$600,"MO"))</f>
        <v/>
      </c>
      <c r="P251" s="30" t="str">
        <f aca="false">IF($E251="","",IF($N$3=0,0,N251/$N$3*$R$4))</f>
        <v/>
      </c>
      <c r="Q251" s="30" t="str">
        <f aca="false">IF($E251="","",IF($O$3=0,0,O251/$O$3*$T$4))</f>
        <v/>
      </c>
      <c r="R251" s="30" t="str">
        <f aca="false">IF($E251="","",N251+O251+P251+Q251)</f>
        <v/>
      </c>
      <c r="S251" s="30" t="str">
        <f aca="false">IF($E251="","",(N251+P251)*Precificação!$B$19)</f>
        <v/>
      </c>
      <c r="T251" s="30" t="str">
        <f aca="false">IF($E251="","",(O251+Q251)*Precificação!$B$20)</f>
        <v/>
      </c>
      <c r="U251" s="68" t="str">
        <f aca="false">IF($E251="","",IF($E251=INT($E251),0.01,IF($E251*2=INT($E251*2),0.02,0.05)))</f>
        <v/>
      </c>
      <c r="V251" s="30" t="str">
        <f aca="false">IF($E251="","",ROUND(S251/$E251/U251,0)*U251)</f>
        <v/>
      </c>
      <c r="W251" s="30" t="str">
        <f aca="false">IF($E251="","",ROUND(T251/$E251/U251,0)*U251)</f>
        <v/>
      </c>
      <c r="X251" s="14" t="str">
        <f aca="false">IF(NOT(ISNUMBER(E251)),"",IF(NOT(ISNUMBER(E252)),ROW(),X252))</f>
        <v/>
      </c>
    </row>
    <row r="252" customFormat="false" ht="15" hidden="false" customHeight="false" outlineLevel="0" collapsed="false">
      <c r="F252" s="66" t="str">
        <f aca="false">IF($E252="","",V252)</f>
        <v/>
      </c>
      <c r="G252" s="66" t="str">
        <f aca="false">IF($E252="","",ROUND(W252+IF($B252=Precificação!$B$26,$F$3/$E252,0),2))</f>
        <v/>
      </c>
      <c r="H252" s="30" t="str">
        <f aca="false">IF($E252="","",F252+G252)</f>
        <v/>
      </c>
      <c r="I252" s="30" t="str">
        <f aca="false">IF($E252="","",$E252*F252)</f>
        <v/>
      </c>
      <c r="J252" s="30" t="str">
        <f aca="false">IF($E252="","",$E252*G252)</f>
        <v/>
      </c>
      <c r="K252" s="30" t="str">
        <f aca="false">IF($E252="","",I252+J252)</f>
        <v/>
      </c>
      <c r="L252" s="53" t="str">
        <f aca="false">IF($E252="","",IF(R252=0,"SEM CUSTO — falta linha de custo","OK"))</f>
        <v/>
      </c>
      <c r="M252" s="67" t="str">
        <f aca="false">IF(AND(ISNUMBER(E252),NOT(ISNUMBER(E251))),"F"&amp;ROW()&amp;":G"&amp;X252,"")</f>
        <v/>
      </c>
      <c r="N252" s="30" t="str">
        <f aca="false">IF($E252="","",SUMIFS('Rateio Anexo'!$K$6:$K$600,'Rateio Anexo'!$D$6:$D$600,$B252,'Rateio Anexo'!$B$6:$B$600,"MAT"))</f>
        <v/>
      </c>
      <c r="O252" s="30" t="str">
        <f aca="false">IF($E252="","",SUMIFS('Rateio Anexo'!$K$6:$K$600,'Rateio Anexo'!$D$6:$D$600,$B252,'Rateio Anexo'!$B$6:$B$600,"MO"))</f>
        <v/>
      </c>
      <c r="P252" s="30" t="str">
        <f aca="false">IF($E252="","",IF($N$3=0,0,N252/$N$3*$R$4))</f>
        <v/>
      </c>
      <c r="Q252" s="30" t="str">
        <f aca="false">IF($E252="","",IF($O$3=0,0,O252/$O$3*$T$4))</f>
        <v/>
      </c>
      <c r="R252" s="30" t="str">
        <f aca="false">IF($E252="","",N252+O252+P252+Q252)</f>
        <v/>
      </c>
      <c r="S252" s="30" t="str">
        <f aca="false">IF($E252="","",(N252+P252)*Precificação!$B$19)</f>
        <v/>
      </c>
      <c r="T252" s="30" t="str">
        <f aca="false">IF($E252="","",(O252+Q252)*Precificação!$B$20)</f>
        <v/>
      </c>
      <c r="U252" s="68" t="str">
        <f aca="false">IF($E252="","",IF($E252=INT($E252),0.01,IF($E252*2=INT($E252*2),0.02,0.05)))</f>
        <v/>
      </c>
      <c r="V252" s="30" t="str">
        <f aca="false">IF($E252="","",ROUND(S252/$E252/U252,0)*U252)</f>
        <v/>
      </c>
      <c r="W252" s="30" t="str">
        <f aca="false">IF($E252="","",ROUND(T252/$E252/U252,0)*U252)</f>
        <v/>
      </c>
      <c r="X252" s="14" t="str">
        <f aca="false">IF(NOT(ISNUMBER(E252)),"",IF(NOT(ISNUMBER(E253)),ROW(),X253))</f>
        <v/>
      </c>
    </row>
    <row r="253" customFormat="false" ht="15" hidden="false" customHeight="false" outlineLevel="0" collapsed="false">
      <c r="F253" s="66" t="str">
        <f aca="false">IF($E253="","",V253)</f>
        <v/>
      </c>
      <c r="G253" s="66" t="str">
        <f aca="false">IF($E253="","",ROUND(W253+IF($B253=Precificação!$B$26,$F$3/$E253,0),2))</f>
        <v/>
      </c>
      <c r="H253" s="30" t="str">
        <f aca="false">IF($E253="","",F253+G253)</f>
        <v/>
      </c>
      <c r="I253" s="30" t="str">
        <f aca="false">IF($E253="","",$E253*F253)</f>
        <v/>
      </c>
      <c r="J253" s="30" t="str">
        <f aca="false">IF($E253="","",$E253*G253)</f>
        <v/>
      </c>
      <c r="K253" s="30" t="str">
        <f aca="false">IF($E253="","",I253+J253)</f>
        <v/>
      </c>
      <c r="L253" s="53" t="str">
        <f aca="false">IF($E253="","",IF(R253=0,"SEM CUSTO — falta linha de custo","OK"))</f>
        <v/>
      </c>
      <c r="M253" s="67" t="str">
        <f aca="false">IF(AND(ISNUMBER(E253),NOT(ISNUMBER(E252))),"F"&amp;ROW()&amp;":G"&amp;X253,"")</f>
        <v/>
      </c>
      <c r="N253" s="30" t="str">
        <f aca="false">IF($E253="","",SUMIFS('Rateio Anexo'!$K$6:$K$600,'Rateio Anexo'!$D$6:$D$600,$B253,'Rateio Anexo'!$B$6:$B$600,"MAT"))</f>
        <v/>
      </c>
      <c r="O253" s="30" t="str">
        <f aca="false">IF($E253="","",SUMIFS('Rateio Anexo'!$K$6:$K$600,'Rateio Anexo'!$D$6:$D$600,$B253,'Rateio Anexo'!$B$6:$B$600,"MO"))</f>
        <v/>
      </c>
      <c r="P253" s="30" t="str">
        <f aca="false">IF($E253="","",IF($N$3=0,0,N253/$N$3*$R$4))</f>
        <v/>
      </c>
      <c r="Q253" s="30" t="str">
        <f aca="false">IF($E253="","",IF($O$3=0,0,O253/$O$3*$T$4))</f>
        <v/>
      </c>
      <c r="R253" s="30" t="str">
        <f aca="false">IF($E253="","",N253+O253+P253+Q253)</f>
        <v/>
      </c>
      <c r="S253" s="30" t="str">
        <f aca="false">IF($E253="","",(N253+P253)*Precificação!$B$19)</f>
        <v/>
      </c>
      <c r="T253" s="30" t="str">
        <f aca="false">IF($E253="","",(O253+Q253)*Precificação!$B$20)</f>
        <v/>
      </c>
      <c r="U253" s="68" t="str">
        <f aca="false">IF($E253="","",IF($E253=INT($E253),0.01,IF($E253*2=INT($E253*2),0.02,0.05)))</f>
        <v/>
      </c>
      <c r="V253" s="30" t="str">
        <f aca="false">IF($E253="","",ROUND(S253/$E253/U253,0)*U253)</f>
        <v/>
      </c>
      <c r="W253" s="30" t="str">
        <f aca="false">IF($E253="","",ROUND(T253/$E253/U253,0)*U253)</f>
        <v/>
      </c>
      <c r="X253" s="14" t="str">
        <f aca="false">IF(NOT(ISNUMBER(E253)),"",IF(NOT(ISNUMBER(E254)),ROW(),X254))</f>
        <v/>
      </c>
    </row>
    <row r="254" customFormat="false" ht="15" hidden="false" customHeight="false" outlineLevel="0" collapsed="false">
      <c r="F254" s="66" t="str">
        <f aca="false">IF($E254="","",V254)</f>
        <v/>
      </c>
      <c r="G254" s="66" t="str">
        <f aca="false">IF($E254="","",ROUND(W254+IF($B254=Precificação!$B$26,$F$3/$E254,0),2))</f>
        <v/>
      </c>
      <c r="H254" s="30" t="str">
        <f aca="false">IF($E254="","",F254+G254)</f>
        <v/>
      </c>
      <c r="I254" s="30" t="str">
        <f aca="false">IF($E254="","",$E254*F254)</f>
        <v/>
      </c>
      <c r="J254" s="30" t="str">
        <f aca="false">IF($E254="","",$E254*G254)</f>
        <v/>
      </c>
      <c r="K254" s="30" t="str">
        <f aca="false">IF($E254="","",I254+J254)</f>
        <v/>
      </c>
      <c r="L254" s="53" t="str">
        <f aca="false">IF($E254="","",IF(R254=0,"SEM CUSTO — falta linha de custo","OK"))</f>
        <v/>
      </c>
      <c r="M254" s="67" t="str">
        <f aca="false">IF(AND(ISNUMBER(E254),NOT(ISNUMBER(E253))),"F"&amp;ROW()&amp;":G"&amp;X254,"")</f>
        <v/>
      </c>
      <c r="N254" s="30" t="str">
        <f aca="false">IF($E254="","",SUMIFS('Rateio Anexo'!$K$6:$K$600,'Rateio Anexo'!$D$6:$D$600,$B254,'Rateio Anexo'!$B$6:$B$600,"MAT"))</f>
        <v/>
      </c>
      <c r="O254" s="30" t="str">
        <f aca="false">IF($E254="","",SUMIFS('Rateio Anexo'!$K$6:$K$600,'Rateio Anexo'!$D$6:$D$600,$B254,'Rateio Anexo'!$B$6:$B$600,"MO"))</f>
        <v/>
      </c>
      <c r="P254" s="30" t="str">
        <f aca="false">IF($E254="","",IF($N$3=0,0,N254/$N$3*$R$4))</f>
        <v/>
      </c>
      <c r="Q254" s="30" t="str">
        <f aca="false">IF($E254="","",IF($O$3=0,0,O254/$O$3*$T$4))</f>
        <v/>
      </c>
      <c r="R254" s="30" t="str">
        <f aca="false">IF($E254="","",N254+O254+P254+Q254)</f>
        <v/>
      </c>
      <c r="S254" s="30" t="str">
        <f aca="false">IF($E254="","",(N254+P254)*Precificação!$B$19)</f>
        <v/>
      </c>
      <c r="T254" s="30" t="str">
        <f aca="false">IF($E254="","",(O254+Q254)*Precificação!$B$20)</f>
        <v/>
      </c>
      <c r="U254" s="68" t="str">
        <f aca="false">IF($E254="","",IF($E254=INT($E254),0.01,IF($E254*2=INT($E254*2),0.02,0.05)))</f>
        <v/>
      </c>
      <c r="V254" s="30" t="str">
        <f aca="false">IF($E254="","",ROUND(S254/$E254/U254,0)*U254)</f>
        <v/>
      </c>
      <c r="W254" s="30" t="str">
        <f aca="false">IF($E254="","",ROUND(T254/$E254/U254,0)*U254)</f>
        <v/>
      </c>
      <c r="X254" s="14" t="str">
        <f aca="false">IF(NOT(ISNUMBER(E254)),"",IF(NOT(ISNUMBER(E255)),ROW(),X255))</f>
        <v/>
      </c>
    </row>
    <row r="255" customFormat="false" ht="15" hidden="false" customHeight="false" outlineLevel="0" collapsed="false">
      <c r="F255" s="66" t="str">
        <f aca="false">IF($E255="","",V255)</f>
        <v/>
      </c>
      <c r="G255" s="66" t="str">
        <f aca="false">IF($E255="","",ROUND(W255+IF($B255=Precificação!$B$26,$F$3/$E255,0),2))</f>
        <v/>
      </c>
      <c r="H255" s="30" t="str">
        <f aca="false">IF($E255="","",F255+G255)</f>
        <v/>
      </c>
      <c r="I255" s="30" t="str">
        <f aca="false">IF($E255="","",$E255*F255)</f>
        <v/>
      </c>
      <c r="J255" s="30" t="str">
        <f aca="false">IF($E255="","",$E255*G255)</f>
        <v/>
      </c>
      <c r="K255" s="30" t="str">
        <f aca="false">IF($E255="","",I255+J255)</f>
        <v/>
      </c>
      <c r="L255" s="53" t="str">
        <f aca="false">IF($E255="","",IF(R255=0,"SEM CUSTO — falta linha de custo","OK"))</f>
        <v/>
      </c>
      <c r="M255" s="67" t="str">
        <f aca="false">IF(AND(ISNUMBER(E255),NOT(ISNUMBER(E254))),"F"&amp;ROW()&amp;":G"&amp;X255,"")</f>
        <v/>
      </c>
      <c r="N255" s="30" t="str">
        <f aca="false">IF($E255="","",SUMIFS('Rateio Anexo'!$K$6:$K$600,'Rateio Anexo'!$D$6:$D$600,$B255,'Rateio Anexo'!$B$6:$B$600,"MAT"))</f>
        <v/>
      </c>
      <c r="O255" s="30" t="str">
        <f aca="false">IF($E255="","",SUMIFS('Rateio Anexo'!$K$6:$K$600,'Rateio Anexo'!$D$6:$D$600,$B255,'Rateio Anexo'!$B$6:$B$600,"MO"))</f>
        <v/>
      </c>
      <c r="P255" s="30" t="str">
        <f aca="false">IF($E255="","",IF($N$3=0,0,N255/$N$3*$R$4))</f>
        <v/>
      </c>
      <c r="Q255" s="30" t="str">
        <f aca="false">IF($E255="","",IF($O$3=0,0,O255/$O$3*$T$4))</f>
        <v/>
      </c>
      <c r="R255" s="30" t="str">
        <f aca="false">IF($E255="","",N255+O255+P255+Q255)</f>
        <v/>
      </c>
      <c r="S255" s="30" t="str">
        <f aca="false">IF($E255="","",(N255+P255)*Precificação!$B$19)</f>
        <v/>
      </c>
      <c r="T255" s="30" t="str">
        <f aca="false">IF($E255="","",(O255+Q255)*Precificação!$B$20)</f>
        <v/>
      </c>
      <c r="U255" s="68" t="str">
        <f aca="false">IF($E255="","",IF($E255=INT($E255),0.01,IF($E255*2=INT($E255*2),0.02,0.05)))</f>
        <v/>
      </c>
      <c r="V255" s="30" t="str">
        <f aca="false">IF($E255="","",ROUND(S255/$E255/U255,0)*U255)</f>
        <v/>
      </c>
      <c r="W255" s="30" t="str">
        <f aca="false">IF($E255="","",ROUND(T255/$E255/U255,0)*U255)</f>
        <v/>
      </c>
      <c r="X255" s="14" t="str">
        <f aca="false">IF(NOT(ISNUMBER(E255)),"",IF(NOT(ISNUMBER(E256)),ROW(),X256))</f>
        <v/>
      </c>
    </row>
    <row r="256" customFormat="false" ht="15" hidden="false" customHeight="false" outlineLevel="0" collapsed="false">
      <c r="F256" s="66" t="str">
        <f aca="false">IF($E256="","",V256)</f>
        <v/>
      </c>
      <c r="G256" s="66" t="str">
        <f aca="false">IF($E256="","",ROUND(W256+IF($B256=Precificação!$B$26,$F$3/$E256,0),2))</f>
        <v/>
      </c>
      <c r="H256" s="30" t="str">
        <f aca="false">IF($E256="","",F256+G256)</f>
        <v/>
      </c>
      <c r="I256" s="30" t="str">
        <f aca="false">IF($E256="","",$E256*F256)</f>
        <v/>
      </c>
      <c r="J256" s="30" t="str">
        <f aca="false">IF($E256="","",$E256*G256)</f>
        <v/>
      </c>
      <c r="K256" s="30" t="str">
        <f aca="false">IF($E256="","",I256+J256)</f>
        <v/>
      </c>
      <c r="L256" s="53" t="str">
        <f aca="false">IF($E256="","",IF(R256=0,"SEM CUSTO — falta linha de custo","OK"))</f>
        <v/>
      </c>
      <c r="M256" s="67" t="str">
        <f aca="false">IF(AND(ISNUMBER(E256),NOT(ISNUMBER(E255))),"F"&amp;ROW()&amp;":G"&amp;X256,"")</f>
        <v/>
      </c>
      <c r="N256" s="30" t="str">
        <f aca="false">IF($E256="","",SUMIFS('Rateio Anexo'!$K$6:$K$600,'Rateio Anexo'!$D$6:$D$600,$B256,'Rateio Anexo'!$B$6:$B$600,"MAT"))</f>
        <v/>
      </c>
      <c r="O256" s="30" t="str">
        <f aca="false">IF($E256="","",SUMIFS('Rateio Anexo'!$K$6:$K$600,'Rateio Anexo'!$D$6:$D$600,$B256,'Rateio Anexo'!$B$6:$B$600,"MO"))</f>
        <v/>
      </c>
      <c r="P256" s="30" t="str">
        <f aca="false">IF($E256="","",IF($N$3=0,0,N256/$N$3*$R$4))</f>
        <v/>
      </c>
      <c r="Q256" s="30" t="str">
        <f aca="false">IF($E256="","",IF($O$3=0,0,O256/$O$3*$T$4))</f>
        <v/>
      </c>
      <c r="R256" s="30" t="str">
        <f aca="false">IF($E256="","",N256+O256+P256+Q256)</f>
        <v/>
      </c>
      <c r="S256" s="30" t="str">
        <f aca="false">IF($E256="","",(N256+P256)*Precificação!$B$19)</f>
        <v/>
      </c>
      <c r="T256" s="30" t="str">
        <f aca="false">IF($E256="","",(O256+Q256)*Precificação!$B$20)</f>
        <v/>
      </c>
      <c r="U256" s="68" t="str">
        <f aca="false">IF($E256="","",IF($E256=INT($E256),0.01,IF($E256*2=INT($E256*2),0.02,0.05)))</f>
        <v/>
      </c>
      <c r="V256" s="30" t="str">
        <f aca="false">IF($E256="","",ROUND(S256/$E256/U256,0)*U256)</f>
        <v/>
      </c>
      <c r="W256" s="30" t="str">
        <f aca="false">IF($E256="","",ROUND(T256/$E256/U256,0)*U256)</f>
        <v/>
      </c>
      <c r="X256" s="14" t="str">
        <f aca="false">IF(NOT(ISNUMBER(E256)),"",IF(NOT(ISNUMBER(E257)),ROW(),X257))</f>
        <v/>
      </c>
    </row>
    <row r="257" customFormat="false" ht="15" hidden="false" customHeight="false" outlineLevel="0" collapsed="false">
      <c r="F257" s="66" t="str">
        <f aca="false">IF($E257="","",V257)</f>
        <v/>
      </c>
      <c r="G257" s="66" t="str">
        <f aca="false">IF($E257="","",ROUND(W257+IF($B257=Precificação!$B$26,$F$3/$E257,0),2))</f>
        <v/>
      </c>
      <c r="H257" s="30" t="str">
        <f aca="false">IF($E257="","",F257+G257)</f>
        <v/>
      </c>
      <c r="I257" s="30" t="str">
        <f aca="false">IF($E257="","",$E257*F257)</f>
        <v/>
      </c>
      <c r="J257" s="30" t="str">
        <f aca="false">IF($E257="","",$E257*G257)</f>
        <v/>
      </c>
      <c r="K257" s="30" t="str">
        <f aca="false">IF($E257="","",I257+J257)</f>
        <v/>
      </c>
      <c r="L257" s="53" t="str">
        <f aca="false">IF($E257="","",IF(R257=0,"SEM CUSTO — falta linha de custo","OK"))</f>
        <v/>
      </c>
      <c r="M257" s="67" t="str">
        <f aca="false">IF(AND(ISNUMBER(E257),NOT(ISNUMBER(E256))),"F"&amp;ROW()&amp;":G"&amp;X257,"")</f>
        <v/>
      </c>
      <c r="N257" s="30" t="str">
        <f aca="false">IF($E257="","",SUMIFS('Rateio Anexo'!$K$6:$K$600,'Rateio Anexo'!$D$6:$D$600,$B257,'Rateio Anexo'!$B$6:$B$600,"MAT"))</f>
        <v/>
      </c>
      <c r="O257" s="30" t="str">
        <f aca="false">IF($E257="","",SUMIFS('Rateio Anexo'!$K$6:$K$600,'Rateio Anexo'!$D$6:$D$600,$B257,'Rateio Anexo'!$B$6:$B$600,"MO"))</f>
        <v/>
      </c>
      <c r="P257" s="30" t="str">
        <f aca="false">IF($E257="","",IF($N$3=0,0,N257/$N$3*$R$4))</f>
        <v/>
      </c>
      <c r="Q257" s="30" t="str">
        <f aca="false">IF($E257="","",IF($O$3=0,0,O257/$O$3*$T$4))</f>
        <v/>
      </c>
      <c r="R257" s="30" t="str">
        <f aca="false">IF($E257="","",N257+O257+P257+Q257)</f>
        <v/>
      </c>
      <c r="S257" s="30" t="str">
        <f aca="false">IF($E257="","",(N257+P257)*Precificação!$B$19)</f>
        <v/>
      </c>
      <c r="T257" s="30" t="str">
        <f aca="false">IF($E257="","",(O257+Q257)*Precificação!$B$20)</f>
        <v/>
      </c>
      <c r="U257" s="68" t="str">
        <f aca="false">IF($E257="","",IF($E257=INT($E257),0.01,IF($E257*2=INT($E257*2),0.02,0.05)))</f>
        <v/>
      </c>
      <c r="V257" s="30" t="str">
        <f aca="false">IF($E257="","",ROUND(S257/$E257/U257,0)*U257)</f>
        <v/>
      </c>
      <c r="W257" s="30" t="str">
        <f aca="false">IF($E257="","",ROUND(T257/$E257/U257,0)*U257)</f>
        <v/>
      </c>
      <c r="X257" s="14" t="str">
        <f aca="false">IF(NOT(ISNUMBER(E257)),"",IF(NOT(ISNUMBER(E258)),ROW(),X258))</f>
        <v/>
      </c>
    </row>
    <row r="258" customFormat="false" ht="15" hidden="false" customHeight="false" outlineLevel="0" collapsed="false">
      <c r="F258" s="66" t="str">
        <f aca="false">IF($E258="","",V258)</f>
        <v/>
      </c>
      <c r="G258" s="66" t="str">
        <f aca="false">IF($E258="","",ROUND(W258+IF($B258=Precificação!$B$26,$F$3/$E258,0),2))</f>
        <v/>
      </c>
      <c r="H258" s="30" t="str">
        <f aca="false">IF($E258="","",F258+G258)</f>
        <v/>
      </c>
      <c r="I258" s="30" t="str">
        <f aca="false">IF($E258="","",$E258*F258)</f>
        <v/>
      </c>
      <c r="J258" s="30" t="str">
        <f aca="false">IF($E258="","",$E258*G258)</f>
        <v/>
      </c>
      <c r="K258" s="30" t="str">
        <f aca="false">IF($E258="","",I258+J258)</f>
        <v/>
      </c>
      <c r="L258" s="53" t="str">
        <f aca="false">IF($E258="","",IF(R258=0,"SEM CUSTO — falta linha de custo","OK"))</f>
        <v/>
      </c>
      <c r="M258" s="67" t="str">
        <f aca="false">IF(AND(ISNUMBER(E258),NOT(ISNUMBER(E257))),"F"&amp;ROW()&amp;":G"&amp;X258,"")</f>
        <v/>
      </c>
      <c r="N258" s="30" t="str">
        <f aca="false">IF($E258="","",SUMIFS('Rateio Anexo'!$K$6:$K$600,'Rateio Anexo'!$D$6:$D$600,$B258,'Rateio Anexo'!$B$6:$B$600,"MAT"))</f>
        <v/>
      </c>
      <c r="O258" s="30" t="str">
        <f aca="false">IF($E258="","",SUMIFS('Rateio Anexo'!$K$6:$K$600,'Rateio Anexo'!$D$6:$D$600,$B258,'Rateio Anexo'!$B$6:$B$600,"MO"))</f>
        <v/>
      </c>
      <c r="P258" s="30" t="str">
        <f aca="false">IF($E258="","",IF($N$3=0,0,N258/$N$3*$R$4))</f>
        <v/>
      </c>
      <c r="Q258" s="30" t="str">
        <f aca="false">IF($E258="","",IF($O$3=0,0,O258/$O$3*$T$4))</f>
        <v/>
      </c>
      <c r="R258" s="30" t="str">
        <f aca="false">IF($E258="","",N258+O258+P258+Q258)</f>
        <v/>
      </c>
      <c r="S258" s="30" t="str">
        <f aca="false">IF($E258="","",(N258+P258)*Precificação!$B$19)</f>
        <v/>
      </c>
      <c r="T258" s="30" t="str">
        <f aca="false">IF($E258="","",(O258+Q258)*Precificação!$B$20)</f>
        <v/>
      </c>
      <c r="U258" s="68" t="str">
        <f aca="false">IF($E258="","",IF($E258=INT($E258),0.01,IF($E258*2=INT($E258*2),0.02,0.05)))</f>
        <v/>
      </c>
      <c r="V258" s="30" t="str">
        <f aca="false">IF($E258="","",ROUND(S258/$E258/U258,0)*U258)</f>
        <v/>
      </c>
      <c r="W258" s="30" t="str">
        <f aca="false">IF($E258="","",ROUND(T258/$E258/U258,0)*U258)</f>
        <v/>
      </c>
      <c r="X258" s="14" t="str">
        <f aca="false">IF(NOT(ISNUMBER(E258)),"",IF(NOT(ISNUMBER(E259)),ROW(),X259))</f>
        <v/>
      </c>
    </row>
    <row r="259" customFormat="false" ht="15" hidden="false" customHeight="false" outlineLevel="0" collapsed="false">
      <c r="F259" s="66" t="str">
        <f aca="false">IF($E259="","",V259)</f>
        <v/>
      </c>
      <c r="G259" s="66" t="str">
        <f aca="false">IF($E259="","",ROUND(W259+IF($B259=Precificação!$B$26,$F$3/$E259,0),2))</f>
        <v/>
      </c>
      <c r="H259" s="30" t="str">
        <f aca="false">IF($E259="","",F259+G259)</f>
        <v/>
      </c>
      <c r="I259" s="30" t="str">
        <f aca="false">IF($E259="","",$E259*F259)</f>
        <v/>
      </c>
      <c r="J259" s="30" t="str">
        <f aca="false">IF($E259="","",$E259*G259)</f>
        <v/>
      </c>
      <c r="K259" s="30" t="str">
        <f aca="false">IF($E259="","",I259+J259)</f>
        <v/>
      </c>
      <c r="L259" s="53" t="str">
        <f aca="false">IF($E259="","",IF(R259=0,"SEM CUSTO — falta linha de custo","OK"))</f>
        <v/>
      </c>
      <c r="M259" s="67" t="str">
        <f aca="false">IF(AND(ISNUMBER(E259),NOT(ISNUMBER(E258))),"F"&amp;ROW()&amp;":G"&amp;X259,"")</f>
        <v/>
      </c>
      <c r="N259" s="30" t="str">
        <f aca="false">IF($E259="","",SUMIFS('Rateio Anexo'!$K$6:$K$600,'Rateio Anexo'!$D$6:$D$600,$B259,'Rateio Anexo'!$B$6:$B$600,"MAT"))</f>
        <v/>
      </c>
      <c r="O259" s="30" t="str">
        <f aca="false">IF($E259="","",SUMIFS('Rateio Anexo'!$K$6:$K$600,'Rateio Anexo'!$D$6:$D$600,$B259,'Rateio Anexo'!$B$6:$B$600,"MO"))</f>
        <v/>
      </c>
      <c r="P259" s="30" t="str">
        <f aca="false">IF($E259="","",IF($N$3=0,0,N259/$N$3*$R$4))</f>
        <v/>
      </c>
      <c r="Q259" s="30" t="str">
        <f aca="false">IF($E259="","",IF($O$3=0,0,O259/$O$3*$T$4))</f>
        <v/>
      </c>
      <c r="R259" s="30" t="str">
        <f aca="false">IF($E259="","",N259+O259+P259+Q259)</f>
        <v/>
      </c>
      <c r="S259" s="30" t="str">
        <f aca="false">IF($E259="","",(N259+P259)*Precificação!$B$19)</f>
        <v/>
      </c>
      <c r="T259" s="30" t="str">
        <f aca="false">IF($E259="","",(O259+Q259)*Precificação!$B$20)</f>
        <v/>
      </c>
      <c r="U259" s="68" t="str">
        <f aca="false">IF($E259="","",IF($E259=INT($E259),0.01,IF($E259*2=INT($E259*2),0.02,0.05)))</f>
        <v/>
      </c>
      <c r="V259" s="30" t="str">
        <f aca="false">IF($E259="","",ROUND(S259/$E259/U259,0)*U259)</f>
        <v/>
      </c>
      <c r="W259" s="30" t="str">
        <f aca="false">IF($E259="","",ROUND(T259/$E259/U259,0)*U259)</f>
        <v/>
      </c>
      <c r="X259" s="14" t="str">
        <f aca="false">IF(NOT(ISNUMBER(E259)),"",IF(NOT(ISNUMBER(E260)),ROW(),X260))</f>
        <v/>
      </c>
    </row>
    <row r="260" customFormat="false" ht="15" hidden="false" customHeight="false" outlineLevel="0" collapsed="false">
      <c r="F260" s="66" t="str">
        <f aca="false">IF($E260="","",V260)</f>
        <v/>
      </c>
      <c r="G260" s="66" t="str">
        <f aca="false">IF($E260="","",ROUND(W260+IF($B260=Precificação!$B$26,$F$3/$E260,0),2))</f>
        <v/>
      </c>
      <c r="H260" s="30" t="str">
        <f aca="false">IF($E260="","",F260+G260)</f>
        <v/>
      </c>
      <c r="I260" s="30" t="str">
        <f aca="false">IF($E260="","",$E260*F260)</f>
        <v/>
      </c>
      <c r="J260" s="30" t="str">
        <f aca="false">IF($E260="","",$E260*G260)</f>
        <v/>
      </c>
      <c r="K260" s="30" t="str">
        <f aca="false">IF($E260="","",I260+J260)</f>
        <v/>
      </c>
      <c r="L260" s="53" t="str">
        <f aca="false">IF($E260="","",IF(R260=0,"SEM CUSTO — falta linha de custo","OK"))</f>
        <v/>
      </c>
      <c r="M260" s="67" t="str">
        <f aca="false">IF(AND(ISNUMBER(E260),NOT(ISNUMBER(E259))),"F"&amp;ROW()&amp;":G"&amp;X260,"")</f>
        <v/>
      </c>
      <c r="N260" s="30" t="str">
        <f aca="false">IF($E260="","",SUMIFS('Rateio Anexo'!$K$6:$K$600,'Rateio Anexo'!$D$6:$D$600,$B260,'Rateio Anexo'!$B$6:$B$600,"MAT"))</f>
        <v/>
      </c>
      <c r="O260" s="30" t="str">
        <f aca="false">IF($E260="","",SUMIFS('Rateio Anexo'!$K$6:$K$600,'Rateio Anexo'!$D$6:$D$600,$B260,'Rateio Anexo'!$B$6:$B$600,"MO"))</f>
        <v/>
      </c>
      <c r="P260" s="30" t="str">
        <f aca="false">IF($E260="","",IF($N$3=0,0,N260/$N$3*$R$4))</f>
        <v/>
      </c>
      <c r="Q260" s="30" t="str">
        <f aca="false">IF($E260="","",IF($O$3=0,0,O260/$O$3*$T$4))</f>
        <v/>
      </c>
      <c r="R260" s="30" t="str">
        <f aca="false">IF($E260="","",N260+O260+P260+Q260)</f>
        <v/>
      </c>
      <c r="S260" s="30" t="str">
        <f aca="false">IF($E260="","",(N260+P260)*Precificação!$B$19)</f>
        <v/>
      </c>
      <c r="T260" s="30" t="str">
        <f aca="false">IF($E260="","",(O260+Q260)*Precificação!$B$20)</f>
        <v/>
      </c>
      <c r="U260" s="68" t="str">
        <f aca="false">IF($E260="","",IF($E260=INT($E260),0.01,IF($E260*2=INT($E260*2),0.02,0.05)))</f>
        <v/>
      </c>
      <c r="V260" s="30" t="str">
        <f aca="false">IF($E260="","",ROUND(S260/$E260/U260,0)*U260)</f>
        <v/>
      </c>
      <c r="W260" s="30" t="str">
        <f aca="false">IF($E260="","",ROUND(T260/$E260/U260,0)*U260)</f>
        <v/>
      </c>
      <c r="X260" s="14" t="str">
        <f aca="false">IF(NOT(ISNUMBER(E260)),"",IF(NOT(ISNUMBER(E261)),ROW(),X261))</f>
        <v/>
      </c>
    </row>
    <row r="261" customFormat="false" ht="15" hidden="false" customHeight="false" outlineLevel="0" collapsed="false">
      <c r="F261" s="66" t="str">
        <f aca="false">IF($E261="","",V261)</f>
        <v/>
      </c>
      <c r="G261" s="66" t="str">
        <f aca="false">IF($E261="","",ROUND(W261+IF($B261=Precificação!$B$26,$F$3/$E261,0),2))</f>
        <v/>
      </c>
      <c r="H261" s="30" t="str">
        <f aca="false">IF($E261="","",F261+G261)</f>
        <v/>
      </c>
      <c r="I261" s="30" t="str">
        <f aca="false">IF($E261="","",$E261*F261)</f>
        <v/>
      </c>
      <c r="J261" s="30" t="str">
        <f aca="false">IF($E261="","",$E261*G261)</f>
        <v/>
      </c>
      <c r="K261" s="30" t="str">
        <f aca="false">IF($E261="","",I261+J261)</f>
        <v/>
      </c>
      <c r="L261" s="53" t="str">
        <f aca="false">IF($E261="","",IF(R261=0,"SEM CUSTO — falta linha de custo","OK"))</f>
        <v/>
      </c>
      <c r="M261" s="67" t="str">
        <f aca="false">IF(AND(ISNUMBER(E261),NOT(ISNUMBER(E260))),"F"&amp;ROW()&amp;":G"&amp;X261,"")</f>
        <v/>
      </c>
      <c r="N261" s="30" t="str">
        <f aca="false">IF($E261="","",SUMIFS('Rateio Anexo'!$K$6:$K$600,'Rateio Anexo'!$D$6:$D$600,$B261,'Rateio Anexo'!$B$6:$B$600,"MAT"))</f>
        <v/>
      </c>
      <c r="O261" s="30" t="str">
        <f aca="false">IF($E261="","",SUMIFS('Rateio Anexo'!$K$6:$K$600,'Rateio Anexo'!$D$6:$D$600,$B261,'Rateio Anexo'!$B$6:$B$600,"MO"))</f>
        <v/>
      </c>
      <c r="P261" s="30" t="str">
        <f aca="false">IF($E261="","",IF($N$3=0,0,N261/$N$3*$R$4))</f>
        <v/>
      </c>
      <c r="Q261" s="30" t="str">
        <f aca="false">IF($E261="","",IF($O$3=0,0,O261/$O$3*$T$4))</f>
        <v/>
      </c>
      <c r="R261" s="30" t="str">
        <f aca="false">IF($E261="","",N261+O261+P261+Q261)</f>
        <v/>
      </c>
      <c r="S261" s="30" t="str">
        <f aca="false">IF($E261="","",(N261+P261)*Precificação!$B$19)</f>
        <v/>
      </c>
      <c r="T261" s="30" t="str">
        <f aca="false">IF($E261="","",(O261+Q261)*Precificação!$B$20)</f>
        <v/>
      </c>
      <c r="U261" s="68" t="str">
        <f aca="false">IF($E261="","",IF($E261=INT($E261),0.01,IF($E261*2=INT($E261*2),0.02,0.05)))</f>
        <v/>
      </c>
      <c r="V261" s="30" t="str">
        <f aca="false">IF($E261="","",ROUND(S261/$E261/U261,0)*U261)</f>
        <v/>
      </c>
      <c r="W261" s="30" t="str">
        <f aca="false">IF($E261="","",ROUND(T261/$E261/U261,0)*U261)</f>
        <v/>
      </c>
      <c r="X261" s="14" t="str">
        <f aca="false">IF(NOT(ISNUMBER(E261)),"",IF(NOT(ISNUMBER(E262)),ROW(),X262))</f>
        <v/>
      </c>
    </row>
    <row r="262" customFormat="false" ht="15" hidden="false" customHeight="false" outlineLevel="0" collapsed="false">
      <c r="F262" s="66" t="str">
        <f aca="false">IF($E262="","",V262)</f>
        <v/>
      </c>
      <c r="G262" s="66" t="str">
        <f aca="false">IF($E262="","",ROUND(W262+IF($B262=Precificação!$B$26,$F$3/$E262,0),2))</f>
        <v/>
      </c>
      <c r="H262" s="30" t="str">
        <f aca="false">IF($E262="","",F262+G262)</f>
        <v/>
      </c>
      <c r="I262" s="30" t="str">
        <f aca="false">IF($E262="","",$E262*F262)</f>
        <v/>
      </c>
      <c r="J262" s="30" t="str">
        <f aca="false">IF($E262="","",$E262*G262)</f>
        <v/>
      </c>
      <c r="K262" s="30" t="str">
        <f aca="false">IF($E262="","",I262+J262)</f>
        <v/>
      </c>
      <c r="L262" s="53" t="str">
        <f aca="false">IF($E262="","",IF(R262=0,"SEM CUSTO — falta linha de custo","OK"))</f>
        <v/>
      </c>
      <c r="M262" s="67" t="str">
        <f aca="false">IF(AND(ISNUMBER(E262),NOT(ISNUMBER(E261))),"F"&amp;ROW()&amp;":G"&amp;X262,"")</f>
        <v/>
      </c>
      <c r="N262" s="30" t="str">
        <f aca="false">IF($E262="","",SUMIFS('Rateio Anexo'!$K$6:$K$600,'Rateio Anexo'!$D$6:$D$600,$B262,'Rateio Anexo'!$B$6:$B$600,"MAT"))</f>
        <v/>
      </c>
      <c r="O262" s="30" t="str">
        <f aca="false">IF($E262="","",SUMIFS('Rateio Anexo'!$K$6:$K$600,'Rateio Anexo'!$D$6:$D$600,$B262,'Rateio Anexo'!$B$6:$B$600,"MO"))</f>
        <v/>
      </c>
      <c r="P262" s="30" t="str">
        <f aca="false">IF($E262="","",IF($N$3=0,0,N262/$N$3*$R$4))</f>
        <v/>
      </c>
      <c r="Q262" s="30" t="str">
        <f aca="false">IF($E262="","",IF($O$3=0,0,O262/$O$3*$T$4))</f>
        <v/>
      </c>
      <c r="R262" s="30" t="str">
        <f aca="false">IF($E262="","",N262+O262+P262+Q262)</f>
        <v/>
      </c>
      <c r="S262" s="30" t="str">
        <f aca="false">IF($E262="","",(N262+P262)*Precificação!$B$19)</f>
        <v/>
      </c>
      <c r="T262" s="30" t="str">
        <f aca="false">IF($E262="","",(O262+Q262)*Precificação!$B$20)</f>
        <v/>
      </c>
      <c r="U262" s="68" t="str">
        <f aca="false">IF($E262="","",IF($E262=INT($E262),0.01,IF($E262*2=INT($E262*2),0.02,0.05)))</f>
        <v/>
      </c>
      <c r="V262" s="30" t="str">
        <f aca="false">IF($E262="","",ROUND(S262/$E262/U262,0)*U262)</f>
        <v/>
      </c>
      <c r="W262" s="30" t="str">
        <f aca="false">IF($E262="","",ROUND(T262/$E262/U262,0)*U262)</f>
        <v/>
      </c>
      <c r="X262" s="14" t="str">
        <f aca="false">IF(NOT(ISNUMBER(E262)),"",IF(NOT(ISNUMBER(E263)),ROW(),X263))</f>
        <v/>
      </c>
    </row>
    <row r="263" customFormat="false" ht="15" hidden="false" customHeight="false" outlineLevel="0" collapsed="false">
      <c r="F263" s="66" t="str">
        <f aca="false">IF($E263="","",V263)</f>
        <v/>
      </c>
      <c r="G263" s="66" t="str">
        <f aca="false">IF($E263="","",ROUND(W263+IF($B263=Precificação!$B$26,$F$3/$E263,0),2))</f>
        <v/>
      </c>
      <c r="H263" s="30" t="str">
        <f aca="false">IF($E263="","",F263+G263)</f>
        <v/>
      </c>
      <c r="I263" s="30" t="str">
        <f aca="false">IF($E263="","",$E263*F263)</f>
        <v/>
      </c>
      <c r="J263" s="30" t="str">
        <f aca="false">IF($E263="","",$E263*G263)</f>
        <v/>
      </c>
      <c r="K263" s="30" t="str">
        <f aca="false">IF($E263="","",I263+J263)</f>
        <v/>
      </c>
      <c r="L263" s="53" t="str">
        <f aca="false">IF($E263="","",IF(R263=0,"SEM CUSTO — falta linha de custo","OK"))</f>
        <v/>
      </c>
      <c r="M263" s="67" t="str">
        <f aca="false">IF(AND(ISNUMBER(E263),NOT(ISNUMBER(E262))),"F"&amp;ROW()&amp;":G"&amp;X263,"")</f>
        <v/>
      </c>
      <c r="N263" s="30" t="str">
        <f aca="false">IF($E263="","",SUMIFS('Rateio Anexo'!$K$6:$K$600,'Rateio Anexo'!$D$6:$D$600,$B263,'Rateio Anexo'!$B$6:$B$600,"MAT"))</f>
        <v/>
      </c>
      <c r="O263" s="30" t="str">
        <f aca="false">IF($E263="","",SUMIFS('Rateio Anexo'!$K$6:$K$600,'Rateio Anexo'!$D$6:$D$600,$B263,'Rateio Anexo'!$B$6:$B$600,"MO"))</f>
        <v/>
      </c>
      <c r="P263" s="30" t="str">
        <f aca="false">IF($E263="","",IF($N$3=0,0,N263/$N$3*$R$4))</f>
        <v/>
      </c>
      <c r="Q263" s="30" t="str">
        <f aca="false">IF($E263="","",IF($O$3=0,0,O263/$O$3*$T$4))</f>
        <v/>
      </c>
      <c r="R263" s="30" t="str">
        <f aca="false">IF($E263="","",N263+O263+P263+Q263)</f>
        <v/>
      </c>
      <c r="S263" s="30" t="str">
        <f aca="false">IF($E263="","",(N263+P263)*Precificação!$B$19)</f>
        <v/>
      </c>
      <c r="T263" s="30" t="str">
        <f aca="false">IF($E263="","",(O263+Q263)*Precificação!$B$20)</f>
        <v/>
      </c>
      <c r="U263" s="68" t="str">
        <f aca="false">IF($E263="","",IF($E263=INT($E263),0.01,IF($E263*2=INT($E263*2),0.02,0.05)))</f>
        <v/>
      </c>
      <c r="V263" s="30" t="str">
        <f aca="false">IF($E263="","",ROUND(S263/$E263/U263,0)*U263)</f>
        <v/>
      </c>
      <c r="W263" s="30" t="str">
        <f aca="false">IF($E263="","",ROUND(T263/$E263/U263,0)*U263)</f>
        <v/>
      </c>
      <c r="X263" s="14" t="str">
        <f aca="false">IF(NOT(ISNUMBER(E263)),"",IF(NOT(ISNUMBER(E264)),ROW(),X264))</f>
        <v/>
      </c>
    </row>
    <row r="264" customFormat="false" ht="15" hidden="false" customHeight="false" outlineLevel="0" collapsed="false">
      <c r="F264" s="66" t="str">
        <f aca="false">IF($E264="","",V264)</f>
        <v/>
      </c>
      <c r="G264" s="66" t="str">
        <f aca="false">IF($E264="","",ROUND(W264+IF($B264=Precificação!$B$26,$F$3/$E264,0),2))</f>
        <v/>
      </c>
      <c r="H264" s="30" t="str">
        <f aca="false">IF($E264="","",F264+G264)</f>
        <v/>
      </c>
      <c r="I264" s="30" t="str">
        <f aca="false">IF($E264="","",$E264*F264)</f>
        <v/>
      </c>
      <c r="J264" s="30" t="str">
        <f aca="false">IF($E264="","",$E264*G264)</f>
        <v/>
      </c>
      <c r="K264" s="30" t="str">
        <f aca="false">IF($E264="","",I264+J264)</f>
        <v/>
      </c>
      <c r="L264" s="53" t="str">
        <f aca="false">IF($E264="","",IF(R264=0,"SEM CUSTO — falta linha de custo","OK"))</f>
        <v/>
      </c>
      <c r="M264" s="67" t="str">
        <f aca="false">IF(AND(ISNUMBER(E264),NOT(ISNUMBER(E263))),"F"&amp;ROW()&amp;":G"&amp;X264,"")</f>
        <v/>
      </c>
      <c r="N264" s="30" t="str">
        <f aca="false">IF($E264="","",SUMIFS('Rateio Anexo'!$K$6:$K$600,'Rateio Anexo'!$D$6:$D$600,$B264,'Rateio Anexo'!$B$6:$B$600,"MAT"))</f>
        <v/>
      </c>
      <c r="O264" s="30" t="str">
        <f aca="false">IF($E264="","",SUMIFS('Rateio Anexo'!$K$6:$K$600,'Rateio Anexo'!$D$6:$D$600,$B264,'Rateio Anexo'!$B$6:$B$600,"MO"))</f>
        <v/>
      </c>
      <c r="P264" s="30" t="str">
        <f aca="false">IF($E264="","",IF($N$3=0,0,N264/$N$3*$R$4))</f>
        <v/>
      </c>
      <c r="Q264" s="30" t="str">
        <f aca="false">IF($E264="","",IF($O$3=0,0,O264/$O$3*$T$4))</f>
        <v/>
      </c>
      <c r="R264" s="30" t="str">
        <f aca="false">IF($E264="","",N264+O264+P264+Q264)</f>
        <v/>
      </c>
      <c r="S264" s="30" t="str">
        <f aca="false">IF($E264="","",(N264+P264)*Precificação!$B$19)</f>
        <v/>
      </c>
      <c r="T264" s="30" t="str">
        <f aca="false">IF($E264="","",(O264+Q264)*Precificação!$B$20)</f>
        <v/>
      </c>
      <c r="U264" s="68" t="str">
        <f aca="false">IF($E264="","",IF($E264=INT($E264),0.01,IF($E264*2=INT($E264*2),0.02,0.05)))</f>
        <v/>
      </c>
      <c r="V264" s="30" t="str">
        <f aca="false">IF($E264="","",ROUND(S264/$E264/U264,0)*U264)</f>
        <v/>
      </c>
      <c r="W264" s="30" t="str">
        <f aca="false">IF($E264="","",ROUND(T264/$E264/U264,0)*U264)</f>
        <v/>
      </c>
      <c r="X264" s="14" t="str">
        <f aca="false">IF(NOT(ISNUMBER(E264)),"",IF(NOT(ISNUMBER(E265)),ROW(),X265))</f>
        <v/>
      </c>
    </row>
    <row r="265" customFormat="false" ht="15" hidden="false" customHeight="false" outlineLevel="0" collapsed="false">
      <c r="F265" s="66" t="str">
        <f aca="false">IF($E265="","",V265)</f>
        <v/>
      </c>
      <c r="G265" s="66" t="str">
        <f aca="false">IF($E265="","",ROUND(W265+IF($B265=Precificação!$B$26,$F$3/$E265,0),2))</f>
        <v/>
      </c>
      <c r="H265" s="30" t="str">
        <f aca="false">IF($E265="","",F265+G265)</f>
        <v/>
      </c>
      <c r="I265" s="30" t="str">
        <f aca="false">IF($E265="","",$E265*F265)</f>
        <v/>
      </c>
      <c r="J265" s="30" t="str">
        <f aca="false">IF($E265="","",$E265*G265)</f>
        <v/>
      </c>
      <c r="K265" s="30" t="str">
        <f aca="false">IF($E265="","",I265+J265)</f>
        <v/>
      </c>
      <c r="L265" s="53" t="str">
        <f aca="false">IF($E265="","",IF(R265=0,"SEM CUSTO — falta linha de custo","OK"))</f>
        <v/>
      </c>
      <c r="M265" s="67" t="str">
        <f aca="false">IF(AND(ISNUMBER(E265),NOT(ISNUMBER(E264))),"F"&amp;ROW()&amp;":G"&amp;X265,"")</f>
        <v/>
      </c>
      <c r="N265" s="30" t="str">
        <f aca="false">IF($E265="","",SUMIFS('Rateio Anexo'!$K$6:$K$600,'Rateio Anexo'!$D$6:$D$600,$B265,'Rateio Anexo'!$B$6:$B$600,"MAT"))</f>
        <v/>
      </c>
      <c r="O265" s="30" t="str">
        <f aca="false">IF($E265="","",SUMIFS('Rateio Anexo'!$K$6:$K$600,'Rateio Anexo'!$D$6:$D$600,$B265,'Rateio Anexo'!$B$6:$B$600,"MO"))</f>
        <v/>
      </c>
      <c r="P265" s="30" t="str">
        <f aca="false">IF($E265="","",IF($N$3=0,0,N265/$N$3*$R$4))</f>
        <v/>
      </c>
      <c r="Q265" s="30" t="str">
        <f aca="false">IF($E265="","",IF($O$3=0,0,O265/$O$3*$T$4))</f>
        <v/>
      </c>
      <c r="R265" s="30" t="str">
        <f aca="false">IF($E265="","",N265+O265+P265+Q265)</f>
        <v/>
      </c>
      <c r="S265" s="30" t="str">
        <f aca="false">IF($E265="","",(N265+P265)*Precificação!$B$19)</f>
        <v/>
      </c>
      <c r="T265" s="30" t="str">
        <f aca="false">IF($E265="","",(O265+Q265)*Precificação!$B$20)</f>
        <v/>
      </c>
      <c r="U265" s="68" t="str">
        <f aca="false">IF($E265="","",IF($E265=INT($E265),0.01,IF($E265*2=INT($E265*2),0.02,0.05)))</f>
        <v/>
      </c>
      <c r="V265" s="30" t="str">
        <f aca="false">IF($E265="","",ROUND(S265/$E265/U265,0)*U265)</f>
        <v/>
      </c>
      <c r="W265" s="30" t="str">
        <f aca="false">IF($E265="","",ROUND(T265/$E265/U265,0)*U265)</f>
        <v/>
      </c>
      <c r="X265" s="14" t="str">
        <f aca="false">IF(NOT(ISNUMBER(E265)),"",IF(NOT(ISNUMBER(E266)),ROW(),X266))</f>
        <v/>
      </c>
    </row>
    <row r="266" customFormat="false" ht="15" hidden="false" customHeight="false" outlineLevel="0" collapsed="false">
      <c r="F266" s="66" t="str">
        <f aca="false">IF($E266="","",V266)</f>
        <v/>
      </c>
      <c r="G266" s="66" t="str">
        <f aca="false">IF($E266="","",ROUND(W266+IF($B266=Precificação!$B$26,$F$3/$E266,0),2))</f>
        <v/>
      </c>
      <c r="H266" s="30" t="str">
        <f aca="false">IF($E266="","",F266+G266)</f>
        <v/>
      </c>
      <c r="I266" s="30" t="str">
        <f aca="false">IF($E266="","",$E266*F266)</f>
        <v/>
      </c>
      <c r="J266" s="30" t="str">
        <f aca="false">IF($E266="","",$E266*G266)</f>
        <v/>
      </c>
      <c r="K266" s="30" t="str">
        <f aca="false">IF($E266="","",I266+J266)</f>
        <v/>
      </c>
      <c r="L266" s="53" t="str">
        <f aca="false">IF($E266="","",IF(R266=0,"SEM CUSTO — falta linha de custo","OK"))</f>
        <v/>
      </c>
      <c r="M266" s="67" t="str">
        <f aca="false">IF(AND(ISNUMBER(E266),NOT(ISNUMBER(E265))),"F"&amp;ROW()&amp;":G"&amp;X266,"")</f>
        <v/>
      </c>
      <c r="N266" s="30" t="str">
        <f aca="false">IF($E266="","",SUMIFS('Rateio Anexo'!$K$6:$K$600,'Rateio Anexo'!$D$6:$D$600,$B266,'Rateio Anexo'!$B$6:$B$600,"MAT"))</f>
        <v/>
      </c>
      <c r="O266" s="30" t="str">
        <f aca="false">IF($E266="","",SUMIFS('Rateio Anexo'!$K$6:$K$600,'Rateio Anexo'!$D$6:$D$600,$B266,'Rateio Anexo'!$B$6:$B$600,"MO"))</f>
        <v/>
      </c>
      <c r="P266" s="30" t="str">
        <f aca="false">IF($E266="","",IF($N$3=0,0,N266/$N$3*$R$4))</f>
        <v/>
      </c>
      <c r="Q266" s="30" t="str">
        <f aca="false">IF($E266="","",IF($O$3=0,0,O266/$O$3*$T$4))</f>
        <v/>
      </c>
      <c r="R266" s="30" t="str">
        <f aca="false">IF($E266="","",N266+O266+P266+Q266)</f>
        <v/>
      </c>
      <c r="S266" s="30" t="str">
        <f aca="false">IF($E266="","",(N266+P266)*Precificação!$B$19)</f>
        <v/>
      </c>
      <c r="T266" s="30" t="str">
        <f aca="false">IF($E266="","",(O266+Q266)*Precificação!$B$20)</f>
        <v/>
      </c>
      <c r="U266" s="68" t="str">
        <f aca="false">IF($E266="","",IF($E266=INT($E266),0.01,IF($E266*2=INT($E266*2),0.02,0.05)))</f>
        <v/>
      </c>
      <c r="V266" s="30" t="str">
        <f aca="false">IF($E266="","",ROUND(S266/$E266/U266,0)*U266)</f>
        <v/>
      </c>
      <c r="W266" s="30" t="str">
        <f aca="false">IF($E266="","",ROUND(T266/$E266/U266,0)*U266)</f>
        <v/>
      </c>
      <c r="X266" s="14" t="str">
        <f aca="false">IF(NOT(ISNUMBER(E266)),"",IF(NOT(ISNUMBER(E267)),ROW(),X267))</f>
        <v/>
      </c>
    </row>
    <row r="267" customFormat="false" ht="15" hidden="false" customHeight="false" outlineLevel="0" collapsed="false">
      <c r="F267" s="66" t="str">
        <f aca="false">IF($E267="","",V267)</f>
        <v/>
      </c>
      <c r="G267" s="66" t="str">
        <f aca="false">IF($E267="","",ROUND(W267+IF($B267=Precificação!$B$26,$F$3/$E267,0),2))</f>
        <v/>
      </c>
      <c r="H267" s="30" t="str">
        <f aca="false">IF($E267="","",F267+G267)</f>
        <v/>
      </c>
      <c r="I267" s="30" t="str">
        <f aca="false">IF($E267="","",$E267*F267)</f>
        <v/>
      </c>
      <c r="J267" s="30" t="str">
        <f aca="false">IF($E267="","",$E267*G267)</f>
        <v/>
      </c>
      <c r="K267" s="30" t="str">
        <f aca="false">IF($E267="","",I267+J267)</f>
        <v/>
      </c>
      <c r="L267" s="53" t="str">
        <f aca="false">IF($E267="","",IF(R267=0,"SEM CUSTO — falta linha de custo","OK"))</f>
        <v/>
      </c>
      <c r="M267" s="67" t="str">
        <f aca="false">IF(AND(ISNUMBER(E267),NOT(ISNUMBER(E266))),"F"&amp;ROW()&amp;":G"&amp;X267,"")</f>
        <v/>
      </c>
      <c r="N267" s="30" t="str">
        <f aca="false">IF($E267="","",SUMIFS('Rateio Anexo'!$K$6:$K$600,'Rateio Anexo'!$D$6:$D$600,$B267,'Rateio Anexo'!$B$6:$B$600,"MAT"))</f>
        <v/>
      </c>
      <c r="O267" s="30" t="str">
        <f aca="false">IF($E267="","",SUMIFS('Rateio Anexo'!$K$6:$K$600,'Rateio Anexo'!$D$6:$D$600,$B267,'Rateio Anexo'!$B$6:$B$600,"MO"))</f>
        <v/>
      </c>
      <c r="P267" s="30" t="str">
        <f aca="false">IF($E267="","",IF($N$3=0,0,N267/$N$3*$R$4))</f>
        <v/>
      </c>
      <c r="Q267" s="30" t="str">
        <f aca="false">IF($E267="","",IF($O$3=0,0,O267/$O$3*$T$4))</f>
        <v/>
      </c>
      <c r="R267" s="30" t="str">
        <f aca="false">IF($E267="","",N267+O267+P267+Q267)</f>
        <v/>
      </c>
      <c r="S267" s="30" t="str">
        <f aca="false">IF($E267="","",(N267+P267)*Precificação!$B$19)</f>
        <v/>
      </c>
      <c r="T267" s="30" t="str">
        <f aca="false">IF($E267="","",(O267+Q267)*Precificação!$B$20)</f>
        <v/>
      </c>
      <c r="U267" s="68" t="str">
        <f aca="false">IF($E267="","",IF($E267=INT($E267),0.01,IF($E267*2=INT($E267*2),0.02,0.05)))</f>
        <v/>
      </c>
      <c r="V267" s="30" t="str">
        <f aca="false">IF($E267="","",ROUND(S267/$E267/U267,0)*U267)</f>
        <v/>
      </c>
      <c r="W267" s="30" t="str">
        <f aca="false">IF($E267="","",ROUND(T267/$E267/U267,0)*U267)</f>
        <v/>
      </c>
      <c r="X267" s="14" t="str">
        <f aca="false">IF(NOT(ISNUMBER(E267)),"",IF(NOT(ISNUMBER(E268)),ROW(),X268))</f>
        <v/>
      </c>
    </row>
    <row r="268" customFormat="false" ht="15" hidden="false" customHeight="false" outlineLevel="0" collapsed="false">
      <c r="F268" s="66" t="str">
        <f aca="false">IF($E268="","",V268)</f>
        <v/>
      </c>
      <c r="G268" s="66" t="str">
        <f aca="false">IF($E268="","",ROUND(W268+IF($B268=Precificação!$B$26,$F$3/$E268,0),2))</f>
        <v/>
      </c>
      <c r="H268" s="30" t="str">
        <f aca="false">IF($E268="","",F268+G268)</f>
        <v/>
      </c>
      <c r="I268" s="30" t="str">
        <f aca="false">IF($E268="","",$E268*F268)</f>
        <v/>
      </c>
      <c r="J268" s="30" t="str">
        <f aca="false">IF($E268="","",$E268*G268)</f>
        <v/>
      </c>
      <c r="K268" s="30" t="str">
        <f aca="false">IF($E268="","",I268+J268)</f>
        <v/>
      </c>
      <c r="L268" s="53" t="str">
        <f aca="false">IF($E268="","",IF(R268=0,"SEM CUSTO — falta linha de custo","OK"))</f>
        <v/>
      </c>
      <c r="M268" s="67" t="str">
        <f aca="false">IF(AND(ISNUMBER(E268),NOT(ISNUMBER(E267))),"F"&amp;ROW()&amp;":G"&amp;X268,"")</f>
        <v/>
      </c>
      <c r="N268" s="30" t="str">
        <f aca="false">IF($E268="","",SUMIFS('Rateio Anexo'!$K$6:$K$600,'Rateio Anexo'!$D$6:$D$600,$B268,'Rateio Anexo'!$B$6:$B$600,"MAT"))</f>
        <v/>
      </c>
      <c r="O268" s="30" t="str">
        <f aca="false">IF($E268="","",SUMIFS('Rateio Anexo'!$K$6:$K$600,'Rateio Anexo'!$D$6:$D$600,$B268,'Rateio Anexo'!$B$6:$B$600,"MO"))</f>
        <v/>
      </c>
      <c r="P268" s="30" t="str">
        <f aca="false">IF($E268="","",IF($N$3=0,0,N268/$N$3*$R$4))</f>
        <v/>
      </c>
      <c r="Q268" s="30" t="str">
        <f aca="false">IF($E268="","",IF($O$3=0,0,O268/$O$3*$T$4))</f>
        <v/>
      </c>
      <c r="R268" s="30" t="str">
        <f aca="false">IF($E268="","",N268+O268+P268+Q268)</f>
        <v/>
      </c>
      <c r="S268" s="30" t="str">
        <f aca="false">IF($E268="","",(N268+P268)*Precificação!$B$19)</f>
        <v/>
      </c>
      <c r="T268" s="30" t="str">
        <f aca="false">IF($E268="","",(O268+Q268)*Precificação!$B$20)</f>
        <v/>
      </c>
      <c r="U268" s="68" t="str">
        <f aca="false">IF($E268="","",IF($E268=INT($E268),0.01,IF($E268*2=INT($E268*2),0.02,0.05)))</f>
        <v/>
      </c>
      <c r="V268" s="30" t="str">
        <f aca="false">IF($E268="","",ROUND(S268/$E268/U268,0)*U268)</f>
        <v/>
      </c>
      <c r="W268" s="30" t="str">
        <f aca="false">IF($E268="","",ROUND(T268/$E268/U268,0)*U268)</f>
        <v/>
      </c>
      <c r="X268" s="14" t="str">
        <f aca="false">IF(NOT(ISNUMBER(E268)),"",IF(NOT(ISNUMBER(E269)),ROW(),X269))</f>
        <v/>
      </c>
    </row>
    <row r="269" customFormat="false" ht="15" hidden="false" customHeight="false" outlineLevel="0" collapsed="false">
      <c r="F269" s="66" t="str">
        <f aca="false">IF($E269="","",V269)</f>
        <v/>
      </c>
      <c r="G269" s="66" t="str">
        <f aca="false">IF($E269="","",ROUND(W269+IF($B269=Precificação!$B$26,$F$3/$E269,0),2))</f>
        <v/>
      </c>
      <c r="H269" s="30" t="str">
        <f aca="false">IF($E269="","",F269+G269)</f>
        <v/>
      </c>
      <c r="I269" s="30" t="str">
        <f aca="false">IF($E269="","",$E269*F269)</f>
        <v/>
      </c>
      <c r="J269" s="30" t="str">
        <f aca="false">IF($E269="","",$E269*G269)</f>
        <v/>
      </c>
      <c r="K269" s="30" t="str">
        <f aca="false">IF($E269="","",I269+J269)</f>
        <v/>
      </c>
      <c r="L269" s="53" t="str">
        <f aca="false">IF($E269="","",IF(R269=0,"SEM CUSTO — falta linha de custo","OK"))</f>
        <v/>
      </c>
      <c r="M269" s="67" t="str">
        <f aca="false">IF(AND(ISNUMBER(E269),NOT(ISNUMBER(E268))),"F"&amp;ROW()&amp;":G"&amp;X269,"")</f>
        <v/>
      </c>
      <c r="N269" s="30" t="str">
        <f aca="false">IF($E269="","",SUMIFS('Rateio Anexo'!$K$6:$K$600,'Rateio Anexo'!$D$6:$D$600,$B269,'Rateio Anexo'!$B$6:$B$600,"MAT"))</f>
        <v/>
      </c>
      <c r="O269" s="30" t="str">
        <f aca="false">IF($E269="","",SUMIFS('Rateio Anexo'!$K$6:$K$600,'Rateio Anexo'!$D$6:$D$600,$B269,'Rateio Anexo'!$B$6:$B$600,"MO"))</f>
        <v/>
      </c>
      <c r="P269" s="30" t="str">
        <f aca="false">IF($E269="","",IF($N$3=0,0,N269/$N$3*$R$4))</f>
        <v/>
      </c>
      <c r="Q269" s="30" t="str">
        <f aca="false">IF($E269="","",IF($O$3=0,0,O269/$O$3*$T$4))</f>
        <v/>
      </c>
      <c r="R269" s="30" t="str">
        <f aca="false">IF($E269="","",N269+O269+P269+Q269)</f>
        <v/>
      </c>
      <c r="S269" s="30" t="str">
        <f aca="false">IF($E269="","",(N269+P269)*Precificação!$B$19)</f>
        <v/>
      </c>
      <c r="T269" s="30" t="str">
        <f aca="false">IF($E269="","",(O269+Q269)*Precificação!$B$20)</f>
        <v/>
      </c>
      <c r="U269" s="68" t="str">
        <f aca="false">IF($E269="","",IF($E269=INT($E269),0.01,IF($E269*2=INT($E269*2),0.02,0.05)))</f>
        <v/>
      </c>
      <c r="V269" s="30" t="str">
        <f aca="false">IF($E269="","",ROUND(S269/$E269/U269,0)*U269)</f>
        <v/>
      </c>
      <c r="W269" s="30" t="str">
        <f aca="false">IF($E269="","",ROUND(T269/$E269/U269,0)*U269)</f>
        <v/>
      </c>
      <c r="X269" s="14" t="str">
        <f aca="false">IF(NOT(ISNUMBER(E269)),"",IF(NOT(ISNUMBER(E270)),ROW(),X270))</f>
        <v/>
      </c>
    </row>
    <row r="270" customFormat="false" ht="15" hidden="false" customHeight="false" outlineLevel="0" collapsed="false">
      <c r="F270" s="66" t="str">
        <f aca="false">IF($E270="","",V270)</f>
        <v/>
      </c>
      <c r="G270" s="66" t="str">
        <f aca="false">IF($E270="","",ROUND(W270+IF($B270=Precificação!$B$26,$F$3/$E270,0),2))</f>
        <v/>
      </c>
      <c r="H270" s="30" t="str">
        <f aca="false">IF($E270="","",F270+G270)</f>
        <v/>
      </c>
      <c r="I270" s="30" t="str">
        <f aca="false">IF($E270="","",$E270*F270)</f>
        <v/>
      </c>
      <c r="J270" s="30" t="str">
        <f aca="false">IF($E270="","",$E270*G270)</f>
        <v/>
      </c>
      <c r="K270" s="30" t="str">
        <f aca="false">IF($E270="","",I270+J270)</f>
        <v/>
      </c>
      <c r="L270" s="53" t="str">
        <f aca="false">IF($E270="","",IF(R270=0,"SEM CUSTO — falta linha de custo","OK"))</f>
        <v/>
      </c>
      <c r="M270" s="67" t="str">
        <f aca="false">IF(AND(ISNUMBER(E270),NOT(ISNUMBER(E269))),"F"&amp;ROW()&amp;":G"&amp;X270,"")</f>
        <v/>
      </c>
      <c r="N270" s="30" t="str">
        <f aca="false">IF($E270="","",SUMIFS('Rateio Anexo'!$K$6:$K$600,'Rateio Anexo'!$D$6:$D$600,$B270,'Rateio Anexo'!$B$6:$B$600,"MAT"))</f>
        <v/>
      </c>
      <c r="O270" s="30" t="str">
        <f aca="false">IF($E270="","",SUMIFS('Rateio Anexo'!$K$6:$K$600,'Rateio Anexo'!$D$6:$D$600,$B270,'Rateio Anexo'!$B$6:$B$600,"MO"))</f>
        <v/>
      </c>
      <c r="P270" s="30" t="str">
        <f aca="false">IF($E270="","",IF($N$3=0,0,N270/$N$3*$R$4))</f>
        <v/>
      </c>
      <c r="Q270" s="30" t="str">
        <f aca="false">IF($E270="","",IF($O$3=0,0,O270/$O$3*$T$4))</f>
        <v/>
      </c>
      <c r="R270" s="30" t="str">
        <f aca="false">IF($E270="","",N270+O270+P270+Q270)</f>
        <v/>
      </c>
      <c r="S270" s="30" t="str">
        <f aca="false">IF($E270="","",(N270+P270)*Precificação!$B$19)</f>
        <v/>
      </c>
      <c r="T270" s="30" t="str">
        <f aca="false">IF($E270="","",(O270+Q270)*Precificação!$B$20)</f>
        <v/>
      </c>
      <c r="U270" s="68" t="str">
        <f aca="false">IF($E270="","",IF($E270=INT($E270),0.01,IF($E270*2=INT($E270*2),0.02,0.05)))</f>
        <v/>
      </c>
      <c r="V270" s="30" t="str">
        <f aca="false">IF($E270="","",ROUND(S270/$E270/U270,0)*U270)</f>
        <v/>
      </c>
      <c r="W270" s="30" t="str">
        <f aca="false">IF($E270="","",ROUND(T270/$E270/U270,0)*U270)</f>
        <v/>
      </c>
      <c r="X270" s="14" t="str">
        <f aca="false">IF(NOT(ISNUMBER(E270)),"",IF(NOT(ISNUMBER(E271)),ROW(),X271))</f>
        <v/>
      </c>
    </row>
    <row r="271" customFormat="false" ht="15" hidden="false" customHeight="false" outlineLevel="0" collapsed="false">
      <c r="F271" s="66" t="str">
        <f aca="false">IF($E271="","",V271)</f>
        <v/>
      </c>
      <c r="G271" s="66" t="str">
        <f aca="false">IF($E271="","",ROUND(W271+IF($B271=Precificação!$B$26,$F$3/$E271,0),2))</f>
        <v/>
      </c>
      <c r="H271" s="30" t="str">
        <f aca="false">IF($E271="","",F271+G271)</f>
        <v/>
      </c>
      <c r="I271" s="30" t="str">
        <f aca="false">IF($E271="","",$E271*F271)</f>
        <v/>
      </c>
      <c r="J271" s="30" t="str">
        <f aca="false">IF($E271="","",$E271*G271)</f>
        <v/>
      </c>
      <c r="K271" s="30" t="str">
        <f aca="false">IF($E271="","",I271+J271)</f>
        <v/>
      </c>
      <c r="L271" s="53" t="str">
        <f aca="false">IF($E271="","",IF(R271=0,"SEM CUSTO — falta linha de custo","OK"))</f>
        <v/>
      </c>
      <c r="M271" s="67" t="str">
        <f aca="false">IF(AND(ISNUMBER(E271),NOT(ISNUMBER(E270))),"F"&amp;ROW()&amp;":G"&amp;X271,"")</f>
        <v/>
      </c>
      <c r="N271" s="30" t="str">
        <f aca="false">IF($E271="","",SUMIFS('Rateio Anexo'!$K$6:$K$600,'Rateio Anexo'!$D$6:$D$600,$B271,'Rateio Anexo'!$B$6:$B$600,"MAT"))</f>
        <v/>
      </c>
      <c r="O271" s="30" t="str">
        <f aca="false">IF($E271="","",SUMIFS('Rateio Anexo'!$K$6:$K$600,'Rateio Anexo'!$D$6:$D$600,$B271,'Rateio Anexo'!$B$6:$B$600,"MO"))</f>
        <v/>
      </c>
      <c r="P271" s="30" t="str">
        <f aca="false">IF($E271="","",IF($N$3=0,0,N271/$N$3*$R$4))</f>
        <v/>
      </c>
      <c r="Q271" s="30" t="str">
        <f aca="false">IF($E271="","",IF($O$3=0,0,O271/$O$3*$T$4))</f>
        <v/>
      </c>
      <c r="R271" s="30" t="str">
        <f aca="false">IF($E271="","",N271+O271+P271+Q271)</f>
        <v/>
      </c>
      <c r="S271" s="30" t="str">
        <f aca="false">IF($E271="","",(N271+P271)*Precificação!$B$19)</f>
        <v/>
      </c>
      <c r="T271" s="30" t="str">
        <f aca="false">IF($E271="","",(O271+Q271)*Precificação!$B$20)</f>
        <v/>
      </c>
      <c r="U271" s="68" t="str">
        <f aca="false">IF($E271="","",IF($E271=INT($E271),0.01,IF($E271*2=INT($E271*2),0.02,0.05)))</f>
        <v/>
      </c>
      <c r="V271" s="30" t="str">
        <f aca="false">IF($E271="","",ROUND(S271/$E271/U271,0)*U271)</f>
        <v/>
      </c>
      <c r="W271" s="30" t="str">
        <f aca="false">IF($E271="","",ROUND(T271/$E271/U271,0)*U271)</f>
        <v/>
      </c>
      <c r="X271" s="14" t="str">
        <f aca="false">IF(NOT(ISNUMBER(E271)),"",IF(NOT(ISNUMBER(E272)),ROW(),X272))</f>
        <v/>
      </c>
    </row>
    <row r="272" customFormat="false" ht="15" hidden="false" customHeight="false" outlineLevel="0" collapsed="false">
      <c r="F272" s="66" t="str">
        <f aca="false">IF($E272="","",V272)</f>
        <v/>
      </c>
      <c r="G272" s="66" t="str">
        <f aca="false">IF($E272="","",ROUND(W272+IF($B272=Precificação!$B$26,$F$3/$E272,0),2))</f>
        <v/>
      </c>
      <c r="H272" s="30" t="str">
        <f aca="false">IF($E272="","",F272+G272)</f>
        <v/>
      </c>
      <c r="I272" s="30" t="str">
        <f aca="false">IF($E272="","",$E272*F272)</f>
        <v/>
      </c>
      <c r="J272" s="30" t="str">
        <f aca="false">IF($E272="","",$E272*G272)</f>
        <v/>
      </c>
      <c r="K272" s="30" t="str">
        <f aca="false">IF($E272="","",I272+J272)</f>
        <v/>
      </c>
      <c r="L272" s="53" t="str">
        <f aca="false">IF($E272="","",IF(R272=0,"SEM CUSTO — falta linha de custo","OK"))</f>
        <v/>
      </c>
      <c r="M272" s="67" t="str">
        <f aca="false">IF(AND(ISNUMBER(E272),NOT(ISNUMBER(E271))),"F"&amp;ROW()&amp;":G"&amp;X272,"")</f>
        <v/>
      </c>
      <c r="N272" s="30" t="str">
        <f aca="false">IF($E272="","",SUMIFS('Rateio Anexo'!$K$6:$K$600,'Rateio Anexo'!$D$6:$D$600,$B272,'Rateio Anexo'!$B$6:$B$600,"MAT"))</f>
        <v/>
      </c>
      <c r="O272" s="30" t="str">
        <f aca="false">IF($E272="","",SUMIFS('Rateio Anexo'!$K$6:$K$600,'Rateio Anexo'!$D$6:$D$600,$B272,'Rateio Anexo'!$B$6:$B$600,"MO"))</f>
        <v/>
      </c>
      <c r="P272" s="30" t="str">
        <f aca="false">IF($E272="","",IF($N$3=0,0,N272/$N$3*$R$4))</f>
        <v/>
      </c>
      <c r="Q272" s="30" t="str">
        <f aca="false">IF($E272="","",IF($O$3=0,0,O272/$O$3*$T$4))</f>
        <v/>
      </c>
      <c r="R272" s="30" t="str">
        <f aca="false">IF($E272="","",N272+O272+P272+Q272)</f>
        <v/>
      </c>
      <c r="S272" s="30" t="str">
        <f aca="false">IF($E272="","",(N272+P272)*Precificação!$B$19)</f>
        <v/>
      </c>
      <c r="T272" s="30" t="str">
        <f aca="false">IF($E272="","",(O272+Q272)*Precificação!$B$20)</f>
        <v/>
      </c>
      <c r="U272" s="68" t="str">
        <f aca="false">IF($E272="","",IF($E272=INT($E272),0.01,IF($E272*2=INT($E272*2),0.02,0.05)))</f>
        <v/>
      </c>
      <c r="V272" s="30" t="str">
        <f aca="false">IF($E272="","",ROUND(S272/$E272/U272,0)*U272)</f>
        <v/>
      </c>
      <c r="W272" s="30" t="str">
        <f aca="false">IF($E272="","",ROUND(T272/$E272/U272,0)*U272)</f>
        <v/>
      </c>
      <c r="X272" s="14" t="str">
        <f aca="false">IF(NOT(ISNUMBER(E272)),"",IF(NOT(ISNUMBER(E273)),ROW(),X273))</f>
        <v/>
      </c>
    </row>
    <row r="273" customFormat="false" ht="15" hidden="false" customHeight="false" outlineLevel="0" collapsed="false">
      <c r="F273" s="66" t="str">
        <f aca="false">IF($E273="","",V273)</f>
        <v/>
      </c>
      <c r="G273" s="66" t="str">
        <f aca="false">IF($E273="","",ROUND(W273+IF($B273=Precificação!$B$26,$F$3/$E273,0),2))</f>
        <v/>
      </c>
      <c r="H273" s="30" t="str">
        <f aca="false">IF($E273="","",F273+G273)</f>
        <v/>
      </c>
      <c r="I273" s="30" t="str">
        <f aca="false">IF($E273="","",$E273*F273)</f>
        <v/>
      </c>
      <c r="J273" s="30" t="str">
        <f aca="false">IF($E273="","",$E273*G273)</f>
        <v/>
      </c>
      <c r="K273" s="30" t="str">
        <f aca="false">IF($E273="","",I273+J273)</f>
        <v/>
      </c>
      <c r="L273" s="53" t="str">
        <f aca="false">IF($E273="","",IF(R273=0,"SEM CUSTO — falta linha de custo","OK"))</f>
        <v/>
      </c>
      <c r="M273" s="67" t="str">
        <f aca="false">IF(AND(ISNUMBER(E273),NOT(ISNUMBER(E272))),"F"&amp;ROW()&amp;":G"&amp;X273,"")</f>
        <v/>
      </c>
      <c r="N273" s="30" t="str">
        <f aca="false">IF($E273="","",SUMIFS('Rateio Anexo'!$K$6:$K$600,'Rateio Anexo'!$D$6:$D$600,$B273,'Rateio Anexo'!$B$6:$B$600,"MAT"))</f>
        <v/>
      </c>
      <c r="O273" s="30" t="str">
        <f aca="false">IF($E273="","",SUMIFS('Rateio Anexo'!$K$6:$K$600,'Rateio Anexo'!$D$6:$D$600,$B273,'Rateio Anexo'!$B$6:$B$600,"MO"))</f>
        <v/>
      </c>
      <c r="P273" s="30" t="str">
        <f aca="false">IF($E273="","",IF($N$3=0,0,N273/$N$3*$R$4))</f>
        <v/>
      </c>
      <c r="Q273" s="30" t="str">
        <f aca="false">IF($E273="","",IF($O$3=0,0,O273/$O$3*$T$4))</f>
        <v/>
      </c>
      <c r="R273" s="30" t="str">
        <f aca="false">IF($E273="","",N273+O273+P273+Q273)</f>
        <v/>
      </c>
      <c r="S273" s="30" t="str">
        <f aca="false">IF($E273="","",(N273+P273)*Precificação!$B$19)</f>
        <v/>
      </c>
      <c r="T273" s="30" t="str">
        <f aca="false">IF($E273="","",(O273+Q273)*Precificação!$B$20)</f>
        <v/>
      </c>
      <c r="U273" s="68" t="str">
        <f aca="false">IF($E273="","",IF($E273=INT($E273),0.01,IF($E273*2=INT($E273*2),0.02,0.05)))</f>
        <v/>
      </c>
      <c r="V273" s="30" t="str">
        <f aca="false">IF($E273="","",ROUND(S273/$E273/U273,0)*U273)</f>
        <v/>
      </c>
      <c r="W273" s="30" t="str">
        <f aca="false">IF($E273="","",ROUND(T273/$E273/U273,0)*U273)</f>
        <v/>
      </c>
      <c r="X273" s="14" t="str">
        <f aca="false">IF(NOT(ISNUMBER(E273)),"",IF(NOT(ISNUMBER(E274)),ROW(),X274))</f>
        <v/>
      </c>
    </row>
    <row r="274" customFormat="false" ht="15" hidden="false" customHeight="false" outlineLevel="0" collapsed="false">
      <c r="F274" s="66" t="str">
        <f aca="false">IF($E274="","",V274)</f>
        <v/>
      </c>
      <c r="G274" s="66" t="str">
        <f aca="false">IF($E274="","",ROUND(W274+IF($B274=Precificação!$B$26,$F$3/$E274,0),2))</f>
        <v/>
      </c>
      <c r="H274" s="30" t="str">
        <f aca="false">IF($E274="","",F274+G274)</f>
        <v/>
      </c>
      <c r="I274" s="30" t="str">
        <f aca="false">IF($E274="","",$E274*F274)</f>
        <v/>
      </c>
      <c r="J274" s="30" t="str">
        <f aca="false">IF($E274="","",$E274*G274)</f>
        <v/>
      </c>
      <c r="K274" s="30" t="str">
        <f aca="false">IF($E274="","",I274+J274)</f>
        <v/>
      </c>
      <c r="L274" s="53" t="str">
        <f aca="false">IF($E274="","",IF(R274=0,"SEM CUSTO — falta linha de custo","OK"))</f>
        <v/>
      </c>
      <c r="M274" s="67" t="str">
        <f aca="false">IF(AND(ISNUMBER(E274),NOT(ISNUMBER(E273))),"F"&amp;ROW()&amp;":G"&amp;X274,"")</f>
        <v/>
      </c>
      <c r="N274" s="30" t="str">
        <f aca="false">IF($E274="","",SUMIFS('Rateio Anexo'!$K$6:$K$600,'Rateio Anexo'!$D$6:$D$600,$B274,'Rateio Anexo'!$B$6:$B$600,"MAT"))</f>
        <v/>
      </c>
      <c r="O274" s="30" t="str">
        <f aca="false">IF($E274="","",SUMIFS('Rateio Anexo'!$K$6:$K$600,'Rateio Anexo'!$D$6:$D$600,$B274,'Rateio Anexo'!$B$6:$B$600,"MO"))</f>
        <v/>
      </c>
      <c r="P274" s="30" t="str">
        <f aca="false">IF($E274="","",IF($N$3=0,0,N274/$N$3*$R$4))</f>
        <v/>
      </c>
      <c r="Q274" s="30" t="str">
        <f aca="false">IF($E274="","",IF($O$3=0,0,O274/$O$3*$T$4))</f>
        <v/>
      </c>
      <c r="R274" s="30" t="str">
        <f aca="false">IF($E274="","",N274+O274+P274+Q274)</f>
        <v/>
      </c>
      <c r="S274" s="30" t="str">
        <f aca="false">IF($E274="","",(N274+P274)*Precificação!$B$19)</f>
        <v/>
      </c>
      <c r="T274" s="30" t="str">
        <f aca="false">IF($E274="","",(O274+Q274)*Precificação!$B$20)</f>
        <v/>
      </c>
      <c r="U274" s="68" t="str">
        <f aca="false">IF($E274="","",IF($E274=INT($E274),0.01,IF($E274*2=INT($E274*2),0.02,0.05)))</f>
        <v/>
      </c>
      <c r="V274" s="30" t="str">
        <f aca="false">IF($E274="","",ROUND(S274/$E274/U274,0)*U274)</f>
        <v/>
      </c>
      <c r="W274" s="30" t="str">
        <f aca="false">IF($E274="","",ROUND(T274/$E274/U274,0)*U274)</f>
        <v/>
      </c>
      <c r="X274" s="14" t="str">
        <f aca="false">IF(NOT(ISNUMBER(E274)),"",IF(NOT(ISNUMBER(E275)),ROW(),X275))</f>
        <v/>
      </c>
    </row>
    <row r="275" customFormat="false" ht="15" hidden="false" customHeight="false" outlineLevel="0" collapsed="false">
      <c r="F275" s="66" t="str">
        <f aca="false">IF($E275="","",V275)</f>
        <v/>
      </c>
      <c r="G275" s="66" t="str">
        <f aca="false">IF($E275="","",ROUND(W275+IF($B275=Precificação!$B$26,$F$3/$E275,0),2))</f>
        <v/>
      </c>
      <c r="H275" s="30" t="str">
        <f aca="false">IF($E275="","",F275+G275)</f>
        <v/>
      </c>
      <c r="I275" s="30" t="str">
        <f aca="false">IF($E275="","",$E275*F275)</f>
        <v/>
      </c>
      <c r="J275" s="30" t="str">
        <f aca="false">IF($E275="","",$E275*G275)</f>
        <v/>
      </c>
      <c r="K275" s="30" t="str">
        <f aca="false">IF($E275="","",I275+J275)</f>
        <v/>
      </c>
      <c r="L275" s="53" t="str">
        <f aca="false">IF($E275="","",IF(R275=0,"SEM CUSTO — falta linha de custo","OK"))</f>
        <v/>
      </c>
      <c r="M275" s="67" t="str">
        <f aca="false">IF(AND(ISNUMBER(E275),NOT(ISNUMBER(E274))),"F"&amp;ROW()&amp;":G"&amp;X275,"")</f>
        <v/>
      </c>
      <c r="N275" s="30" t="str">
        <f aca="false">IF($E275="","",SUMIFS('Rateio Anexo'!$K$6:$K$600,'Rateio Anexo'!$D$6:$D$600,$B275,'Rateio Anexo'!$B$6:$B$600,"MAT"))</f>
        <v/>
      </c>
      <c r="O275" s="30" t="str">
        <f aca="false">IF($E275="","",SUMIFS('Rateio Anexo'!$K$6:$K$600,'Rateio Anexo'!$D$6:$D$600,$B275,'Rateio Anexo'!$B$6:$B$600,"MO"))</f>
        <v/>
      </c>
      <c r="P275" s="30" t="str">
        <f aca="false">IF($E275="","",IF($N$3=0,0,N275/$N$3*$R$4))</f>
        <v/>
      </c>
      <c r="Q275" s="30" t="str">
        <f aca="false">IF($E275="","",IF($O$3=0,0,O275/$O$3*$T$4))</f>
        <v/>
      </c>
      <c r="R275" s="30" t="str">
        <f aca="false">IF($E275="","",N275+O275+P275+Q275)</f>
        <v/>
      </c>
      <c r="S275" s="30" t="str">
        <f aca="false">IF($E275="","",(N275+P275)*Precificação!$B$19)</f>
        <v/>
      </c>
      <c r="T275" s="30" t="str">
        <f aca="false">IF($E275="","",(O275+Q275)*Precificação!$B$20)</f>
        <v/>
      </c>
      <c r="U275" s="68" t="str">
        <f aca="false">IF($E275="","",IF($E275=INT($E275),0.01,IF($E275*2=INT($E275*2),0.02,0.05)))</f>
        <v/>
      </c>
      <c r="V275" s="30" t="str">
        <f aca="false">IF($E275="","",ROUND(S275/$E275/U275,0)*U275)</f>
        <v/>
      </c>
      <c r="W275" s="30" t="str">
        <f aca="false">IF($E275="","",ROUND(T275/$E275/U275,0)*U275)</f>
        <v/>
      </c>
      <c r="X275" s="14" t="str">
        <f aca="false">IF(NOT(ISNUMBER(E275)),"",IF(NOT(ISNUMBER(E276)),ROW(),X276))</f>
        <v/>
      </c>
    </row>
    <row r="276" customFormat="false" ht="15" hidden="false" customHeight="false" outlineLevel="0" collapsed="false">
      <c r="F276" s="66" t="str">
        <f aca="false">IF($E276="","",V276)</f>
        <v/>
      </c>
      <c r="G276" s="66" t="str">
        <f aca="false">IF($E276="","",ROUND(W276+IF($B276=Precificação!$B$26,$F$3/$E276,0),2))</f>
        <v/>
      </c>
      <c r="H276" s="30" t="str">
        <f aca="false">IF($E276="","",F276+G276)</f>
        <v/>
      </c>
      <c r="I276" s="30" t="str">
        <f aca="false">IF($E276="","",$E276*F276)</f>
        <v/>
      </c>
      <c r="J276" s="30" t="str">
        <f aca="false">IF($E276="","",$E276*G276)</f>
        <v/>
      </c>
      <c r="K276" s="30" t="str">
        <f aca="false">IF($E276="","",I276+J276)</f>
        <v/>
      </c>
      <c r="L276" s="53" t="str">
        <f aca="false">IF($E276="","",IF(R276=0,"SEM CUSTO — falta linha de custo","OK"))</f>
        <v/>
      </c>
      <c r="M276" s="67" t="str">
        <f aca="false">IF(AND(ISNUMBER(E276),NOT(ISNUMBER(E275))),"F"&amp;ROW()&amp;":G"&amp;X276,"")</f>
        <v/>
      </c>
      <c r="N276" s="30" t="str">
        <f aca="false">IF($E276="","",SUMIFS('Rateio Anexo'!$K$6:$K$600,'Rateio Anexo'!$D$6:$D$600,$B276,'Rateio Anexo'!$B$6:$B$600,"MAT"))</f>
        <v/>
      </c>
      <c r="O276" s="30" t="str">
        <f aca="false">IF($E276="","",SUMIFS('Rateio Anexo'!$K$6:$K$600,'Rateio Anexo'!$D$6:$D$600,$B276,'Rateio Anexo'!$B$6:$B$600,"MO"))</f>
        <v/>
      </c>
      <c r="P276" s="30" t="str">
        <f aca="false">IF($E276="","",IF($N$3=0,0,N276/$N$3*$R$4))</f>
        <v/>
      </c>
      <c r="Q276" s="30" t="str">
        <f aca="false">IF($E276="","",IF($O$3=0,0,O276/$O$3*$T$4))</f>
        <v/>
      </c>
      <c r="R276" s="30" t="str">
        <f aca="false">IF($E276="","",N276+O276+P276+Q276)</f>
        <v/>
      </c>
      <c r="S276" s="30" t="str">
        <f aca="false">IF($E276="","",(N276+P276)*Precificação!$B$19)</f>
        <v/>
      </c>
      <c r="T276" s="30" t="str">
        <f aca="false">IF($E276="","",(O276+Q276)*Precificação!$B$20)</f>
        <v/>
      </c>
      <c r="U276" s="68" t="str">
        <f aca="false">IF($E276="","",IF($E276=INT($E276),0.01,IF($E276*2=INT($E276*2),0.02,0.05)))</f>
        <v/>
      </c>
      <c r="V276" s="30" t="str">
        <f aca="false">IF($E276="","",ROUND(S276/$E276/U276,0)*U276)</f>
        <v/>
      </c>
      <c r="W276" s="30" t="str">
        <f aca="false">IF($E276="","",ROUND(T276/$E276/U276,0)*U276)</f>
        <v/>
      </c>
      <c r="X276" s="14" t="str">
        <f aca="false">IF(NOT(ISNUMBER(E276)),"",IF(NOT(ISNUMBER(E277)),ROW(),X277))</f>
        <v/>
      </c>
    </row>
    <row r="277" customFormat="false" ht="15" hidden="false" customHeight="false" outlineLevel="0" collapsed="false">
      <c r="F277" s="66" t="str">
        <f aca="false">IF($E277="","",V277)</f>
        <v/>
      </c>
      <c r="G277" s="66" t="str">
        <f aca="false">IF($E277="","",ROUND(W277+IF($B277=Precificação!$B$26,$F$3/$E277,0),2))</f>
        <v/>
      </c>
      <c r="H277" s="30" t="str">
        <f aca="false">IF($E277="","",F277+G277)</f>
        <v/>
      </c>
      <c r="I277" s="30" t="str">
        <f aca="false">IF($E277="","",$E277*F277)</f>
        <v/>
      </c>
      <c r="J277" s="30" t="str">
        <f aca="false">IF($E277="","",$E277*G277)</f>
        <v/>
      </c>
      <c r="K277" s="30" t="str">
        <f aca="false">IF($E277="","",I277+J277)</f>
        <v/>
      </c>
      <c r="L277" s="53" t="str">
        <f aca="false">IF($E277="","",IF(R277=0,"SEM CUSTO — falta linha de custo","OK"))</f>
        <v/>
      </c>
      <c r="M277" s="67" t="str">
        <f aca="false">IF(AND(ISNUMBER(E277),NOT(ISNUMBER(E276))),"F"&amp;ROW()&amp;":G"&amp;X277,"")</f>
        <v/>
      </c>
      <c r="N277" s="30" t="str">
        <f aca="false">IF($E277="","",SUMIFS('Rateio Anexo'!$K$6:$K$600,'Rateio Anexo'!$D$6:$D$600,$B277,'Rateio Anexo'!$B$6:$B$600,"MAT"))</f>
        <v/>
      </c>
      <c r="O277" s="30" t="str">
        <f aca="false">IF($E277="","",SUMIFS('Rateio Anexo'!$K$6:$K$600,'Rateio Anexo'!$D$6:$D$600,$B277,'Rateio Anexo'!$B$6:$B$600,"MO"))</f>
        <v/>
      </c>
      <c r="P277" s="30" t="str">
        <f aca="false">IF($E277="","",IF($N$3=0,0,N277/$N$3*$R$4))</f>
        <v/>
      </c>
      <c r="Q277" s="30" t="str">
        <f aca="false">IF($E277="","",IF($O$3=0,0,O277/$O$3*$T$4))</f>
        <v/>
      </c>
      <c r="R277" s="30" t="str">
        <f aca="false">IF($E277="","",N277+O277+P277+Q277)</f>
        <v/>
      </c>
      <c r="S277" s="30" t="str">
        <f aca="false">IF($E277="","",(N277+P277)*Precificação!$B$19)</f>
        <v/>
      </c>
      <c r="T277" s="30" t="str">
        <f aca="false">IF($E277="","",(O277+Q277)*Precificação!$B$20)</f>
        <v/>
      </c>
      <c r="U277" s="68" t="str">
        <f aca="false">IF($E277="","",IF($E277=INT($E277),0.01,IF($E277*2=INT($E277*2),0.02,0.05)))</f>
        <v/>
      </c>
      <c r="V277" s="30" t="str">
        <f aca="false">IF($E277="","",ROUND(S277/$E277/U277,0)*U277)</f>
        <v/>
      </c>
      <c r="W277" s="30" t="str">
        <f aca="false">IF($E277="","",ROUND(T277/$E277/U277,0)*U277)</f>
        <v/>
      </c>
      <c r="X277" s="14" t="str">
        <f aca="false">IF(NOT(ISNUMBER(E277)),"",IF(NOT(ISNUMBER(E278)),ROW(),X278))</f>
        <v/>
      </c>
    </row>
    <row r="278" customFormat="false" ht="15" hidden="false" customHeight="false" outlineLevel="0" collapsed="false">
      <c r="F278" s="66" t="str">
        <f aca="false">IF($E278="","",V278)</f>
        <v/>
      </c>
      <c r="G278" s="66" t="str">
        <f aca="false">IF($E278="","",ROUND(W278+IF($B278=Precificação!$B$26,$F$3/$E278,0),2))</f>
        <v/>
      </c>
      <c r="H278" s="30" t="str">
        <f aca="false">IF($E278="","",F278+G278)</f>
        <v/>
      </c>
      <c r="I278" s="30" t="str">
        <f aca="false">IF($E278="","",$E278*F278)</f>
        <v/>
      </c>
      <c r="J278" s="30" t="str">
        <f aca="false">IF($E278="","",$E278*G278)</f>
        <v/>
      </c>
      <c r="K278" s="30" t="str">
        <f aca="false">IF($E278="","",I278+J278)</f>
        <v/>
      </c>
      <c r="L278" s="53" t="str">
        <f aca="false">IF($E278="","",IF(R278=0,"SEM CUSTO — falta linha de custo","OK"))</f>
        <v/>
      </c>
      <c r="M278" s="67" t="str">
        <f aca="false">IF(AND(ISNUMBER(E278),NOT(ISNUMBER(E277))),"F"&amp;ROW()&amp;":G"&amp;X278,"")</f>
        <v/>
      </c>
      <c r="N278" s="30" t="str">
        <f aca="false">IF($E278="","",SUMIFS('Rateio Anexo'!$K$6:$K$600,'Rateio Anexo'!$D$6:$D$600,$B278,'Rateio Anexo'!$B$6:$B$600,"MAT"))</f>
        <v/>
      </c>
      <c r="O278" s="30" t="str">
        <f aca="false">IF($E278="","",SUMIFS('Rateio Anexo'!$K$6:$K$600,'Rateio Anexo'!$D$6:$D$600,$B278,'Rateio Anexo'!$B$6:$B$600,"MO"))</f>
        <v/>
      </c>
      <c r="P278" s="30" t="str">
        <f aca="false">IF($E278="","",IF($N$3=0,0,N278/$N$3*$R$4))</f>
        <v/>
      </c>
      <c r="Q278" s="30" t="str">
        <f aca="false">IF($E278="","",IF($O$3=0,0,O278/$O$3*$T$4))</f>
        <v/>
      </c>
      <c r="R278" s="30" t="str">
        <f aca="false">IF($E278="","",N278+O278+P278+Q278)</f>
        <v/>
      </c>
      <c r="S278" s="30" t="str">
        <f aca="false">IF($E278="","",(N278+P278)*Precificação!$B$19)</f>
        <v/>
      </c>
      <c r="T278" s="30" t="str">
        <f aca="false">IF($E278="","",(O278+Q278)*Precificação!$B$20)</f>
        <v/>
      </c>
      <c r="U278" s="68" t="str">
        <f aca="false">IF($E278="","",IF($E278=INT($E278),0.01,IF($E278*2=INT($E278*2),0.02,0.05)))</f>
        <v/>
      </c>
      <c r="V278" s="30" t="str">
        <f aca="false">IF($E278="","",ROUND(S278/$E278/U278,0)*U278)</f>
        <v/>
      </c>
      <c r="W278" s="30" t="str">
        <f aca="false">IF($E278="","",ROUND(T278/$E278/U278,0)*U278)</f>
        <v/>
      </c>
      <c r="X278" s="14" t="str">
        <f aca="false">IF(NOT(ISNUMBER(E278)),"",IF(NOT(ISNUMBER(E279)),ROW(),X279))</f>
        <v/>
      </c>
    </row>
    <row r="279" customFormat="false" ht="15" hidden="false" customHeight="false" outlineLevel="0" collapsed="false">
      <c r="F279" s="66" t="str">
        <f aca="false">IF($E279="","",V279)</f>
        <v/>
      </c>
      <c r="G279" s="66" t="str">
        <f aca="false">IF($E279="","",ROUND(W279+IF($B279=Precificação!$B$26,$F$3/$E279,0),2))</f>
        <v/>
      </c>
      <c r="H279" s="30" t="str">
        <f aca="false">IF($E279="","",F279+G279)</f>
        <v/>
      </c>
      <c r="I279" s="30" t="str">
        <f aca="false">IF($E279="","",$E279*F279)</f>
        <v/>
      </c>
      <c r="J279" s="30" t="str">
        <f aca="false">IF($E279="","",$E279*G279)</f>
        <v/>
      </c>
      <c r="K279" s="30" t="str">
        <f aca="false">IF($E279="","",I279+J279)</f>
        <v/>
      </c>
      <c r="L279" s="53" t="str">
        <f aca="false">IF($E279="","",IF(R279=0,"SEM CUSTO — falta linha de custo","OK"))</f>
        <v/>
      </c>
      <c r="M279" s="67" t="str">
        <f aca="false">IF(AND(ISNUMBER(E279),NOT(ISNUMBER(E278))),"F"&amp;ROW()&amp;":G"&amp;X279,"")</f>
        <v/>
      </c>
      <c r="N279" s="30" t="str">
        <f aca="false">IF($E279="","",SUMIFS('Rateio Anexo'!$K$6:$K$600,'Rateio Anexo'!$D$6:$D$600,$B279,'Rateio Anexo'!$B$6:$B$600,"MAT"))</f>
        <v/>
      </c>
      <c r="O279" s="30" t="str">
        <f aca="false">IF($E279="","",SUMIFS('Rateio Anexo'!$K$6:$K$600,'Rateio Anexo'!$D$6:$D$600,$B279,'Rateio Anexo'!$B$6:$B$600,"MO"))</f>
        <v/>
      </c>
      <c r="P279" s="30" t="str">
        <f aca="false">IF($E279="","",IF($N$3=0,0,N279/$N$3*$R$4))</f>
        <v/>
      </c>
      <c r="Q279" s="30" t="str">
        <f aca="false">IF($E279="","",IF($O$3=0,0,O279/$O$3*$T$4))</f>
        <v/>
      </c>
      <c r="R279" s="30" t="str">
        <f aca="false">IF($E279="","",N279+O279+P279+Q279)</f>
        <v/>
      </c>
      <c r="S279" s="30" t="str">
        <f aca="false">IF($E279="","",(N279+P279)*Precificação!$B$19)</f>
        <v/>
      </c>
      <c r="T279" s="30" t="str">
        <f aca="false">IF($E279="","",(O279+Q279)*Precificação!$B$20)</f>
        <v/>
      </c>
      <c r="U279" s="68" t="str">
        <f aca="false">IF($E279="","",IF($E279=INT($E279),0.01,IF($E279*2=INT($E279*2),0.02,0.05)))</f>
        <v/>
      </c>
      <c r="V279" s="30" t="str">
        <f aca="false">IF($E279="","",ROUND(S279/$E279/U279,0)*U279)</f>
        <v/>
      </c>
      <c r="W279" s="30" t="str">
        <f aca="false">IF($E279="","",ROUND(T279/$E279/U279,0)*U279)</f>
        <v/>
      </c>
      <c r="X279" s="14" t="str">
        <f aca="false">IF(NOT(ISNUMBER(E279)),"",IF(NOT(ISNUMBER(E280)),ROW(),X280))</f>
        <v/>
      </c>
    </row>
    <row r="280" customFormat="false" ht="15" hidden="false" customHeight="false" outlineLevel="0" collapsed="false">
      <c r="F280" s="66" t="str">
        <f aca="false">IF($E280="","",V280)</f>
        <v/>
      </c>
      <c r="G280" s="66" t="str">
        <f aca="false">IF($E280="","",ROUND(W280+IF($B280=Precificação!$B$26,$F$3/$E280,0),2))</f>
        <v/>
      </c>
      <c r="H280" s="30" t="str">
        <f aca="false">IF($E280="","",F280+G280)</f>
        <v/>
      </c>
      <c r="I280" s="30" t="str">
        <f aca="false">IF($E280="","",$E280*F280)</f>
        <v/>
      </c>
      <c r="J280" s="30" t="str">
        <f aca="false">IF($E280="","",$E280*G280)</f>
        <v/>
      </c>
      <c r="K280" s="30" t="str">
        <f aca="false">IF($E280="","",I280+J280)</f>
        <v/>
      </c>
      <c r="L280" s="53" t="str">
        <f aca="false">IF($E280="","",IF(R280=0,"SEM CUSTO — falta linha de custo","OK"))</f>
        <v/>
      </c>
      <c r="M280" s="67" t="str">
        <f aca="false">IF(AND(ISNUMBER(E280),NOT(ISNUMBER(E279))),"F"&amp;ROW()&amp;":G"&amp;X280,"")</f>
        <v/>
      </c>
      <c r="N280" s="30" t="str">
        <f aca="false">IF($E280="","",SUMIFS('Rateio Anexo'!$K$6:$K$600,'Rateio Anexo'!$D$6:$D$600,$B280,'Rateio Anexo'!$B$6:$B$600,"MAT"))</f>
        <v/>
      </c>
      <c r="O280" s="30" t="str">
        <f aca="false">IF($E280="","",SUMIFS('Rateio Anexo'!$K$6:$K$600,'Rateio Anexo'!$D$6:$D$600,$B280,'Rateio Anexo'!$B$6:$B$600,"MO"))</f>
        <v/>
      </c>
      <c r="P280" s="30" t="str">
        <f aca="false">IF($E280="","",IF($N$3=0,0,N280/$N$3*$R$4))</f>
        <v/>
      </c>
      <c r="Q280" s="30" t="str">
        <f aca="false">IF($E280="","",IF($O$3=0,0,O280/$O$3*$T$4))</f>
        <v/>
      </c>
      <c r="R280" s="30" t="str">
        <f aca="false">IF($E280="","",N280+O280+P280+Q280)</f>
        <v/>
      </c>
      <c r="S280" s="30" t="str">
        <f aca="false">IF($E280="","",(N280+P280)*Precificação!$B$19)</f>
        <v/>
      </c>
      <c r="T280" s="30" t="str">
        <f aca="false">IF($E280="","",(O280+Q280)*Precificação!$B$20)</f>
        <v/>
      </c>
      <c r="U280" s="68" t="str">
        <f aca="false">IF($E280="","",IF($E280=INT($E280),0.01,IF($E280*2=INT($E280*2),0.02,0.05)))</f>
        <v/>
      </c>
      <c r="V280" s="30" t="str">
        <f aca="false">IF($E280="","",ROUND(S280/$E280/U280,0)*U280)</f>
        <v/>
      </c>
      <c r="W280" s="30" t="str">
        <f aca="false">IF($E280="","",ROUND(T280/$E280/U280,0)*U280)</f>
        <v/>
      </c>
      <c r="X280" s="14" t="str">
        <f aca="false">IF(NOT(ISNUMBER(E280)),"",IF(NOT(ISNUMBER(E281)),ROW(),X281))</f>
        <v/>
      </c>
    </row>
    <row r="281" customFormat="false" ht="15" hidden="false" customHeight="false" outlineLevel="0" collapsed="false">
      <c r="F281" s="66" t="str">
        <f aca="false">IF($E281="","",V281)</f>
        <v/>
      </c>
      <c r="G281" s="66" t="str">
        <f aca="false">IF($E281="","",ROUND(W281+IF($B281=Precificação!$B$26,$F$3/$E281,0),2))</f>
        <v/>
      </c>
      <c r="H281" s="30" t="str">
        <f aca="false">IF($E281="","",F281+G281)</f>
        <v/>
      </c>
      <c r="I281" s="30" t="str">
        <f aca="false">IF($E281="","",$E281*F281)</f>
        <v/>
      </c>
      <c r="J281" s="30" t="str">
        <f aca="false">IF($E281="","",$E281*G281)</f>
        <v/>
      </c>
      <c r="K281" s="30" t="str">
        <f aca="false">IF($E281="","",I281+J281)</f>
        <v/>
      </c>
      <c r="L281" s="53" t="str">
        <f aca="false">IF($E281="","",IF(R281=0,"SEM CUSTO — falta linha de custo","OK"))</f>
        <v/>
      </c>
      <c r="M281" s="67" t="str">
        <f aca="false">IF(AND(ISNUMBER(E281),NOT(ISNUMBER(E280))),"F"&amp;ROW()&amp;":G"&amp;X281,"")</f>
        <v/>
      </c>
      <c r="N281" s="30" t="str">
        <f aca="false">IF($E281="","",SUMIFS('Rateio Anexo'!$K$6:$K$600,'Rateio Anexo'!$D$6:$D$600,$B281,'Rateio Anexo'!$B$6:$B$600,"MAT"))</f>
        <v/>
      </c>
      <c r="O281" s="30" t="str">
        <f aca="false">IF($E281="","",SUMIFS('Rateio Anexo'!$K$6:$K$600,'Rateio Anexo'!$D$6:$D$600,$B281,'Rateio Anexo'!$B$6:$B$600,"MO"))</f>
        <v/>
      </c>
      <c r="P281" s="30" t="str">
        <f aca="false">IF($E281="","",IF($N$3=0,0,N281/$N$3*$R$4))</f>
        <v/>
      </c>
      <c r="Q281" s="30" t="str">
        <f aca="false">IF($E281="","",IF($O$3=0,0,O281/$O$3*$T$4))</f>
        <v/>
      </c>
      <c r="R281" s="30" t="str">
        <f aca="false">IF($E281="","",N281+O281+P281+Q281)</f>
        <v/>
      </c>
      <c r="S281" s="30" t="str">
        <f aca="false">IF($E281="","",(N281+P281)*Precificação!$B$19)</f>
        <v/>
      </c>
      <c r="T281" s="30" t="str">
        <f aca="false">IF($E281="","",(O281+Q281)*Precificação!$B$20)</f>
        <v/>
      </c>
      <c r="U281" s="68" t="str">
        <f aca="false">IF($E281="","",IF($E281=INT($E281),0.01,IF($E281*2=INT($E281*2),0.02,0.05)))</f>
        <v/>
      </c>
      <c r="V281" s="30" t="str">
        <f aca="false">IF($E281="","",ROUND(S281/$E281/U281,0)*U281)</f>
        <v/>
      </c>
      <c r="W281" s="30" t="str">
        <f aca="false">IF($E281="","",ROUND(T281/$E281/U281,0)*U281)</f>
        <v/>
      </c>
      <c r="X281" s="14" t="str">
        <f aca="false">IF(NOT(ISNUMBER(E281)),"",IF(NOT(ISNUMBER(E282)),ROW(),X282))</f>
        <v/>
      </c>
    </row>
    <row r="282" customFormat="false" ht="15" hidden="false" customHeight="false" outlineLevel="0" collapsed="false">
      <c r="F282" s="66" t="str">
        <f aca="false">IF($E282="","",V282)</f>
        <v/>
      </c>
      <c r="G282" s="66" t="str">
        <f aca="false">IF($E282="","",ROUND(W282+IF($B282=Precificação!$B$26,$F$3/$E282,0),2))</f>
        <v/>
      </c>
      <c r="H282" s="30" t="str">
        <f aca="false">IF($E282="","",F282+G282)</f>
        <v/>
      </c>
      <c r="I282" s="30" t="str">
        <f aca="false">IF($E282="","",$E282*F282)</f>
        <v/>
      </c>
      <c r="J282" s="30" t="str">
        <f aca="false">IF($E282="","",$E282*G282)</f>
        <v/>
      </c>
      <c r="K282" s="30" t="str">
        <f aca="false">IF($E282="","",I282+J282)</f>
        <v/>
      </c>
      <c r="L282" s="53" t="str">
        <f aca="false">IF($E282="","",IF(R282=0,"SEM CUSTO — falta linha de custo","OK"))</f>
        <v/>
      </c>
      <c r="M282" s="67" t="str">
        <f aca="false">IF(AND(ISNUMBER(E282),NOT(ISNUMBER(E281))),"F"&amp;ROW()&amp;":G"&amp;X282,"")</f>
        <v/>
      </c>
      <c r="N282" s="30" t="str">
        <f aca="false">IF($E282="","",SUMIFS('Rateio Anexo'!$K$6:$K$600,'Rateio Anexo'!$D$6:$D$600,$B282,'Rateio Anexo'!$B$6:$B$600,"MAT"))</f>
        <v/>
      </c>
      <c r="O282" s="30" t="str">
        <f aca="false">IF($E282="","",SUMIFS('Rateio Anexo'!$K$6:$K$600,'Rateio Anexo'!$D$6:$D$600,$B282,'Rateio Anexo'!$B$6:$B$600,"MO"))</f>
        <v/>
      </c>
      <c r="P282" s="30" t="str">
        <f aca="false">IF($E282="","",IF($N$3=0,0,N282/$N$3*$R$4))</f>
        <v/>
      </c>
      <c r="Q282" s="30" t="str">
        <f aca="false">IF($E282="","",IF($O$3=0,0,O282/$O$3*$T$4))</f>
        <v/>
      </c>
      <c r="R282" s="30" t="str">
        <f aca="false">IF($E282="","",N282+O282+P282+Q282)</f>
        <v/>
      </c>
      <c r="S282" s="30" t="str">
        <f aca="false">IF($E282="","",(N282+P282)*Precificação!$B$19)</f>
        <v/>
      </c>
      <c r="T282" s="30" t="str">
        <f aca="false">IF($E282="","",(O282+Q282)*Precificação!$B$20)</f>
        <v/>
      </c>
      <c r="U282" s="68" t="str">
        <f aca="false">IF($E282="","",IF($E282=INT($E282),0.01,IF($E282*2=INT($E282*2),0.02,0.05)))</f>
        <v/>
      </c>
      <c r="V282" s="30" t="str">
        <f aca="false">IF($E282="","",ROUND(S282/$E282/U282,0)*U282)</f>
        <v/>
      </c>
      <c r="W282" s="30" t="str">
        <f aca="false">IF($E282="","",ROUND(T282/$E282/U282,0)*U282)</f>
        <v/>
      </c>
      <c r="X282" s="14" t="str">
        <f aca="false">IF(NOT(ISNUMBER(E282)),"",IF(NOT(ISNUMBER(E283)),ROW(),X283))</f>
        <v/>
      </c>
    </row>
    <row r="283" customFormat="false" ht="15" hidden="false" customHeight="false" outlineLevel="0" collapsed="false">
      <c r="F283" s="66" t="str">
        <f aca="false">IF($E283="","",V283)</f>
        <v/>
      </c>
      <c r="G283" s="66" t="str">
        <f aca="false">IF($E283="","",ROUND(W283+IF($B283=Precificação!$B$26,$F$3/$E283,0),2))</f>
        <v/>
      </c>
      <c r="H283" s="30" t="str">
        <f aca="false">IF($E283="","",F283+G283)</f>
        <v/>
      </c>
      <c r="I283" s="30" t="str">
        <f aca="false">IF($E283="","",$E283*F283)</f>
        <v/>
      </c>
      <c r="J283" s="30" t="str">
        <f aca="false">IF($E283="","",$E283*G283)</f>
        <v/>
      </c>
      <c r="K283" s="30" t="str">
        <f aca="false">IF($E283="","",I283+J283)</f>
        <v/>
      </c>
      <c r="L283" s="53" t="str">
        <f aca="false">IF($E283="","",IF(R283=0,"SEM CUSTO — falta linha de custo","OK"))</f>
        <v/>
      </c>
      <c r="M283" s="67" t="str">
        <f aca="false">IF(AND(ISNUMBER(E283),NOT(ISNUMBER(E282))),"F"&amp;ROW()&amp;":G"&amp;X283,"")</f>
        <v/>
      </c>
      <c r="N283" s="30" t="str">
        <f aca="false">IF($E283="","",SUMIFS('Rateio Anexo'!$K$6:$K$600,'Rateio Anexo'!$D$6:$D$600,$B283,'Rateio Anexo'!$B$6:$B$600,"MAT"))</f>
        <v/>
      </c>
      <c r="O283" s="30" t="str">
        <f aca="false">IF($E283="","",SUMIFS('Rateio Anexo'!$K$6:$K$600,'Rateio Anexo'!$D$6:$D$600,$B283,'Rateio Anexo'!$B$6:$B$600,"MO"))</f>
        <v/>
      </c>
      <c r="P283" s="30" t="str">
        <f aca="false">IF($E283="","",IF($N$3=0,0,N283/$N$3*$R$4))</f>
        <v/>
      </c>
      <c r="Q283" s="30" t="str">
        <f aca="false">IF($E283="","",IF($O$3=0,0,O283/$O$3*$T$4))</f>
        <v/>
      </c>
      <c r="R283" s="30" t="str">
        <f aca="false">IF($E283="","",N283+O283+P283+Q283)</f>
        <v/>
      </c>
      <c r="S283" s="30" t="str">
        <f aca="false">IF($E283="","",(N283+P283)*Precificação!$B$19)</f>
        <v/>
      </c>
      <c r="T283" s="30" t="str">
        <f aca="false">IF($E283="","",(O283+Q283)*Precificação!$B$20)</f>
        <v/>
      </c>
      <c r="U283" s="68" t="str">
        <f aca="false">IF($E283="","",IF($E283=INT($E283),0.01,IF($E283*2=INT($E283*2),0.02,0.05)))</f>
        <v/>
      </c>
      <c r="V283" s="30" t="str">
        <f aca="false">IF($E283="","",ROUND(S283/$E283/U283,0)*U283)</f>
        <v/>
      </c>
      <c r="W283" s="30" t="str">
        <f aca="false">IF($E283="","",ROUND(T283/$E283/U283,0)*U283)</f>
        <v/>
      </c>
      <c r="X283" s="14" t="str">
        <f aca="false">IF(NOT(ISNUMBER(E283)),"",IF(NOT(ISNUMBER(E284)),ROW(),X284))</f>
        <v/>
      </c>
    </row>
    <row r="284" customFormat="false" ht="15" hidden="false" customHeight="false" outlineLevel="0" collapsed="false">
      <c r="F284" s="66" t="str">
        <f aca="false">IF($E284="","",V284)</f>
        <v/>
      </c>
      <c r="G284" s="66" t="str">
        <f aca="false">IF($E284="","",ROUND(W284+IF($B284=Precificação!$B$26,$F$3/$E284,0),2))</f>
        <v/>
      </c>
      <c r="H284" s="30" t="str">
        <f aca="false">IF($E284="","",F284+G284)</f>
        <v/>
      </c>
      <c r="I284" s="30" t="str">
        <f aca="false">IF($E284="","",$E284*F284)</f>
        <v/>
      </c>
      <c r="J284" s="30" t="str">
        <f aca="false">IF($E284="","",$E284*G284)</f>
        <v/>
      </c>
      <c r="K284" s="30" t="str">
        <f aca="false">IF($E284="","",I284+J284)</f>
        <v/>
      </c>
      <c r="L284" s="53" t="str">
        <f aca="false">IF($E284="","",IF(R284=0,"SEM CUSTO — falta linha de custo","OK"))</f>
        <v/>
      </c>
      <c r="M284" s="67" t="str">
        <f aca="false">IF(AND(ISNUMBER(E284),NOT(ISNUMBER(E283))),"F"&amp;ROW()&amp;":G"&amp;X284,"")</f>
        <v/>
      </c>
      <c r="N284" s="30" t="str">
        <f aca="false">IF($E284="","",SUMIFS('Rateio Anexo'!$K$6:$K$600,'Rateio Anexo'!$D$6:$D$600,$B284,'Rateio Anexo'!$B$6:$B$600,"MAT"))</f>
        <v/>
      </c>
      <c r="O284" s="30" t="str">
        <f aca="false">IF($E284="","",SUMIFS('Rateio Anexo'!$K$6:$K$600,'Rateio Anexo'!$D$6:$D$600,$B284,'Rateio Anexo'!$B$6:$B$600,"MO"))</f>
        <v/>
      </c>
      <c r="P284" s="30" t="str">
        <f aca="false">IF($E284="","",IF($N$3=0,0,N284/$N$3*$R$4))</f>
        <v/>
      </c>
      <c r="Q284" s="30" t="str">
        <f aca="false">IF($E284="","",IF($O$3=0,0,O284/$O$3*$T$4))</f>
        <v/>
      </c>
      <c r="R284" s="30" t="str">
        <f aca="false">IF($E284="","",N284+O284+P284+Q284)</f>
        <v/>
      </c>
      <c r="S284" s="30" t="str">
        <f aca="false">IF($E284="","",(N284+P284)*Precificação!$B$19)</f>
        <v/>
      </c>
      <c r="T284" s="30" t="str">
        <f aca="false">IF($E284="","",(O284+Q284)*Precificação!$B$20)</f>
        <v/>
      </c>
      <c r="U284" s="68" t="str">
        <f aca="false">IF($E284="","",IF($E284=INT($E284),0.01,IF($E284*2=INT($E284*2),0.02,0.05)))</f>
        <v/>
      </c>
      <c r="V284" s="30" t="str">
        <f aca="false">IF($E284="","",ROUND(S284/$E284/U284,0)*U284)</f>
        <v/>
      </c>
      <c r="W284" s="30" t="str">
        <f aca="false">IF($E284="","",ROUND(T284/$E284/U284,0)*U284)</f>
        <v/>
      </c>
      <c r="X284" s="14" t="str">
        <f aca="false">IF(NOT(ISNUMBER(E284)),"",IF(NOT(ISNUMBER(E285)),ROW(),X285))</f>
        <v/>
      </c>
    </row>
    <row r="285" customFormat="false" ht="15" hidden="false" customHeight="false" outlineLevel="0" collapsed="false">
      <c r="F285" s="66" t="str">
        <f aca="false">IF($E285="","",V285)</f>
        <v/>
      </c>
      <c r="G285" s="66" t="str">
        <f aca="false">IF($E285="","",ROUND(W285+IF($B285=Precificação!$B$26,$F$3/$E285,0),2))</f>
        <v/>
      </c>
      <c r="H285" s="30" t="str">
        <f aca="false">IF($E285="","",F285+G285)</f>
        <v/>
      </c>
      <c r="I285" s="30" t="str">
        <f aca="false">IF($E285="","",$E285*F285)</f>
        <v/>
      </c>
      <c r="J285" s="30" t="str">
        <f aca="false">IF($E285="","",$E285*G285)</f>
        <v/>
      </c>
      <c r="K285" s="30" t="str">
        <f aca="false">IF($E285="","",I285+J285)</f>
        <v/>
      </c>
      <c r="L285" s="53" t="str">
        <f aca="false">IF($E285="","",IF(R285=0,"SEM CUSTO — falta linha de custo","OK"))</f>
        <v/>
      </c>
      <c r="M285" s="67" t="str">
        <f aca="false">IF(AND(ISNUMBER(E285),NOT(ISNUMBER(E284))),"F"&amp;ROW()&amp;":G"&amp;X285,"")</f>
        <v/>
      </c>
      <c r="N285" s="30" t="str">
        <f aca="false">IF($E285="","",SUMIFS('Rateio Anexo'!$K$6:$K$600,'Rateio Anexo'!$D$6:$D$600,$B285,'Rateio Anexo'!$B$6:$B$600,"MAT"))</f>
        <v/>
      </c>
      <c r="O285" s="30" t="str">
        <f aca="false">IF($E285="","",SUMIFS('Rateio Anexo'!$K$6:$K$600,'Rateio Anexo'!$D$6:$D$600,$B285,'Rateio Anexo'!$B$6:$B$600,"MO"))</f>
        <v/>
      </c>
      <c r="P285" s="30" t="str">
        <f aca="false">IF($E285="","",IF($N$3=0,0,N285/$N$3*$R$4))</f>
        <v/>
      </c>
      <c r="Q285" s="30" t="str">
        <f aca="false">IF($E285="","",IF($O$3=0,0,O285/$O$3*$T$4))</f>
        <v/>
      </c>
      <c r="R285" s="30" t="str">
        <f aca="false">IF($E285="","",N285+O285+P285+Q285)</f>
        <v/>
      </c>
      <c r="S285" s="30" t="str">
        <f aca="false">IF($E285="","",(N285+P285)*Precificação!$B$19)</f>
        <v/>
      </c>
      <c r="T285" s="30" t="str">
        <f aca="false">IF($E285="","",(O285+Q285)*Precificação!$B$20)</f>
        <v/>
      </c>
      <c r="U285" s="68" t="str">
        <f aca="false">IF($E285="","",IF($E285=INT($E285),0.01,IF($E285*2=INT($E285*2),0.02,0.05)))</f>
        <v/>
      </c>
      <c r="V285" s="30" t="str">
        <f aca="false">IF($E285="","",ROUND(S285/$E285/U285,0)*U285)</f>
        <v/>
      </c>
      <c r="W285" s="30" t="str">
        <f aca="false">IF($E285="","",ROUND(T285/$E285/U285,0)*U285)</f>
        <v/>
      </c>
      <c r="X285" s="14" t="str">
        <f aca="false">IF(NOT(ISNUMBER(E285)),"",IF(NOT(ISNUMBER(E286)),ROW(),X286))</f>
        <v/>
      </c>
    </row>
    <row r="286" customFormat="false" ht="15" hidden="false" customHeight="false" outlineLevel="0" collapsed="false">
      <c r="F286" s="66" t="str">
        <f aca="false">IF($E286="","",V286)</f>
        <v/>
      </c>
      <c r="G286" s="66" t="str">
        <f aca="false">IF($E286="","",ROUND(W286+IF($B286=Precificação!$B$26,$F$3/$E286,0),2))</f>
        <v/>
      </c>
      <c r="H286" s="30" t="str">
        <f aca="false">IF($E286="","",F286+G286)</f>
        <v/>
      </c>
      <c r="I286" s="30" t="str">
        <f aca="false">IF($E286="","",$E286*F286)</f>
        <v/>
      </c>
      <c r="J286" s="30" t="str">
        <f aca="false">IF($E286="","",$E286*G286)</f>
        <v/>
      </c>
      <c r="K286" s="30" t="str">
        <f aca="false">IF($E286="","",I286+J286)</f>
        <v/>
      </c>
      <c r="L286" s="53" t="str">
        <f aca="false">IF($E286="","",IF(R286=0,"SEM CUSTO — falta linha de custo","OK"))</f>
        <v/>
      </c>
      <c r="M286" s="67" t="str">
        <f aca="false">IF(AND(ISNUMBER(E286),NOT(ISNUMBER(E285))),"F"&amp;ROW()&amp;":G"&amp;X286,"")</f>
        <v/>
      </c>
      <c r="N286" s="30" t="str">
        <f aca="false">IF($E286="","",SUMIFS('Rateio Anexo'!$K$6:$K$600,'Rateio Anexo'!$D$6:$D$600,$B286,'Rateio Anexo'!$B$6:$B$600,"MAT"))</f>
        <v/>
      </c>
      <c r="O286" s="30" t="str">
        <f aca="false">IF($E286="","",SUMIFS('Rateio Anexo'!$K$6:$K$600,'Rateio Anexo'!$D$6:$D$600,$B286,'Rateio Anexo'!$B$6:$B$600,"MO"))</f>
        <v/>
      </c>
      <c r="P286" s="30" t="str">
        <f aca="false">IF($E286="","",IF($N$3=0,0,N286/$N$3*$R$4))</f>
        <v/>
      </c>
      <c r="Q286" s="30" t="str">
        <f aca="false">IF($E286="","",IF($O$3=0,0,O286/$O$3*$T$4))</f>
        <v/>
      </c>
      <c r="R286" s="30" t="str">
        <f aca="false">IF($E286="","",N286+O286+P286+Q286)</f>
        <v/>
      </c>
      <c r="S286" s="30" t="str">
        <f aca="false">IF($E286="","",(N286+P286)*Precificação!$B$19)</f>
        <v/>
      </c>
      <c r="T286" s="30" t="str">
        <f aca="false">IF($E286="","",(O286+Q286)*Precificação!$B$20)</f>
        <v/>
      </c>
      <c r="U286" s="68" t="str">
        <f aca="false">IF($E286="","",IF($E286=INT($E286),0.01,IF($E286*2=INT($E286*2),0.02,0.05)))</f>
        <v/>
      </c>
      <c r="V286" s="30" t="str">
        <f aca="false">IF($E286="","",ROUND(S286/$E286/U286,0)*U286)</f>
        <v/>
      </c>
      <c r="W286" s="30" t="str">
        <f aca="false">IF($E286="","",ROUND(T286/$E286/U286,0)*U286)</f>
        <v/>
      </c>
      <c r="X286" s="14" t="str">
        <f aca="false">IF(NOT(ISNUMBER(E286)),"",IF(NOT(ISNUMBER(E287)),ROW(),X287))</f>
        <v/>
      </c>
    </row>
    <row r="287" customFormat="false" ht="15" hidden="false" customHeight="false" outlineLevel="0" collapsed="false">
      <c r="F287" s="66" t="str">
        <f aca="false">IF($E287="","",V287)</f>
        <v/>
      </c>
      <c r="G287" s="66" t="str">
        <f aca="false">IF($E287="","",ROUND(W287+IF($B287=Precificação!$B$26,$F$3/$E287,0),2))</f>
        <v/>
      </c>
      <c r="H287" s="30" t="str">
        <f aca="false">IF($E287="","",F287+G287)</f>
        <v/>
      </c>
      <c r="I287" s="30" t="str">
        <f aca="false">IF($E287="","",$E287*F287)</f>
        <v/>
      </c>
      <c r="J287" s="30" t="str">
        <f aca="false">IF($E287="","",$E287*G287)</f>
        <v/>
      </c>
      <c r="K287" s="30" t="str">
        <f aca="false">IF($E287="","",I287+J287)</f>
        <v/>
      </c>
      <c r="L287" s="53" t="str">
        <f aca="false">IF($E287="","",IF(R287=0,"SEM CUSTO — falta linha de custo","OK"))</f>
        <v/>
      </c>
      <c r="M287" s="67" t="str">
        <f aca="false">IF(AND(ISNUMBER(E287),NOT(ISNUMBER(E286))),"F"&amp;ROW()&amp;":G"&amp;X287,"")</f>
        <v/>
      </c>
      <c r="N287" s="30" t="str">
        <f aca="false">IF($E287="","",SUMIFS('Rateio Anexo'!$K$6:$K$600,'Rateio Anexo'!$D$6:$D$600,$B287,'Rateio Anexo'!$B$6:$B$600,"MAT"))</f>
        <v/>
      </c>
      <c r="O287" s="30" t="str">
        <f aca="false">IF($E287="","",SUMIFS('Rateio Anexo'!$K$6:$K$600,'Rateio Anexo'!$D$6:$D$600,$B287,'Rateio Anexo'!$B$6:$B$600,"MO"))</f>
        <v/>
      </c>
      <c r="P287" s="30" t="str">
        <f aca="false">IF($E287="","",IF($N$3=0,0,N287/$N$3*$R$4))</f>
        <v/>
      </c>
      <c r="Q287" s="30" t="str">
        <f aca="false">IF($E287="","",IF($O$3=0,0,O287/$O$3*$T$4))</f>
        <v/>
      </c>
      <c r="R287" s="30" t="str">
        <f aca="false">IF($E287="","",N287+O287+P287+Q287)</f>
        <v/>
      </c>
      <c r="S287" s="30" t="str">
        <f aca="false">IF($E287="","",(N287+P287)*Precificação!$B$19)</f>
        <v/>
      </c>
      <c r="T287" s="30" t="str">
        <f aca="false">IF($E287="","",(O287+Q287)*Precificação!$B$20)</f>
        <v/>
      </c>
      <c r="U287" s="68" t="str">
        <f aca="false">IF($E287="","",IF($E287=INT($E287),0.01,IF($E287*2=INT($E287*2),0.02,0.05)))</f>
        <v/>
      </c>
      <c r="V287" s="30" t="str">
        <f aca="false">IF($E287="","",ROUND(S287/$E287/U287,0)*U287)</f>
        <v/>
      </c>
      <c r="W287" s="30" t="str">
        <f aca="false">IF($E287="","",ROUND(T287/$E287/U287,0)*U287)</f>
        <v/>
      </c>
      <c r="X287" s="14" t="str">
        <f aca="false">IF(NOT(ISNUMBER(E287)),"",IF(NOT(ISNUMBER(E288)),ROW(),X288))</f>
        <v/>
      </c>
    </row>
    <row r="288" customFormat="false" ht="15" hidden="false" customHeight="false" outlineLevel="0" collapsed="false">
      <c r="F288" s="66" t="str">
        <f aca="false">IF($E288="","",V288)</f>
        <v/>
      </c>
      <c r="G288" s="66" t="str">
        <f aca="false">IF($E288="","",ROUND(W288+IF($B288=Precificação!$B$26,$F$3/$E288,0),2))</f>
        <v/>
      </c>
      <c r="H288" s="30" t="str">
        <f aca="false">IF($E288="","",F288+G288)</f>
        <v/>
      </c>
      <c r="I288" s="30" t="str">
        <f aca="false">IF($E288="","",$E288*F288)</f>
        <v/>
      </c>
      <c r="J288" s="30" t="str">
        <f aca="false">IF($E288="","",$E288*G288)</f>
        <v/>
      </c>
      <c r="K288" s="30" t="str">
        <f aca="false">IF($E288="","",I288+J288)</f>
        <v/>
      </c>
      <c r="L288" s="53" t="str">
        <f aca="false">IF($E288="","",IF(R288=0,"SEM CUSTO — falta linha de custo","OK"))</f>
        <v/>
      </c>
      <c r="M288" s="67" t="str">
        <f aca="false">IF(AND(ISNUMBER(E288),NOT(ISNUMBER(E287))),"F"&amp;ROW()&amp;":G"&amp;X288,"")</f>
        <v/>
      </c>
      <c r="N288" s="30" t="str">
        <f aca="false">IF($E288="","",SUMIFS('Rateio Anexo'!$K$6:$K$600,'Rateio Anexo'!$D$6:$D$600,$B288,'Rateio Anexo'!$B$6:$B$600,"MAT"))</f>
        <v/>
      </c>
      <c r="O288" s="30" t="str">
        <f aca="false">IF($E288="","",SUMIFS('Rateio Anexo'!$K$6:$K$600,'Rateio Anexo'!$D$6:$D$600,$B288,'Rateio Anexo'!$B$6:$B$600,"MO"))</f>
        <v/>
      </c>
      <c r="P288" s="30" t="str">
        <f aca="false">IF($E288="","",IF($N$3=0,0,N288/$N$3*$R$4))</f>
        <v/>
      </c>
      <c r="Q288" s="30" t="str">
        <f aca="false">IF($E288="","",IF($O$3=0,0,O288/$O$3*$T$4))</f>
        <v/>
      </c>
      <c r="R288" s="30" t="str">
        <f aca="false">IF($E288="","",N288+O288+P288+Q288)</f>
        <v/>
      </c>
      <c r="S288" s="30" t="str">
        <f aca="false">IF($E288="","",(N288+P288)*Precificação!$B$19)</f>
        <v/>
      </c>
      <c r="T288" s="30" t="str">
        <f aca="false">IF($E288="","",(O288+Q288)*Precificação!$B$20)</f>
        <v/>
      </c>
      <c r="U288" s="68" t="str">
        <f aca="false">IF($E288="","",IF($E288=INT($E288),0.01,IF($E288*2=INT($E288*2),0.02,0.05)))</f>
        <v/>
      </c>
      <c r="V288" s="30" t="str">
        <f aca="false">IF($E288="","",ROUND(S288/$E288/U288,0)*U288)</f>
        <v/>
      </c>
      <c r="W288" s="30" t="str">
        <f aca="false">IF($E288="","",ROUND(T288/$E288/U288,0)*U288)</f>
        <v/>
      </c>
      <c r="X288" s="14" t="str">
        <f aca="false">IF(NOT(ISNUMBER(E288)),"",IF(NOT(ISNUMBER(E289)),ROW(),X289))</f>
        <v/>
      </c>
    </row>
    <row r="289" customFormat="false" ht="15" hidden="false" customHeight="false" outlineLevel="0" collapsed="false">
      <c r="F289" s="66" t="str">
        <f aca="false">IF($E289="","",V289)</f>
        <v/>
      </c>
      <c r="G289" s="66" t="str">
        <f aca="false">IF($E289="","",ROUND(W289+IF($B289=Precificação!$B$26,$F$3/$E289,0),2))</f>
        <v/>
      </c>
      <c r="H289" s="30" t="str">
        <f aca="false">IF($E289="","",F289+G289)</f>
        <v/>
      </c>
      <c r="I289" s="30" t="str">
        <f aca="false">IF($E289="","",$E289*F289)</f>
        <v/>
      </c>
      <c r="J289" s="30" t="str">
        <f aca="false">IF($E289="","",$E289*G289)</f>
        <v/>
      </c>
      <c r="K289" s="30" t="str">
        <f aca="false">IF($E289="","",I289+J289)</f>
        <v/>
      </c>
      <c r="L289" s="53" t="str">
        <f aca="false">IF($E289="","",IF(R289=0,"SEM CUSTO — falta linha de custo","OK"))</f>
        <v/>
      </c>
      <c r="M289" s="67" t="str">
        <f aca="false">IF(AND(ISNUMBER(E289),NOT(ISNUMBER(E288))),"F"&amp;ROW()&amp;":G"&amp;X289,"")</f>
        <v/>
      </c>
      <c r="N289" s="30" t="str">
        <f aca="false">IF($E289="","",SUMIFS('Rateio Anexo'!$K$6:$K$600,'Rateio Anexo'!$D$6:$D$600,$B289,'Rateio Anexo'!$B$6:$B$600,"MAT"))</f>
        <v/>
      </c>
      <c r="O289" s="30" t="str">
        <f aca="false">IF($E289="","",SUMIFS('Rateio Anexo'!$K$6:$K$600,'Rateio Anexo'!$D$6:$D$600,$B289,'Rateio Anexo'!$B$6:$B$600,"MO"))</f>
        <v/>
      </c>
      <c r="P289" s="30" t="str">
        <f aca="false">IF($E289="","",IF($N$3=0,0,N289/$N$3*$R$4))</f>
        <v/>
      </c>
      <c r="Q289" s="30" t="str">
        <f aca="false">IF($E289="","",IF($O$3=0,0,O289/$O$3*$T$4))</f>
        <v/>
      </c>
      <c r="R289" s="30" t="str">
        <f aca="false">IF($E289="","",N289+O289+P289+Q289)</f>
        <v/>
      </c>
      <c r="S289" s="30" t="str">
        <f aca="false">IF($E289="","",(N289+P289)*Precificação!$B$19)</f>
        <v/>
      </c>
      <c r="T289" s="30" t="str">
        <f aca="false">IF($E289="","",(O289+Q289)*Precificação!$B$20)</f>
        <v/>
      </c>
      <c r="U289" s="68" t="str">
        <f aca="false">IF($E289="","",IF($E289=INT($E289),0.01,IF($E289*2=INT($E289*2),0.02,0.05)))</f>
        <v/>
      </c>
      <c r="V289" s="30" t="str">
        <f aca="false">IF($E289="","",ROUND(S289/$E289/U289,0)*U289)</f>
        <v/>
      </c>
      <c r="W289" s="30" t="str">
        <f aca="false">IF($E289="","",ROUND(T289/$E289/U289,0)*U289)</f>
        <v/>
      </c>
      <c r="X289" s="14" t="str">
        <f aca="false">IF(NOT(ISNUMBER(E289)),"",IF(NOT(ISNUMBER(E290)),ROW(),X290))</f>
        <v/>
      </c>
    </row>
    <row r="290" customFormat="false" ht="15" hidden="false" customHeight="false" outlineLevel="0" collapsed="false">
      <c r="F290" s="66" t="str">
        <f aca="false">IF($E290="","",V290)</f>
        <v/>
      </c>
      <c r="G290" s="66" t="str">
        <f aca="false">IF($E290="","",ROUND(W290+IF($B290=Precificação!$B$26,$F$3/$E290,0),2))</f>
        <v/>
      </c>
      <c r="H290" s="30" t="str">
        <f aca="false">IF($E290="","",F290+G290)</f>
        <v/>
      </c>
      <c r="I290" s="30" t="str">
        <f aca="false">IF($E290="","",$E290*F290)</f>
        <v/>
      </c>
      <c r="J290" s="30" t="str">
        <f aca="false">IF($E290="","",$E290*G290)</f>
        <v/>
      </c>
      <c r="K290" s="30" t="str">
        <f aca="false">IF($E290="","",I290+J290)</f>
        <v/>
      </c>
      <c r="L290" s="53" t="str">
        <f aca="false">IF($E290="","",IF(R290=0,"SEM CUSTO — falta linha de custo","OK"))</f>
        <v/>
      </c>
      <c r="M290" s="67" t="str">
        <f aca="false">IF(AND(ISNUMBER(E290),NOT(ISNUMBER(E289))),"F"&amp;ROW()&amp;":G"&amp;X290,"")</f>
        <v/>
      </c>
      <c r="N290" s="30" t="str">
        <f aca="false">IF($E290="","",SUMIFS('Rateio Anexo'!$K$6:$K$600,'Rateio Anexo'!$D$6:$D$600,$B290,'Rateio Anexo'!$B$6:$B$600,"MAT"))</f>
        <v/>
      </c>
      <c r="O290" s="30" t="str">
        <f aca="false">IF($E290="","",SUMIFS('Rateio Anexo'!$K$6:$K$600,'Rateio Anexo'!$D$6:$D$600,$B290,'Rateio Anexo'!$B$6:$B$600,"MO"))</f>
        <v/>
      </c>
      <c r="P290" s="30" t="str">
        <f aca="false">IF($E290="","",IF($N$3=0,0,N290/$N$3*$R$4))</f>
        <v/>
      </c>
      <c r="Q290" s="30" t="str">
        <f aca="false">IF($E290="","",IF($O$3=0,0,O290/$O$3*$T$4))</f>
        <v/>
      </c>
      <c r="R290" s="30" t="str">
        <f aca="false">IF($E290="","",N290+O290+P290+Q290)</f>
        <v/>
      </c>
      <c r="S290" s="30" t="str">
        <f aca="false">IF($E290="","",(N290+P290)*Precificação!$B$19)</f>
        <v/>
      </c>
      <c r="T290" s="30" t="str">
        <f aca="false">IF($E290="","",(O290+Q290)*Precificação!$B$20)</f>
        <v/>
      </c>
      <c r="U290" s="68" t="str">
        <f aca="false">IF($E290="","",IF($E290=INT($E290),0.01,IF($E290*2=INT($E290*2),0.02,0.05)))</f>
        <v/>
      </c>
      <c r="V290" s="30" t="str">
        <f aca="false">IF($E290="","",ROUND(S290/$E290/U290,0)*U290)</f>
        <v/>
      </c>
      <c r="W290" s="30" t="str">
        <f aca="false">IF($E290="","",ROUND(T290/$E290/U290,0)*U290)</f>
        <v/>
      </c>
      <c r="X290" s="14" t="str">
        <f aca="false">IF(NOT(ISNUMBER(E290)),"",IF(NOT(ISNUMBER(E291)),ROW(),X291))</f>
        <v/>
      </c>
    </row>
    <row r="291" customFormat="false" ht="15" hidden="false" customHeight="false" outlineLevel="0" collapsed="false">
      <c r="F291" s="66" t="str">
        <f aca="false">IF($E291="","",V291)</f>
        <v/>
      </c>
      <c r="G291" s="66" t="str">
        <f aca="false">IF($E291="","",ROUND(W291+IF($B291=Precificação!$B$26,$F$3/$E291,0),2))</f>
        <v/>
      </c>
      <c r="H291" s="30" t="str">
        <f aca="false">IF($E291="","",F291+G291)</f>
        <v/>
      </c>
      <c r="I291" s="30" t="str">
        <f aca="false">IF($E291="","",$E291*F291)</f>
        <v/>
      </c>
      <c r="J291" s="30" t="str">
        <f aca="false">IF($E291="","",$E291*G291)</f>
        <v/>
      </c>
      <c r="K291" s="30" t="str">
        <f aca="false">IF($E291="","",I291+J291)</f>
        <v/>
      </c>
      <c r="L291" s="53" t="str">
        <f aca="false">IF($E291="","",IF(R291=0,"SEM CUSTO — falta linha de custo","OK"))</f>
        <v/>
      </c>
      <c r="M291" s="67" t="str">
        <f aca="false">IF(AND(ISNUMBER(E291),NOT(ISNUMBER(E290))),"F"&amp;ROW()&amp;":G"&amp;X291,"")</f>
        <v/>
      </c>
      <c r="N291" s="30" t="str">
        <f aca="false">IF($E291="","",SUMIFS('Rateio Anexo'!$K$6:$K$600,'Rateio Anexo'!$D$6:$D$600,$B291,'Rateio Anexo'!$B$6:$B$600,"MAT"))</f>
        <v/>
      </c>
      <c r="O291" s="30" t="str">
        <f aca="false">IF($E291="","",SUMIFS('Rateio Anexo'!$K$6:$K$600,'Rateio Anexo'!$D$6:$D$600,$B291,'Rateio Anexo'!$B$6:$B$600,"MO"))</f>
        <v/>
      </c>
      <c r="P291" s="30" t="str">
        <f aca="false">IF($E291="","",IF($N$3=0,0,N291/$N$3*$R$4))</f>
        <v/>
      </c>
      <c r="Q291" s="30" t="str">
        <f aca="false">IF($E291="","",IF($O$3=0,0,O291/$O$3*$T$4))</f>
        <v/>
      </c>
      <c r="R291" s="30" t="str">
        <f aca="false">IF($E291="","",N291+O291+P291+Q291)</f>
        <v/>
      </c>
      <c r="S291" s="30" t="str">
        <f aca="false">IF($E291="","",(N291+P291)*Precificação!$B$19)</f>
        <v/>
      </c>
      <c r="T291" s="30" t="str">
        <f aca="false">IF($E291="","",(O291+Q291)*Precificação!$B$20)</f>
        <v/>
      </c>
      <c r="U291" s="68" t="str">
        <f aca="false">IF($E291="","",IF($E291=INT($E291),0.01,IF($E291*2=INT($E291*2),0.02,0.05)))</f>
        <v/>
      </c>
      <c r="V291" s="30" t="str">
        <f aca="false">IF($E291="","",ROUND(S291/$E291/U291,0)*U291)</f>
        <v/>
      </c>
      <c r="W291" s="30" t="str">
        <f aca="false">IF($E291="","",ROUND(T291/$E291/U291,0)*U291)</f>
        <v/>
      </c>
      <c r="X291" s="14" t="str">
        <f aca="false">IF(NOT(ISNUMBER(E291)),"",IF(NOT(ISNUMBER(E292)),ROW(),X292))</f>
        <v/>
      </c>
    </row>
    <row r="292" customFormat="false" ht="15" hidden="false" customHeight="false" outlineLevel="0" collapsed="false">
      <c r="F292" s="66" t="str">
        <f aca="false">IF($E292="","",V292)</f>
        <v/>
      </c>
      <c r="G292" s="66" t="str">
        <f aca="false">IF($E292="","",ROUND(W292+IF($B292=Precificação!$B$26,$F$3/$E292,0),2))</f>
        <v/>
      </c>
      <c r="H292" s="30" t="str">
        <f aca="false">IF($E292="","",F292+G292)</f>
        <v/>
      </c>
      <c r="I292" s="30" t="str">
        <f aca="false">IF($E292="","",$E292*F292)</f>
        <v/>
      </c>
      <c r="J292" s="30" t="str">
        <f aca="false">IF($E292="","",$E292*G292)</f>
        <v/>
      </c>
      <c r="K292" s="30" t="str">
        <f aca="false">IF($E292="","",I292+J292)</f>
        <v/>
      </c>
      <c r="L292" s="53" t="str">
        <f aca="false">IF($E292="","",IF(R292=0,"SEM CUSTO — falta linha de custo","OK"))</f>
        <v/>
      </c>
      <c r="M292" s="67" t="str">
        <f aca="false">IF(AND(ISNUMBER(E292),NOT(ISNUMBER(E291))),"F"&amp;ROW()&amp;":G"&amp;X292,"")</f>
        <v/>
      </c>
      <c r="N292" s="30" t="str">
        <f aca="false">IF($E292="","",SUMIFS('Rateio Anexo'!$K$6:$K$600,'Rateio Anexo'!$D$6:$D$600,$B292,'Rateio Anexo'!$B$6:$B$600,"MAT"))</f>
        <v/>
      </c>
      <c r="O292" s="30" t="str">
        <f aca="false">IF($E292="","",SUMIFS('Rateio Anexo'!$K$6:$K$600,'Rateio Anexo'!$D$6:$D$600,$B292,'Rateio Anexo'!$B$6:$B$600,"MO"))</f>
        <v/>
      </c>
      <c r="P292" s="30" t="str">
        <f aca="false">IF($E292="","",IF($N$3=0,0,N292/$N$3*$R$4))</f>
        <v/>
      </c>
      <c r="Q292" s="30" t="str">
        <f aca="false">IF($E292="","",IF($O$3=0,0,O292/$O$3*$T$4))</f>
        <v/>
      </c>
      <c r="R292" s="30" t="str">
        <f aca="false">IF($E292="","",N292+O292+P292+Q292)</f>
        <v/>
      </c>
      <c r="S292" s="30" t="str">
        <f aca="false">IF($E292="","",(N292+P292)*Precificação!$B$19)</f>
        <v/>
      </c>
      <c r="T292" s="30" t="str">
        <f aca="false">IF($E292="","",(O292+Q292)*Precificação!$B$20)</f>
        <v/>
      </c>
      <c r="U292" s="68" t="str">
        <f aca="false">IF($E292="","",IF($E292=INT($E292),0.01,IF($E292*2=INT($E292*2),0.02,0.05)))</f>
        <v/>
      </c>
      <c r="V292" s="30" t="str">
        <f aca="false">IF($E292="","",ROUND(S292/$E292/U292,0)*U292)</f>
        <v/>
      </c>
      <c r="W292" s="30" t="str">
        <f aca="false">IF($E292="","",ROUND(T292/$E292/U292,0)*U292)</f>
        <v/>
      </c>
      <c r="X292" s="14" t="str">
        <f aca="false">IF(NOT(ISNUMBER(E292)),"",IF(NOT(ISNUMBER(E293)),ROW(),X293))</f>
        <v/>
      </c>
    </row>
    <row r="293" customFormat="false" ht="15" hidden="false" customHeight="false" outlineLevel="0" collapsed="false">
      <c r="F293" s="66" t="str">
        <f aca="false">IF($E293="","",V293)</f>
        <v/>
      </c>
      <c r="G293" s="66" t="str">
        <f aca="false">IF($E293="","",ROUND(W293+IF($B293=Precificação!$B$26,$F$3/$E293,0),2))</f>
        <v/>
      </c>
      <c r="H293" s="30" t="str">
        <f aca="false">IF($E293="","",F293+G293)</f>
        <v/>
      </c>
      <c r="I293" s="30" t="str">
        <f aca="false">IF($E293="","",$E293*F293)</f>
        <v/>
      </c>
      <c r="J293" s="30" t="str">
        <f aca="false">IF($E293="","",$E293*G293)</f>
        <v/>
      </c>
      <c r="K293" s="30" t="str">
        <f aca="false">IF($E293="","",I293+J293)</f>
        <v/>
      </c>
      <c r="L293" s="53" t="str">
        <f aca="false">IF($E293="","",IF(R293=0,"SEM CUSTO — falta linha de custo","OK"))</f>
        <v/>
      </c>
      <c r="M293" s="67" t="str">
        <f aca="false">IF(AND(ISNUMBER(E293),NOT(ISNUMBER(E292))),"F"&amp;ROW()&amp;":G"&amp;X293,"")</f>
        <v/>
      </c>
      <c r="N293" s="30" t="str">
        <f aca="false">IF($E293="","",SUMIFS('Rateio Anexo'!$K$6:$K$600,'Rateio Anexo'!$D$6:$D$600,$B293,'Rateio Anexo'!$B$6:$B$600,"MAT"))</f>
        <v/>
      </c>
      <c r="O293" s="30" t="str">
        <f aca="false">IF($E293="","",SUMIFS('Rateio Anexo'!$K$6:$K$600,'Rateio Anexo'!$D$6:$D$600,$B293,'Rateio Anexo'!$B$6:$B$600,"MO"))</f>
        <v/>
      </c>
      <c r="P293" s="30" t="str">
        <f aca="false">IF($E293="","",IF($N$3=0,0,N293/$N$3*$R$4))</f>
        <v/>
      </c>
      <c r="Q293" s="30" t="str">
        <f aca="false">IF($E293="","",IF($O$3=0,0,O293/$O$3*$T$4))</f>
        <v/>
      </c>
      <c r="R293" s="30" t="str">
        <f aca="false">IF($E293="","",N293+O293+P293+Q293)</f>
        <v/>
      </c>
      <c r="S293" s="30" t="str">
        <f aca="false">IF($E293="","",(N293+P293)*Precificação!$B$19)</f>
        <v/>
      </c>
      <c r="T293" s="30" t="str">
        <f aca="false">IF($E293="","",(O293+Q293)*Precificação!$B$20)</f>
        <v/>
      </c>
      <c r="U293" s="68" t="str">
        <f aca="false">IF($E293="","",IF($E293=INT($E293),0.01,IF($E293*2=INT($E293*2),0.02,0.05)))</f>
        <v/>
      </c>
      <c r="V293" s="30" t="str">
        <f aca="false">IF($E293="","",ROUND(S293/$E293/U293,0)*U293)</f>
        <v/>
      </c>
      <c r="W293" s="30" t="str">
        <f aca="false">IF($E293="","",ROUND(T293/$E293/U293,0)*U293)</f>
        <v/>
      </c>
      <c r="X293" s="14" t="str">
        <f aca="false">IF(NOT(ISNUMBER(E293)),"",IF(NOT(ISNUMBER(E294)),ROW(),X294))</f>
        <v/>
      </c>
    </row>
    <row r="294" customFormat="false" ht="15" hidden="false" customHeight="false" outlineLevel="0" collapsed="false">
      <c r="F294" s="66" t="str">
        <f aca="false">IF($E294="","",V294)</f>
        <v/>
      </c>
      <c r="G294" s="66" t="str">
        <f aca="false">IF($E294="","",ROUND(W294+IF($B294=Precificação!$B$26,$F$3/$E294,0),2))</f>
        <v/>
      </c>
      <c r="H294" s="30" t="str">
        <f aca="false">IF($E294="","",F294+G294)</f>
        <v/>
      </c>
      <c r="I294" s="30" t="str">
        <f aca="false">IF($E294="","",$E294*F294)</f>
        <v/>
      </c>
      <c r="J294" s="30" t="str">
        <f aca="false">IF($E294="","",$E294*G294)</f>
        <v/>
      </c>
      <c r="K294" s="30" t="str">
        <f aca="false">IF($E294="","",I294+J294)</f>
        <v/>
      </c>
      <c r="L294" s="53" t="str">
        <f aca="false">IF($E294="","",IF(R294=0,"SEM CUSTO — falta linha de custo","OK"))</f>
        <v/>
      </c>
      <c r="M294" s="67" t="str">
        <f aca="false">IF(AND(ISNUMBER(E294),NOT(ISNUMBER(E293))),"F"&amp;ROW()&amp;":G"&amp;X294,"")</f>
        <v/>
      </c>
      <c r="N294" s="30" t="str">
        <f aca="false">IF($E294="","",SUMIFS('Rateio Anexo'!$K$6:$K$600,'Rateio Anexo'!$D$6:$D$600,$B294,'Rateio Anexo'!$B$6:$B$600,"MAT"))</f>
        <v/>
      </c>
      <c r="O294" s="30" t="str">
        <f aca="false">IF($E294="","",SUMIFS('Rateio Anexo'!$K$6:$K$600,'Rateio Anexo'!$D$6:$D$600,$B294,'Rateio Anexo'!$B$6:$B$600,"MO"))</f>
        <v/>
      </c>
      <c r="P294" s="30" t="str">
        <f aca="false">IF($E294="","",IF($N$3=0,0,N294/$N$3*$R$4))</f>
        <v/>
      </c>
      <c r="Q294" s="30" t="str">
        <f aca="false">IF($E294="","",IF($O$3=0,0,O294/$O$3*$T$4))</f>
        <v/>
      </c>
      <c r="R294" s="30" t="str">
        <f aca="false">IF($E294="","",N294+O294+P294+Q294)</f>
        <v/>
      </c>
      <c r="S294" s="30" t="str">
        <f aca="false">IF($E294="","",(N294+P294)*Precificação!$B$19)</f>
        <v/>
      </c>
      <c r="T294" s="30" t="str">
        <f aca="false">IF($E294="","",(O294+Q294)*Precificação!$B$20)</f>
        <v/>
      </c>
      <c r="U294" s="68" t="str">
        <f aca="false">IF($E294="","",IF($E294=INT($E294),0.01,IF($E294*2=INT($E294*2),0.02,0.05)))</f>
        <v/>
      </c>
      <c r="V294" s="30" t="str">
        <f aca="false">IF($E294="","",ROUND(S294/$E294/U294,0)*U294)</f>
        <v/>
      </c>
      <c r="W294" s="30" t="str">
        <f aca="false">IF($E294="","",ROUND(T294/$E294/U294,0)*U294)</f>
        <v/>
      </c>
      <c r="X294" s="14" t="str">
        <f aca="false">IF(NOT(ISNUMBER(E294)),"",IF(NOT(ISNUMBER(E295)),ROW(),X295))</f>
        <v/>
      </c>
    </row>
    <row r="295" customFormat="false" ht="15" hidden="false" customHeight="false" outlineLevel="0" collapsed="false">
      <c r="F295" s="66" t="str">
        <f aca="false">IF($E295="","",V295)</f>
        <v/>
      </c>
      <c r="G295" s="66" t="str">
        <f aca="false">IF($E295="","",ROUND(W295+IF($B295=Precificação!$B$26,$F$3/$E295,0),2))</f>
        <v/>
      </c>
      <c r="H295" s="30" t="str">
        <f aca="false">IF($E295="","",F295+G295)</f>
        <v/>
      </c>
      <c r="I295" s="30" t="str">
        <f aca="false">IF($E295="","",$E295*F295)</f>
        <v/>
      </c>
      <c r="J295" s="30" t="str">
        <f aca="false">IF($E295="","",$E295*G295)</f>
        <v/>
      </c>
      <c r="K295" s="30" t="str">
        <f aca="false">IF($E295="","",I295+J295)</f>
        <v/>
      </c>
      <c r="L295" s="53" t="str">
        <f aca="false">IF($E295="","",IF(R295=0,"SEM CUSTO — falta linha de custo","OK"))</f>
        <v/>
      </c>
      <c r="M295" s="67" t="str">
        <f aca="false">IF(AND(ISNUMBER(E295),NOT(ISNUMBER(E294))),"F"&amp;ROW()&amp;":G"&amp;X295,"")</f>
        <v/>
      </c>
      <c r="N295" s="30" t="str">
        <f aca="false">IF($E295="","",SUMIFS('Rateio Anexo'!$K$6:$K$600,'Rateio Anexo'!$D$6:$D$600,$B295,'Rateio Anexo'!$B$6:$B$600,"MAT"))</f>
        <v/>
      </c>
      <c r="O295" s="30" t="str">
        <f aca="false">IF($E295="","",SUMIFS('Rateio Anexo'!$K$6:$K$600,'Rateio Anexo'!$D$6:$D$600,$B295,'Rateio Anexo'!$B$6:$B$600,"MO"))</f>
        <v/>
      </c>
      <c r="P295" s="30" t="str">
        <f aca="false">IF($E295="","",IF($N$3=0,0,N295/$N$3*$R$4))</f>
        <v/>
      </c>
      <c r="Q295" s="30" t="str">
        <f aca="false">IF($E295="","",IF($O$3=0,0,O295/$O$3*$T$4))</f>
        <v/>
      </c>
      <c r="R295" s="30" t="str">
        <f aca="false">IF($E295="","",N295+O295+P295+Q295)</f>
        <v/>
      </c>
      <c r="S295" s="30" t="str">
        <f aca="false">IF($E295="","",(N295+P295)*Precificação!$B$19)</f>
        <v/>
      </c>
      <c r="T295" s="30" t="str">
        <f aca="false">IF($E295="","",(O295+Q295)*Precificação!$B$20)</f>
        <v/>
      </c>
      <c r="U295" s="68" t="str">
        <f aca="false">IF($E295="","",IF($E295=INT($E295),0.01,IF($E295*2=INT($E295*2),0.02,0.05)))</f>
        <v/>
      </c>
      <c r="V295" s="30" t="str">
        <f aca="false">IF($E295="","",ROUND(S295/$E295/U295,0)*U295)</f>
        <v/>
      </c>
      <c r="W295" s="30" t="str">
        <f aca="false">IF($E295="","",ROUND(T295/$E295/U295,0)*U295)</f>
        <v/>
      </c>
      <c r="X295" s="14" t="str">
        <f aca="false">IF(NOT(ISNUMBER(E295)),"",IF(NOT(ISNUMBER(E296)),ROW(),X296))</f>
        <v/>
      </c>
    </row>
    <row r="296" customFormat="false" ht="15" hidden="false" customHeight="false" outlineLevel="0" collapsed="false">
      <c r="F296" s="66" t="str">
        <f aca="false">IF($E296="","",V296)</f>
        <v/>
      </c>
      <c r="G296" s="66" t="str">
        <f aca="false">IF($E296="","",ROUND(W296+IF($B296=Precificação!$B$26,$F$3/$E296,0),2))</f>
        <v/>
      </c>
      <c r="H296" s="30" t="str">
        <f aca="false">IF($E296="","",F296+G296)</f>
        <v/>
      </c>
      <c r="I296" s="30" t="str">
        <f aca="false">IF($E296="","",$E296*F296)</f>
        <v/>
      </c>
      <c r="J296" s="30" t="str">
        <f aca="false">IF($E296="","",$E296*G296)</f>
        <v/>
      </c>
      <c r="K296" s="30" t="str">
        <f aca="false">IF($E296="","",I296+J296)</f>
        <v/>
      </c>
      <c r="L296" s="53" t="str">
        <f aca="false">IF($E296="","",IF(R296=0,"SEM CUSTO — falta linha de custo","OK"))</f>
        <v/>
      </c>
      <c r="M296" s="67" t="str">
        <f aca="false">IF(AND(ISNUMBER(E296),NOT(ISNUMBER(E295))),"F"&amp;ROW()&amp;":G"&amp;X296,"")</f>
        <v/>
      </c>
      <c r="N296" s="30" t="str">
        <f aca="false">IF($E296="","",SUMIFS('Rateio Anexo'!$K$6:$K$600,'Rateio Anexo'!$D$6:$D$600,$B296,'Rateio Anexo'!$B$6:$B$600,"MAT"))</f>
        <v/>
      </c>
      <c r="O296" s="30" t="str">
        <f aca="false">IF($E296="","",SUMIFS('Rateio Anexo'!$K$6:$K$600,'Rateio Anexo'!$D$6:$D$600,$B296,'Rateio Anexo'!$B$6:$B$600,"MO"))</f>
        <v/>
      </c>
      <c r="P296" s="30" t="str">
        <f aca="false">IF($E296="","",IF($N$3=0,0,N296/$N$3*$R$4))</f>
        <v/>
      </c>
      <c r="Q296" s="30" t="str">
        <f aca="false">IF($E296="","",IF($O$3=0,0,O296/$O$3*$T$4))</f>
        <v/>
      </c>
      <c r="R296" s="30" t="str">
        <f aca="false">IF($E296="","",N296+O296+P296+Q296)</f>
        <v/>
      </c>
      <c r="S296" s="30" t="str">
        <f aca="false">IF($E296="","",(N296+P296)*Precificação!$B$19)</f>
        <v/>
      </c>
      <c r="T296" s="30" t="str">
        <f aca="false">IF($E296="","",(O296+Q296)*Precificação!$B$20)</f>
        <v/>
      </c>
      <c r="U296" s="68" t="str">
        <f aca="false">IF($E296="","",IF($E296=INT($E296),0.01,IF($E296*2=INT($E296*2),0.02,0.05)))</f>
        <v/>
      </c>
      <c r="V296" s="30" t="str">
        <f aca="false">IF($E296="","",ROUND(S296/$E296/U296,0)*U296)</f>
        <v/>
      </c>
      <c r="W296" s="30" t="str">
        <f aca="false">IF($E296="","",ROUND(T296/$E296/U296,0)*U296)</f>
        <v/>
      </c>
      <c r="X296" s="14" t="str">
        <f aca="false">IF(NOT(ISNUMBER(E296)),"",IF(NOT(ISNUMBER(E297)),ROW(),X297))</f>
        <v/>
      </c>
    </row>
    <row r="297" customFormat="false" ht="15" hidden="false" customHeight="false" outlineLevel="0" collapsed="false">
      <c r="F297" s="66" t="str">
        <f aca="false">IF($E297="","",V297)</f>
        <v/>
      </c>
      <c r="G297" s="66" t="str">
        <f aca="false">IF($E297="","",ROUND(W297+IF($B297=Precificação!$B$26,$F$3/$E297,0),2))</f>
        <v/>
      </c>
      <c r="H297" s="30" t="str">
        <f aca="false">IF($E297="","",F297+G297)</f>
        <v/>
      </c>
      <c r="I297" s="30" t="str">
        <f aca="false">IF($E297="","",$E297*F297)</f>
        <v/>
      </c>
      <c r="J297" s="30" t="str">
        <f aca="false">IF($E297="","",$E297*G297)</f>
        <v/>
      </c>
      <c r="K297" s="30" t="str">
        <f aca="false">IF($E297="","",I297+J297)</f>
        <v/>
      </c>
      <c r="L297" s="53" t="str">
        <f aca="false">IF($E297="","",IF(R297=0,"SEM CUSTO — falta linha de custo","OK"))</f>
        <v/>
      </c>
      <c r="M297" s="67" t="str">
        <f aca="false">IF(AND(ISNUMBER(E297),NOT(ISNUMBER(E296))),"F"&amp;ROW()&amp;":G"&amp;X297,"")</f>
        <v/>
      </c>
      <c r="N297" s="30" t="str">
        <f aca="false">IF($E297="","",SUMIFS('Rateio Anexo'!$K$6:$K$600,'Rateio Anexo'!$D$6:$D$600,$B297,'Rateio Anexo'!$B$6:$B$600,"MAT"))</f>
        <v/>
      </c>
      <c r="O297" s="30" t="str">
        <f aca="false">IF($E297="","",SUMIFS('Rateio Anexo'!$K$6:$K$600,'Rateio Anexo'!$D$6:$D$600,$B297,'Rateio Anexo'!$B$6:$B$600,"MO"))</f>
        <v/>
      </c>
      <c r="P297" s="30" t="str">
        <f aca="false">IF($E297="","",IF($N$3=0,0,N297/$N$3*$R$4))</f>
        <v/>
      </c>
      <c r="Q297" s="30" t="str">
        <f aca="false">IF($E297="","",IF($O$3=0,0,O297/$O$3*$T$4))</f>
        <v/>
      </c>
      <c r="R297" s="30" t="str">
        <f aca="false">IF($E297="","",N297+O297+P297+Q297)</f>
        <v/>
      </c>
      <c r="S297" s="30" t="str">
        <f aca="false">IF($E297="","",(N297+P297)*Precificação!$B$19)</f>
        <v/>
      </c>
      <c r="T297" s="30" t="str">
        <f aca="false">IF($E297="","",(O297+Q297)*Precificação!$B$20)</f>
        <v/>
      </c>
      <c r="U297" s="68" t="str">
        <f aca="false">IF($E297="","",IF($E297=INT($E297),0.01,IF($E297*2=INT($E297*2),0.02,0.05)))</f>
        <v/>
      </c>
      <c r="V297" s="30" t="str">
        <f aca="false">IF($E297="","",ROUND(S297/$E297/U297,0)*U297)</f>
        <v/>
      </c>
      <c r="W297" s="30" t="str">
        <f aca="false">IF($E297="","",ROUND(T297/$E297/U297,0)*U297)</f>
        <v/>
      </c>
      <c r="X297" s="14" t="str">
        <f aca="false">IF(NOT(ISNUMBER(E297)),"",IF(NOT(ISNUMBER(E298)),ROW(),X298))</f>
        <v/>
      </c>
    </row>
    <row r="298" customFormat="false" ht="15" hidden="false" customHeight="false" outlineLevel="0" collapsed="false">
      <c r="F298" s="66" t="str">
        <f aca="false">IF($E298="","",V298)</f>
        <v/>
      </c>
      <c r="G298" s="66" t="str">
        <f aca="false">IF($E298="","",ROUND(W298+IF($B298=Precificação!$B$26,$F$3/$E298,0),2))</f>
        <v/>
      </c>
      <c r="H298" s="30" t="str">
        <f aca="false">IF($E298="","",F298+G298)</f>
        <v/>
      </c>
      <c r="I298" s="30" t="str">
        <f aca="false">IF($E298="","",$E298*F298)</f>
        <v/>
      </c>
      <c r="J298" s="30" t="str">
        <f aca="false">IF($E298="","",$E298*G298)</f>
        <v/>
      </c>
      <c r="K298" s="30" t="str">
        <f aca="false">IF($E298="","",I298+J298)</f>
        <v/>
      </c>
      <c r="L298" s="53" t="str">
        <f aca="false">IF($E298="","",IF(R298=0,"SEM CUSTO — falta linha de custo","OK"))</f>
        <v/>
      </c>
      <c r="M298" s="67" t="str">
        <f aca="false">IF(AND(ISNUMBER(E298),NOT(ISNUMBER(E297))),"F"&amp;ROW()&amp;":G"&amp;X298,"")</f>
        <v/>
      </c>
      <c r="N298" s="30" t="str">
        <f aca="false">IF($E298="","",SUMIFS('Rateio Anexo'!$K$6:$K$600,'Rateio Anexo'!$D$6:$D$600,$B298,'Rateio Anexo'!$B$6:$B$600,"MAT"))</f>
        <v/>
      </c>
      <c r="O298" s="30" t="str">
        <f aca="false">IF($E298="","",SUMIFS('Rateio Anexo'!$K$6:$K$600,'Rateio Anexo'!$D$6:$D$600,$B298,'Rateio Anexo'!$B$6:$B$600,"MO"))</f>
        <v/>
      </c>
      <c r="P298" s="30" t="str">
        <f aca="false">IF($E298="","",IF($N$3=0,0,N298/$N$3*$R$4))</f>
        <v/>
      </c>
      <c r="Q298" s="30" t="str">
        <f aca="false">IF($E298="","",IF($O$3=0,0,O298/$O$3*$T$4))</f>
        <v/>
      </c>
      <c r="R298" s="30" t="str">
        <f aca="false">IF($E298="","",N298+O298+P298+Q298)</f>
        <v/>
      </c>
      <c r="S298" s="30" t="str">
        <f aca="false">IF($E298="","",(N298+P298)*Precificação!$B$19)</f>
        <v/>
      </c>
      <c r="T298" s="30" t="str">
        <f aca="false">IF($E298="","",(O298+Q298)*Precificação!$B$20)</f>
        <v/>
      </c>
      <c r="U298" s="68" t="str">
        <f aca="false">IF($E298="","",IF($E298=INT($E298),0.01,IF($E298*2=INT($E298*2),0.02,0.05)))</f>
        <v/>
      </c>
      <c r="V298" s="30" t="str">
        <f aca="false">IF($E298="","",ROUND(S298/$E298/U298,0)*U298)</f>
        <v/>
      </c>
      <c r="W298" s="30" t="str">
        <f aca="false">IF($E298="","",ROUND(T298/$E298/U298,0)*U298)</f>
        <v/>
      </c>
      <c r="X298" s="14" t="str">
        <f aca="false">IF(NOT(ISNUMBER(E298)),"",IF(NOT(ISNUMBER(E299)),ROW(),X299))</f>
        <v/>
      </c>
    </row>
    <row r="299" customFormat="false" ht="15" hidden="false" customHeight="false" outlineLevel="0" collapsed="false">
      <c r="F299" s="66" t="str">
        <f aca="false">IF($E299="","",V299)</f>
        <v/>
      </c>
      <c r="G299" s="66" t="str">
        <f aca="false">IF($E299="","",ROUND(W299+IF($B299=Precificação!$B$26,$F$3/$E299,0),2))</f>
        <v/>
      </c>
      <c r="H299" s="30" t="str">
        <f aca="false">IF($E299="","",F299+G299)</f>
        <v/>
      </c>
      <c r="I299" s="30" t="str">
        <f aca="false">IF($E299="","",$E299*F299)</f>
        <v/>
      </c>
      <c r="J299" s="30" t="str">
        <f aca="false">IF($E299="","",$E299*G299)</f>
        <v/>
      </c>
      <c r="K299" s="30" t="str">
        <f aca="false">IF($E299="","",I299+J299)</f>
        <v/>
      </c>
      <c r="L299" s="53" t="str">
        <f aca="false">IF($E299="","",IF(R299=0,"SEM CUSTO — falta linha de custo","OK"))</f>
        <v/>
      </c>
      <c r="M299" s="67" t="str">
        <f aca="false">IF(AND(ISNUMBER(E299),NOT(ISNUMBER(E298))),"F"&amp;ROW()&amp;":G"&amp;X299,"")</f>
        <v/>
      </c>
      <c r="N299" s="30" t="str">
        <f aca="false">IF($E299="","",SUMIFS('Rateio Anexo'!$K$6:$K$600,'Rateio Anexo'!$D$6:$D$600,$B299,'Rateio Anexo'!$B$6:$B$600,"MAT"))</f>
        <v/>
      </c>
      <c r="O299" s="30" t="str">
        <f aca="false">IF($E299="","",SUMIFS('Rateio Anexo'!$K$6:$K$600,'Rateio Anexo'!$D$6:$D$600,$B299,'Rateio Anexo'!$B$6:$B$600,"MO"))</f>
        <v/>
      </c>
      <c r="P299" s="30" t="str">
        <f aca="false">IF($E299="","",IF($N$3=0,0,N299/$N$3*$R$4))</f>
        <v/>
      </c>
      <c r="Q299" s="30" t="str">
        <f aca="false">IF($E299="","",IF($O$3=0,0,O299/$O$3*$T$4))</f>
        <v/>
      </c>
      <c r="R299" s="30" t="str">
        <f aca="false">IF($E299="","",N299+O299+P299+Q299)</f>
        <v/>
      </c>
      <c r="S299" s="30" t="str">
        <f aca="false">IF($E299="","",(N299+P299)*Precificação!$B$19)</f>
        <v/>
      </c>
      <c r="T299" s="30" t="str">
        <f aca="false">IF($E299="","",(O299+Q299)*Precificação!$B$20)</f>
        <v/>
      </c>
      <c r="U299" s="68" t="str">
        <f aca="false">IF($E299="","",IF($E299=INT($E299),0.01,IF($E299*2=INT($E299*2),0.02,0.05)))</f>
        <v/>
      </c>
      <c r="V299" s="30" t="str">
        <f aca="false">IF($E299="","",ROUND(S299/$E299/U299,0)*U299)</f>
        <v/>
      </c>
      <c r="W299" s="30" t="str">
        <f aca="false">IF($E299="","",ROUND(T299/$E299/U299,0)*U299)</f>
        <v/>
      </c>
      <c r="X299" s="14" t="str">
        <f aca="false">IF(NOT(ISNUMBER(E299)),"",IF(NOT(ISNUMBER(E300)),ROW(),X300))</f>
        <v/>
      </c>
    </row>
    <row r="300" customFormat="false" ht="15" hidden="false" customHeight="false" outlineLevel="0" collapsed="false">
      <c r="F300" s="66" t="str">
        <f aca="false">IF($E300="","",V300)</f>
        <v/>
      </c>
      <c r="G300" s="66" t="str">
        <f aca="false">IF($E300="","",ROUND(W300+IF($B300=Precificação!$B$26,$F$3/$E300,0),2))</f>
        <v/>
      </c>
      <c r="H300" s="30" t="str">
        <f aca="false">IF($E300="","",F300+G300)</f>
        <v/>
      </c>
      <c r="I300" s="30" t="str">
        <f aca="false">IF($E300="","",$E300*F300)</f>
        <v/>
      </c>
      <c r="J300" s="30" t="str">
        <f aca="false">IF($E300="","",$E300*G300)</f>
        <v/>
      </c>
      <c r="K300" s="30" t="str">
        <f aca="false">IF($E300="","",I300+J300)</f>
        <v/>
      </c>
      <c r="L300" s="53" t="str">
        <f aca="false">IF($E300="","",IF(R300=0,"SEM CUSTO — falta linha de custo","OK"))</f>
        <v/>
      </c>
      <c r="M300" s="67" t="str">
        <f aca="false">IF(AND(ISNUMBER(E300),NOT(ISNUMBER(E299))),"F"&amp;ROW()&amp;":G"&amp;X300,"")</f>
        <v/>
      </c>
      <c r="N300" s="30" t="str">
        <f aca="false">IF($E300="","",SUMIFS('Rateio Anexo'!$K$6:$K$600,'Rateio Anexo'!$D$6:$D$600,$B300,'Rateio Anexo'!$B$6:$B$600,"MAT"))</f>
        <v/>
      </c>
      <c r="O300" s="30" t="str">
        <f aca="false">IF($E300="","",SUMIFS('Rateio Anexo'!$K$6:$K$600,'Rateio Anexo'!$D$6:$D$600,$B300,'Rateio Anexo'!$B$6:$B$600,"MO"))</f>
        <v/>
      </c>
      <c r="P300" s="30" t="str">
        <f aca="false">IF($E300="","",IF($N$3=0,0,N300/$N$3*$R$4))</f>
        <v/>
      </c>
      <c r="Q300" s="30" t="str">
        <f aca="false">IF($E300="","",IF($O$3=0,0,O300/$O$3*$T$4))</f>
        <v/>
      </c>
      <c r="R300" s="30" t="str">
        <f aca="false">IF($E300="","",N300+O300+P300+Q300)</f>
        <v/>
      </c>
      <c r="S300" s="30" t="str">
        <f aca="false">IF($E300="","",(N300+P300)*Precificação!$B$19)</f>
        <v/>
      </c>
      <c r="T300" s="30" t="str">
        <f aca="false">IF($E300="","",(O300+Q300)*Precificação!$B$20)</f>
        <v/>
      </c>
      <c r="U300" s="68" t="str">
        <f aca="false">IF($E300="","",IF($E300=INT($E300),0.01,IF($E300*2=INT($E300*2),0.02,0.05)))</f>
        <v/>
      </c>
      <c r="V300" s="30" t="str">
        <f aca="false">IF($E300="","",ROUND(S300/$E300/U300,0)*U300)</f>
        <v/>
      </c>
      <c r="W300" s="30" t="str">
        <f aca="false">IF($E300="","",ROUND(T300/$E300/U300,0)*U300)</f>
        <v/>
      </c>
      <c r="X300" s="14" t="str">
        <f aca="false">IF(NOT(ISNUMBER(E300)),"",IF(NOT(ISNUMBER(E301)),ROW(),X301))</f>
        <v/>
      </c>
    </row>
    <row r="301" customFormat="false" ht="15" hidden="false" customHeight="false" outlineLevel="0" collapsed="false">
      <c r="F301" s="66" t="str">
        <f aca="false">IF($E301="","",V301)</f>
        <v/>
      </c>
      <c r="G301" s="66" t="str">
        <f aca="false">IF($E301="","",ROUND(W301+IF($B301=Precificação!$B$26,$F$3/$E301,0),2))</f>
        <v/>
      </c>
      <c r="H301" s="30" t="str">
        <f aca="false">IF($E301="","",F301+G301)</f>
        <v/>
      </c>
      <c r="I301" s="30" t="str">
        <f aca="false">IF($E301="","",$E301*F301)</f>
        <v/>
      </c>
      <c r="J301" s="30" t="str">
        <f aca="false">IF($E301="","",$E301*G301)</f>
        <v/>
      </c>
      <c r="K301" s="30" t="str">
        <f aca="false">IF($E301="","",I301+J301)</f>
        <v/>
      </c>
      <c r="L301" s="53" t="str">
        <f aca="false">IF($E301="","",IF(R301=0,"SEM CUSTO — falta linha de custo","OK"))</f>
        <v/>
      </c>
      <c r="M301" s="67" t="str">
        <f aca="false">IF(AND(ISNUMBER(E301),NOT(ISNUMBER(E300))),"F"&amp;ROW()&amp;":G"&amp;X301,"")</f>
        <v/>
      </c>
      <c r="N301" s="30" t="str">
        <f aca="false">IF($E301="","",SUMIFS('Rateio Anexo'!$K$6:$K$600,'Rateio Anexo'!$D$6:$D$600,$B301,'Rateio Anexo'!$B$6:$B$600,"MAT"))</f>
        <v/>
      </c>
      <c r="O301" s="30" t="str">
        <f aca="false">IF($E301="","",SUMIFS('Rateio Anexo'!$K$6:$K$600,'Rateio Anexo'!$D$6:$D$600,$B301,'Rateio Anexo'!$B$6:$B$600,"MO"))</f>
        <v/>
      </c>
      <c r="P301" s="30" t="str">
        <f aca="false">IF($E301="","",IF($N$3=0,0,N301/$N$3*$R$4))</f>
        <v/>
      </c>
      <c r="Q301" s="30" t="str">
        <f aca="false">IF($E301="","",IF($O$3=0,0,O301/$O$3*$T$4))</f>
        <v/>
      </c>
      <c r="R301" s="30" t="str">
        <f aca="false">IF($E301="","",N301+O301+P301+Q301)</f>
        <v/>
      </c>
      <c r="S301" s="30" t="str">
        <f aca="false">IF($E301="","",(N301+P301)*Precificação!$B$19)</f>
        <v/>
      </c>
      <c r="T301" s="30" t="str">
        <f aca="false">IF($E301="","",(O301+Q301)*Precificação!$B$20)</f>
        <v/>
      </c>
      <c r="U301" s="68" t="str">
        <f aca="false">IF($E301="","",IF($E301=INT($E301),0.01,IF($E301*2=INT($E301*2),0.02,0.05)))</f>
        <v/>
      </c>
      <c r="V301" s="30" t="str">
        <f aca="false">IF($E301="","",ROUND(S301/$E301/U301,0)*U301)</f>
        <v/>
      </c>
      <c r="W301" s="30" t="str">
        <f aca="false">IF($E301="","",ROUND(T301/$E301/U301,0)*U301)</f>
        <v/>
      </c>
      <c r="X301" s="14" t="str">
        <f aca="false">IF(NOT(ISNUMBER(E301)),"",IF(NOT(ISNUMBER(E302)),ROW(),X302))</f>
        <v/>
      </c>
    </row>
    <row r="302" customFormat="false" ht="15" hidden="false" customHeight="false" outlineLevel="0" collapsed="false">
      <c r="F302" s="66" t="str">
        <f aca="false">IF($E302="","",V302)</f>
        <v/>
      </c>
      <c r="G302" s="66" t="str">
        <f aca="false">IF($E302="","",ROUND(W302+IF($B302=Precificação!$B$26,$F$3/$E302,0),2))</f>
        <v/>
      </c>
      <c r="H302" s="30" t="str">
        <f aca="false">IF($E302="","",F302+G302)</f>
        <v/>
      </c>
      <c r="I302" s="30" t="str">
        <f aca="false">IF($E302="","",$E302*F302)</f>
        <v/>
      </c>
      <c r="J302" s="30" t="str">
        <f aca="false">IF($E302="","",$E302*G302)</f>
        <v/>
      </c>
      <c r="K302" s="30" t="str">
        <f aca="false">IF($E302="","",I302+J302)</f>
        <v/>
      </c>
      <c r="L302" s="53" t="str">
        <f aca="false">IF($E302="","",IF(R302=0,"SEM CUSTO — falta linha de custo","OK"))</f>
        <v/>
      </c>
      <c r="M302" s="67" t="str">
        <f aca="false">IF(AND(ISNUMBER(E302),NOT(ISNUMBER(E301))),"F"&amp;ROW()&amp;":G"&amp;X302,"")</f>
        <v/>
      </c>
      <c r="N302" s="30" t="str">
        <f aca="false">IF($E302="","",SUMIFS('Rateio Anexo'!$K$6:$K$600,'Rateio Anexo'!$D$6:$D$600,$B302,'Rateio Anexo'!$B$6:$B$600,"MAT"))</f>
        <v/>
      </c>
      <c r="O302" s="30" t="str">
        <f aca="false">IF($E302="","",SUMIFS('Rateio Anexo'!$K$6:$K$600,'Rateio Anexo'!$D$6:$D$600,$B302,'Rateio Anexo'!$B$6:$B$600,"MO"))</f>
        <v/>
      </c>
      <c r="P302" s="30" t="str">
        <f aca="false">IF($E302="","",IF($N$3=0,0,N302/$N$3*$R$4))</f>
        <v/>
      </c>
      <c r="Q302" s="30" t="str">
        <f aca="false">IF($E302="","",IF($O$3=0,0,O302/$O$3*$T$4))</f>
        <v/>
      </c>
      <c r="R302" s="30" t="str">
        <f aca="false">IF($E302="","",N302+O302+P302+Q302)</f>
        <v/>
      </c>
      <c r="S302" s="30" t="str">
        <f aca="false">IF($E302="","",(N302+P302)*Precificação!$B$19)</f>
        <v/>
      </c>
      <c r="T302" s="30" t="str">
        <f aca="false">IF($E302="","",(O302+Q302)*Precificação!$B$20)</f>
        <v/>
      </c>
      <c r="U302" s="68" t="str">
        <f aca="false">IF($E302="","",IF($E302=INT($E302),0.01,IF($E302*2=INT($E302*2),0.02,0.05)))</f>
        <v/>
      </c>
      <c r="V302" s="30" t="str">
        <f aca="false">IF($E302="","",ROUND(S302/$E302/U302,0)*U302)</f>
        <v/>
      </c>
      <c r="W302" s="30" t="str">
        <f aca="false">IF($E302="","",ROUND(T302/$E302/U302,0)*U302)</f>
        <v/>
      </c>
      <c r="X302" s="14" t="str">
        <f aca="false">IF(NOT(ISNUMBER(E302)),"",IF(NOT(ISNUMBER(E303)),ROW(),X303))</f>
        <v/>
      </c>
    </row>
    <row r="303" customFormat="false" ht="15" hidden="false" customHeight="false" outlineLevel="0" collapsed="false">
      <c r="F303" s="66" t="str">
        <f aca="false">IF($E303="","",V303)</f>
        <v/>
      </c>
      <c r="G303" s="66" t="str">
        <f aca="false">IF($E303="","",ROUND(W303+IF($B303=Precificação!$B$26,$F$3/$E303,0),2))</f>
        <v/>
      </c>
      <c r="H303" s="30" t="str">
        <f aca="false">IF($E303="","",F303+G303)</f>
        <v/>
      </c>
      <c r="I303" s="30" t="str">
        <f aca="false">IF($E303="","",$E303*F303)</f>
        <v/>
      </c>
      <c r="J303" s="30" t="str">
        <f aca="false">IF($E303="","",$E303*G303)</f>
        <v/>
      </c>
      <c r="K303" s="30" t="str">
        <f aca="false">IF($E303="","",I303+J303)</f>
        <v/>
      </c>
      <c r="L303" s="53" t="str">
        <f aca="false">IF($E303="","",IF(R303=0,"SEM CUSTO — falta linha de custo","OK"))</f>
        <v/>
      </c>
      <c r="M303" s="67" t="str">
        <f aca="false">IF(AND(ISNUMBER(E303),NOT(ISNUMBER(E302))),"F"&amp;ROW()&amp;":G"&amp;X303,"")</f>
        <v/>
      </c>
      <c r="N303" s="30" t="str">
        <f aca="false">IF($E303="","",SUMIFS('Rateio Anexo'!$K$6:$K$600,'Rateio Anexo'!$D$6:$D$600,$B303,'Rateio Anexo'!$B$6:$B$600,"MAT"))</f>
        <v/>
      </c>
      <c r="O303" s="30" t="str">
        <f aca="false">IF($E303="","",SUMIFS('Rateio Anexo'!$K$6:$K$600,'Rateio Anexo'!$D$6:$D$600,$B303,'Rateio Anexo'!$B$6:$B$600,"MO"))</f>
        <v/>
      </c>
      <c r="P303" s="30" t="str">
        <f aca="false">IF($E303="","",IF($N$3=0,0,N303/$N$3*$R$4))</f>
        <v/>
      </c>
      <c r="Q303" s="30" t="str">
        <f aca="false">IF($E303="","",IF($O$3=0,0,O303/$O$3*$T$4))</f>
        <v/>
      </c>
      <c r="R303" s="30" t="str">
        <f aca="false">IF($E303="","",N303+O303+P303+Q303)</f>
        <v/>
      </c>
      <c r="S303" s="30" t="str">
        <f aca="false">IF($E303="","",(N303+P303)*Precificação!$B$19)</f>
        <v/>
      </c>
      <c r="T303" s="30" t="str">
        <f aca="false">IF($E303="","",(O303+Q303)*Precificação!$B$20)</f>
        <v/>
      </c>
      <c r="U303" s="68" t="str">
        <f aca="false">IF($E303="","",IF($E303=INT($E303),0.01,IF($E303*2=INT($E303*2),0.02,0.05)))</f>
        <v/>
      </c>
      <c r="V303" s="30" t="str">
        <f aca="false">IF($E303="","",ROUND(S303/$E303/U303,0)*U303)</f>
        <v/>
      </c>
      <c r="W303" s="30" t="str">
        <f aca="false">IF($E303="","",ROUND(T303/$E303/U303,0)*U303)</f>
        <v/>
      </c>
      <c r="X303" s="14" t="str">
        <f aca="false">IF(NOT(ISNUMBER(E303)),"",IF(NOT(ISNUMBER(E304)),ROW(),X304))</f>
        <v/>
      </c>
    </row>
    <row r="304" customFormat="false" ht="15" hidden="false" customHeight="false" outlineLevel="0" collapsed="false">
      <c r="F304" s="66" t="str">
        <f aca="false">IF($E304="","",V304)</f>
        <v/>
      </c>
      <c r="G304" s="66" t="str">
        <f aca="false">IF($E304="","",ROUND(W304+IF($B304=Precificação!$B$26,$F$3/$E304,0),2))</f>
        <v/>
      </c>
      <c r="H304" s="30" t="str">
        <f aca="false">IF($E304="","",F304+G304)</f>
        <v/>
      </c>
      <c r="I304" s="30" t="str">
        <f aca="false">IF($E304="","",$E304*F304)</f>
        <v/>
      </c>
      <c r="J304" s="30" t="str">
        <f aca="false">IF($E304="","",$E304*G304)</f>
        <v/>
      </c>
      <c r="K304" s="30" t="str">
        <f aca="false">IF($E304="","",I304+J304)</f>
        <v/>
      </c>
      <c r="L304" s="53" t="str">
        <f aca="false">IF($E304="","",IF(R304=0,"SEM CUSTO — falta linha de custo","OK"))</f>
        <v/>
      </c>
      <c r="M304" s="67" t="str">
        <f aca="false">IF(AND(ISNUMBER(E304),NOT(ISNUMBER(E303))),"F"&amp;ROW()&amp;":G"&amp;X304,"")</f>
        <v/>
      </c>
      <c r="N304" s="30" t="str">
        <f aca="false">IF($E304="","",SUMIFS('Rateio Anexo'!$K$6:$K$600,'Rateio Anexo'!$D$6:$D$600,$B304,'Rateio Anexo'!$B$6:$B$600,"MAT"))</f>
        <v/>
      </c>
      <c r="O304" s="30" t="str">
        <f aca="false">IF($E304="","",SUMIFS('Rateio Anexo'!$K$6:$K$600,'Rateio Anexo'!$D$6:$D$600,$B304,'Rateio Anexo'!$B$6:$B$600,"MO"))</f>
        <v/>
      </c>
      <c r="P304" s="30" t="str">
        <f aca="false">IF($E304="","",IF($N$3=0,0,N304/$N$3*$R$4))</f>
        <v/>
      </c>
      <c r="Q304" s="30" t="str">
        <f aca="false">IF($E304="","",IF($O$3=0,0,O304/$O$3*$T$4))</f>
        <v/>
      </c>
      <c r="R304" s="30" t="str">
        <f aca="false">IF($E304="","",N304+O304+P304+Q304)</f>
        <v/>
      </c>
      <c r="S304" s="30" t="str">
        <f aca="false">IF($E304="","",(N304+P304)*Precificação!$B$19)</f>
        <v/>
      </c>
      <c r="T304" s="30" t="str">
        <f aca="false">IF($E304="","",(O304+Q304)*Precificação!$B$20)</f>
        <v/>
      </c>
      <c r="U304" s="68" t="str">
        <f aca="false">IF($E304="","",IF($E304=INT($E304),0.01,IF($E304*2=INT($E304*2),0.02,0.05)))</f>
        <v/>
      </c>
      <c r="V304" s="30" t="str">
        <f aca="false">IF($E304="","",ROUND(S304/$E304/U304,0)*U304)</f>
        <v/>
      </c>
      <c r="W304" s="30" t="str">
        <f aca="false">IF($E304="","",ROUND(T304/$E304/U304,0)*U304)</f>
        <v/>
      </c>
      <c r="X304" s="14" t="str">
        <f aca="false">IF(NOT(ISNUMBER(E304)),"",IF(NOT(ISNUMBER(E305)),ROW(),X305))</f>
        <v/>
      </c>
    </row>
    <row r="305" customFormat="false" ht="15" hidden="false" customHeight="false" outlineLevel="0" collapsed="false">
      <c r="F305" s="66" t="str">
        <f aca="false">IF($E305="","",V305)</f>
        <v/>
      </c>
      <c r="G305" s="66" t="str">
        <f aca="false">IF($E305="","",ROUND(W305+IF($B305=Precificação!$B$26,$F$3/$E305,0),2))</f>
        <v/>
      </c>
      <c r="H305" s="30" t="str">
        <f aca="false">IF($E305="","",F305+G305)</f>
        <v/>
      </c>
      <c r="I305" s="30" t="str">
        <f aca="false">IF($E305="","",$E305*F305)</f>
        <v/>
      </c>
      <c r="J305" s="30" t="str">
        <f aca="false">IF($E305="","",$E305*G305)</f>
        <v/>
      </c>
      <c r="K305" s="30" t="str">
        <f aca="false">IF($E305="","",I305+J305)</f>
        <v/>
      </c>
      <c r="L305" s="53" t="str">
        <f aca="false">IF($E305="","",IF(R305=0,"SEM CUSTO — falta linha de custo","OK"))</f>
        <v/>
      </c>
      <c r="M305" s="67" t="str">
        <f aca="false">IF(AND(ISNUMBER(E305),NOT(ISNUMBER(E304))),"F"&amp;ROW()&amp;":G"&amp;X305,"")</f>
        <v/>
      </c>
      <c r="N305" s="30" t="str">
        <f aca="false">IF($E305="","",SUMIFS('Rateio Anexo'!$K$6:$K$600,'Rateio Anexo'!$D$6:$D$600,$B305,'Rateio Anexo'!$B$6:$B$600,"MAT"))</f>
        <v/>
      </c>
      <c r="O305" s="30" t="str">
        <f aca="false">IF($E305="","",SUMIFS('Rateio Anexo'!$K$6:$K$600,'Rateio Anexo'!$D$6:$D$600,$B305,'Rateio Anexo'!$B$6:$B$600,"MO"))</f>
        <v/>
      </c>
      <c r="P305" s="30" t="str">
        <f aca="false">IF($E305="","",IF($N$3=0,0,N305/$N$3*$R$4))</f>
        <v/>
      </c>
      <c r="Q305" s="30" t="str">
        <f aca="false">IF($E305="","",IF($O$3=0,0,O305/$O$3*$T$4))</f>
        <v/>
      </c>
      <c r="R305" s="30" t="str">
        <f aca="false">IF($E305="","",N305+O305+P305+Q305)</f>
        <v/>
      </c>
      <c r="S305" s="30" t="str">
        <f aca="false">IF($E305="","",(N305+P305)*Precificação!$B$19)</f>
        <v/>
      </c>
      <c r="T305" s="30" t="str">
        <f aca="false">IF($E305="","",(O305+Q305)*Precificação!$B$20)</f>
        <v/>
      </c>
      <c r="U305" s="68" t="str">
        <f aca="false">IF($E305="","",IF($E305=INT($E305),0.01,IF($E305*2=INT($E305*2),0.02,0.05)))</f>
        <v/>
      </c>
      <c r="V305" s="30" t="str">
        <f aca="false">IF($E305="","",ROUND(S305/$E305/U305,0)*U305)</f>
        <v/>
      </c>
      <c r="W305" s="30" t="str">
        <f aca="false">IF($E305="","",ROUND(T305/$E305/U305,0)*U305)</f>
        <v/>
      </c>
      <c r="X305" s="14" t="str">
        <f aca="false">IF(NOT(ISNUMBER(E305)),"",IF(NOT(ISNUMBER(E306)),ROW(),X306))</f>
        <v/>
      </c>
    </row>
    <row r="306" customFormat="false" ht="15" hidden="false" customHeight="false" outlineLevel="0" collapsed="false">
      <c r="F306" s="66" t="str">
        <f aca="false">IF($E306="","",V306)</f>
        <v/>
      </c>
      <c r="G306" s="66" t="str">
        <f aca="false">IF($E306="","",ROUND(W306+IF($B306=Precificação!$B$26,$F$3/$E306,0),2))</f>
        <v/>
      </c>
      <c r="H306" s="30" t="str">
        <f aca="false">IF($E306="","",F306+G306)</f>
        <v/>
      </c>
      <c r="I306" s="30" t="str">
        <f aca="false">IF($E306="","",$E306*F306)</f>
        <v/>
      </c>
      <c r="J306" s="30" t="str">
        <f aca="false">IF($E306="","",$E306*G306)</f>
        <v/>
      </c>
      <c r="K306" s="30" t="str">
        <f aca="false">IF($E306="","",I306+J306)</f>
        <v/>
      </c>
      <c r="L306" s="53" t="str">
        <f aca="false">IF($E306="","",IF(R306=0,"SEM CUSTO — falta linha de custo","OK"))</f>
        <v/>
      </c>
      <c r="M306" s="67" t="str">
        <f aca="false">IF(AND(ISNUMBER(E306),NOT(ISNUMBER(E305))),"F"&amp;ROW()&amp;":G"&amp;X306,"")</f>
        <v/>
      </c>
      <c r="N306" s="30" t="str">
        <f aca="false">IF($E306="","",SUMIFS('Rateio Anexo'!$K$6:$K$600,'Rateio Anexo'!$D$6:$D$600,$B306,'Rateio Anexo'!$B$6:$B$600,"MAT"))</f>
        <v/>
      </c>
      <c r="O306" s="30" t="str">
        <f aca="false">IF($E306="","",SUMIFS('Rateio Anexo'!$K$6:$K$600,'Rateio Anexo'!$D$6:$D$600,$B306,'Rateio Anexo'!$B$6:$B$600,"MO"))</f>
        <v/>
      </c>
      <c r="P306" s="30" t="str">
        <f aca="false">IF($E306="","",IF($N$3=0,0,N306/$N$3*$R$4))</f>
        <v/>
      </c>
      <c r="Q306" s="30" t="str">
        <f aca="false">IF($E306="","",IF($O$3=0,0,O306/$O$3*$T$4))</f>
        <v/>
      </c>
      <c r="R306" s="30" t="str">
        <f aca="false">IF($E306="","",N306+O306+P306+Q306)</f>
        <v/>
      </c>
      <c r="S306" s="30" t="str">
        <f aca="false">IF($E306="","",(N306+P306)*Precificação!$B$19)</f>
        <v/>
      </c>
      <c r="T306" s="30" t="str">
        <f aca="false">IF($E306="","",(O306+Q306)*Precificação!$B$20)</f>
        <v/>
      </c>
      <c r="U306" s="68" t="str">
        <f aca="false">IF($E306="","",IF($E306=INT($E306),0.01,IF($E306*2=INT($E306*2),0.02,0.05)))</f>
        <v/>
      </c>
      <c r="V306" s="30" t="str">
        <f aca="false">IF($E306="","",ROUND(S306/$E306/U306,0)*U306)</f>
        <v/>
      </c>
      <c r="W306" s="30" t="str">
        <f aca="false">IF($E306="","",ROUND(T306/$E306/U306,0)*U306)</f>
        <v/>
      </c>
      <c r="X306" s="14" t="str">
        <f aca="false">IF(NOT(ISNUMBER(E306)),"",IF(NOT(ISNUMBER(E307)),ROW(),X307))</f>
        <v/>
      </c>
    </row>
    <row r="307" customFormat="false" ht="15" hidden="false" customHeight="false" outlineLevel="0" collapsed="false">
      <c r="F307" s="66" t="str">
        <f aca="false">IF($E307="","",V307)</f>
        <v/>
      </c>
      <c r="G307" s="66" t="str">
        <f aca="false">IF($E307="","",ROUND(W307+IF($B307=Precificação!$B$26,$F$3/$E307,0),2))</f>
        <v/>
      </c>
      <c r="H307" s="30" t="str">
        <f aca="false">IF($E307="","",F307+G307)</f>
        <v/>
      </c>
      <c r="I307" s="30" t="str">
        <f aca="false">IF($E307="","",$E307*F307)</f>
        <v/>
      </c>
      <c r="J307" s="30" t="str">
        <f aca="false">IF($E307="","",$E307*G307)</f>
        <v/>
      </c>
      <c r="K307" s="30" t="str">
        <f aca="false">IF($E307="","",I307+J307)</f>
        <v/>
      </c>
      <c r="L307" s="53" t="str">
        <f aca="false">IF($E307="","",IF(R307=0,"SEM CUSTO — falta linha de custo","OK"))</f>
        <v/>
      </c>
      <c r="M307" s="67" t="str">
        <f aca="false">IF(AND(ISNUMBER(E307),NOT(ISNUMBER(E306))),"F"&amp;ROW()&amp;":G"&amp;X307,"")</f>
        <v/>
      </c>
      <c r="N307" s="30" t="str">
        <f aca="false">IF($E307="","",SUMIFS('Rateio Anexo'!$K$6:$K$600,'Rateio Anexo'!$D$6:$D$600,$B307,'Rateio Anexo'!$B$6:$B$600,"MAT"))</f>
        <v/>
      </c>
      <c r="O307" s="30" t="str">
        <f aca="false">IF($E307="","",SUMIFS('Rateio Anexo'!$K$6:$K$600,'Rateio Anexo'!$D$6:$D$600,$B307,'Rateio Anexo'!$B$6:$B$600,"MO"))</f>
        <v/>
      </c>
      <c r="P307" s="30" t="str">
        <f aca="false">IF($E307="","",IF($N$3=0,0,N307/$N$3*$R$4))</f>
        <v/>
      </c>
      <c r="Q307" s="30" t="str">
        <f aca="false">IF($E307="","",IF($O$3=0,0,O307/$O$3*$T$4))</f>
        <v/>
      </c>
      <c r="R307" s="30" t="str">
        <f aca="false">IF($E307="","",N307+O307+P307+Q307)</f>
        <v/>
      </c>
      <c r="S307" s="30" t="str">
        <f aca="false">IF($E307="","",(N307+P307)*Precificação!$B$19)</f>
        <v/>
      </c>
      <c r="T307" s="30" t="str">
        <f aca="false">IF($E307="","",(O307+Q307)*Precificação!$B$20)</f>
        <v/>
      </c>
      <c r="U307" s="68" t="str">
        <f aca="false">IF($E307="","",IF($E307=INT($E307),0.01,IF($E307*2=INT($E307*2),0.02,0.05)))</f>
        <v/>
      </c>
      <c r="V307" s="30" t="str">
        <f aca="false">IF($E307="","",ROUND(S307/$E307/U307,0)*U307)</f>
        <v/>
      </c>
      <c r="W307" s="30" t="str">
        <f aca="false">IF($E307="","",ROUND(T307/$E307/U307,0)*U307)</f>
        <v/>
      </c>
      <c r="X307" s="14" t="str">
        <f aca="false">IF(NOT(ISNUMBER(E307)),"",IF(NOT(ISNUMBER(E308)),ROW(),X308))</f>
        <v/>
      </c>
    </row>
    <row r="308" customFormat="false" ht="15" hidden="false" customHeight="false" outlineLevel="0" collapsed="false">
      <c r="F308" s="66" t="str">
        <f aca="false">IF($E308="","",V308)</f>
        <v/>
      </c>
      <c r="G308" s="66" t="str">
        <f aca="false">IF($E308="","",ROUND(W308+IF($B308=Precificação!$B$26,$F$3/$E308,0),2))</f>
        <v/>
      </c>
      <c r="H308" s="30" t="str">
        <f aca="false">IF($E308="","",F308+G308)</f>
        <v/>
      </c>
      <c r="I308" s="30" t="str">
        <f aca="false">IF($E308="","",$E308*F308)</f>
        <v/>
      </c>
      <c r="J308" s="30" t="str">
        <f aca="false">IF($E308="","",$E308*G308)</f>
        <v/>
      </c>
      <c r="K308" s="30" t="str">
        <f aca="false">IF($E308="","",I308+J308)</f>
        <v/>
      </c>
      <c r="L308" s="53" t="str">
        <f aca="false">IF($E308="","",IF(R308=0,"SEM CUSTO — falta linha de custo","OK"))</f>
        <v/>
      </c>
      <c r="M308" s="67" t="str">
        <f aca="false">IF(AND(ISNUMBER(E308),NOT(ISNUMBER(E307))),"F"&amp;ROW()&amp;":G"&amp;X308,"")</f>
        <v/>
      </c>
      <c r="N308" s="30" t="str">
        <f aca="false">IF($E308="","",SUMIFS('Rateio Anexo'!$K$6:$K$600,'Rateio Anexo'!$D$6:$D$600,$B308,'Rateio Anexo'!$B$6:$B$600,"MAT"))</f>
        <v/>
      </c>
      <c r="O308" s="30" t="str">
        <f aca="false">IF($E308="","",SUMIFS('Rateio Anexo'!$K$6:$K$600,'Rateio Anexo'!$D$6:$D$600,$B308,'Rateio Anexo'!$B$6:$B$600,"MO"))</f>
        <v/>
      </c>
      <c r="P308" s="30" t="str">
        <f aca="false">IF($E308="","",IF($N$3=0,0,N308/$N$3*$R$4))</f>
        <v/>
      </c>
      <c r="Q308" s="30" t="str">
        <f aca="false">IF($E308="","",IF($O$3=0,0,O308/$O$3*$T$4))</f>
        <v/>
      </c>
      <c r="R308" s="30" t="str">
        <f aca="false">IF($E308="","",N308+O308+P308+Q308)</f>
        <v/>
      </c>
      <c r="S308" s="30" t="str">
        <f aca="false">IF($E308="","",(N308+P308)*Precificação!$B$19)</f>
        <v/>
      </c>
      <c r="T308" s="30" t="str">
        <f aca="false">IF($E308="","",(O308+Q308)*Precificação!$B$20)</f>
        <v/>
      </c>
      <c r="U308" s="68" t="str">
        <f aca="false">IF($E308="","",IF($E308=INT($E308),0.01,IF($E308*2=INT($E308*2),0.02,0.05)))</f>
        <v/>
      </c>
      <c r="V308" s="30" t="str">
        <f aca="false">IF($E308="","",ROUND(S308/$E308/U308,0)*U308)</f>
        <v/>
      </c>
      <c r="W308" s="30" t="str">
        <f aca="false">IF($E308="","",ROUND(T308/$E308/U308,0)*U308)</f>
        <v/>
      </c>
      <c r="X308" s="14" t="str">
        <f aca="false">IF(NOT(ISNUMBER(E308)),"",IF(NOT(ISNUMBER(E309)),ROW(),X309))</f>
        <v/>
      </c>
    </row>
    <row r="309" customFormat="false" ht="15" hidden="false" customHeight="false" outlineLevel="0" collapsed="false">
      <c r="F309" s="66" t="str">
        <f aca="false">IF($E309="","",V309)</f>
        <v/>
      </c>
      <c r="G309" s="66" t="str">
        <f aca="false">IF($E309="","",ROUND(W309+IF($B309=Precificação!$B$26,$F$3/$E309,0),2))</f>
        <v/>
      </c>
      <c r="H309" s="30" t="str">
        <f aca="false">IF($E309="","",F309+G309)</f>
        <v/>
      </c>
      <c r="I309" s="30" t="str">
        <f aca="false">IF($E309="","",$E309*F309)</f>
        <v/>
      </c>
      <c r="J309" s="30" t="str">
        <f aca="false">IF($E309="","",$E309*G309)</f>
        <v/>
      </c>
      <c r="K309" s="30" t="str">
        <f aca="false">IF($E309="","",I309+J309)</f>
        <v/>
      </c>
      <c r="L309" s="53" t="str">
        <f aca="false">IF($E309="","",IF(R309=0,"SEM CUSTO — falta linha de custo","OK"))</f>
        <v/>
      </c>
      <c r="M309" s="67" t="str">
        <f aca="false">IF(AND(ISNUMBER(E309),NOT(ISNUMBER(E308))),"F"&amp;ROW()&amp;":G"&amp;X309,"")</f>
        <v/>
      </c>
      <c r="N309" s="30" t="str">
        <f aca="false">IF($E309="","",SUMIFS('Rateio Anexo'!$K$6:$K$600,'Rateio Anexo'!$D$6:$D$600,$B309,'Rateio Anexo'!$B$6:$B$600,"MAT"))</f>
        <v/>
      </c>
      <c r="O309" s="30" t="str">
        <f aca="false">IF($E309="","",SUMIFS('Rateio Anexo'!$K$6:$K$600,'Rateio Anexo'!$D$6:$D$600,$B309,'Rateio Anexo'!$B$6:$B$600,"MO"))</f>
        <v/>
      </c>
      <c r="P309" s="30" t="str">
        <f aca="false">IF($E309="","",IF($N$3=0,0,N309/$N$3*$R$4))</f>
        <v/>
      </c>
      <c r="Q309" s="30" t="str">
        <f aca="false">IF($E309="","",IF($O$3=0,0,O309/$O$3*$T$4))</f>
        <v/>
      </c>
      <c r="R309" s="30" t="str">
        <f aca="false">IF($E309="","",N309+O309+P309+Q309)</f>
        <v/>
      </c>
      <c r="S309" s="30" t="str">
        <f aca="false">IF($E309="","",(N309+P309)*Precificação!$B$19)</f>
        <v/>
      </c>
      <c r="T309" s="30" t="str">
        <f aca="false">IF($E309="","",(O309+Q309)*Precificação!$B$20)</f>
        <v/>
      </c>
      <c r="U309" s="68" t="str">
        <f aca="false">IF($E309="","",IF($E309=INT($E309),0.01,IF($E309*2=INT($E309*2),0.02,0.05)))</f>
        <v/>
      </c>
      <c r="V309" s="30" t="str">
        <f aca="false">IF($E309="","",ROUND(S309/$E309/U309,0)*U309)</f>
        <v/>
      </c>
      <c r="W309" s="30" t="str">
        <f aca="false">IF($E309="","",ROUND(T309/$E309/U309,0)*U309)</f>
        <v/>
      </c>
      <c r="X309" s="14" t="str">
        <f aca="false">IF(NOT(ISNUMBER(E309)),"",IF(NOT(ISNUMBER(E310)),ROW(),X310))</f>
        <v/>
      </c>
    </row>
    <row r="310" customFormat="false" ht="15" hidden="false" customHeight="false" outlineLevel="0" collapsed="false">
      <c r="F310" s="66" t="str">
        <f aca="false">IF($E310="","",V310)</f>
        <v/>
      </c>
      <c r="G310" s="66" t="str">
        <f aca="false">IF($E310="","",ROUND(W310+IF($B310=Precificação!$B$26,$F$3/$E310,0),2))</f>
        <v/>
      </c>
      <c r="H310" s="30" t="str">
        <f aca="false">IF($E310="","",F310+G310)</f>
        <v/>
      </c>
      <c r="I310" s="30" t="str">
        <f aca="false">IF($E310="","",$E310*F310)</f>
        <v/>
      </c>
      <c r="J310" s="30" t="str">
        <f aca="false">IF($E310="","",$E310*G310)</f>
        <v/>
      </c>
      <c r="K310" s="30" t="str">
        <f aca="false">IF($E310="","",I310+J310)</f>
        <v/>
      </c>
      <c r="L310" s="53" t="str">
        <f aca="false">IF($E310="","",IF(R310=0,"SEM CUSTO — falta linha de custo","OK"))</f>
        <v/>
      </c>
      <c r="M310" s="67" t="str">
        <f aca="false">IF(AND(ISNUMBER(E310),NOT(ISNUMBER(E309))),"F"&amp;ROW()&amp;":G"&amp;X310,"")</f>
        <v/>
      </c>
      <c r="N310" s="30" t="str">
        <f aca="false">IF($E310="","",SUMIFS('Rateio Anexo'!$K$6:$K$600,'Rateio Anexo'!$D$6:$D$600,$B310,'Rateio Anexo'!$B$6:$B$600,"MAT"))</f>
        <v/>
      </c>
      <c r="O310" s="30" t="str">
        <f aca="false">IF($E310="","",SUMIFS('Rateio Anexo'!$K$6:$K$600,'Rateio Anexo'!$D$6:$D$600,$B310,'Rateio Anexo'!$B$6:$B$600,"MO"))</f>
        <v/>
      </c>
      <c r="P310" s="30" t="str">
        <f aca="false">IF($E310="","",IF($N$3=0,0,N310/$N$3*$R$4))</f>
        <v/>
      </c>
      <c r="Q310" s="30" t="str">
        <f aca="false">IF($E310="","",IF($O$3=0,0,O310/$O$3*$T$4))</f>
        <v/>
      </c>
      <c r="R310" s="30" t="str">
        <f aca="false">IF($E310="","",N310+O310+P310+Q310)</f>
        <v/>
      </c>
      <c r="S310" s="30" t="str">
        <f aca="false">IF($E310="","",(N310+P310)*Precificação!$B$19)</f>
        <v/>
      </c>
      <c r="T310" s="30" t="str">
        <f aca="false">IF($E310="","",(O310+Q310)*Precificação!$B$20)</f>
        <v/>
      </c>
      <c r="U310" s="68" t="str">
        <f aca="false">IF($E310="","",IF($E310=INT($E310),0.01,IF($E310*2=INT($E310*2),0.02,0.05)))</f>
        <v/>
      </c>
      <c r="V310" s="30" t="str">
        <f aca="false">IF($E310="","",ROUND(S310/$E310/U310,0)*U310)</f>
        <v/>
      </c>
      <c r="W310" s="30" t="str">
        <f aca="false">IF($E310="","",ROUND(T310/$E310/U310,0)*U310)</f>
        <v/>
      </c>
      <c r="X310" s="14" t="str">
        <f aca="false">IF(NOT(ISNUMBER(E310)),"",IF(NOT(ISNUMBER(E311)),ROW(),X311))</f>
        <v/>
      </c>
    </row>
    <row r="311" customFormat="false" ht="15" hidden="false" customHeight="false" outlineLevel="0" collapsed="false">
      <c r="F311" s="66" t="str">
        <f aca="false">IF($E311="","",V311)</f>
        <v/>
      </c>
      <c r="G311" s="66" t="str">
        <f aca="false">IF($E311="","",ROUND(W311+IF($B311=Precificação!$B$26,$F$3/$E311,0),2))</f>
        <v/>
      </c>
      <c r="H311" s="30" t="str">
        <f aca="false">IF($E311="","",F311+G311)</f>
        <v/>
      </c>
      <c r="I311" s="30" t="str">
        <f aca="false">IF($E311="","",$E311*F311)</f>
        <v/>
      </c>
      <c r="J311" s="30" t="str">
        <f aca="false">IF($E311="","",$E311*G311)</f>
        <v/>
      </c>
      <c r="K311" s="30" t="str">
        <f aca="false">IF($E311="","",I311+J311)</f>
        <v/>
      </c>
      <c r="L311" s="53" t="str">
        <f aca="false">IF($E311="","",IF(R311=0,"SEM CUSTO — falta linha de custo","OK"))</f>
        <v/>
      </c>
      <c r="M311" s="67" t="str">
        <f aca="false">IF(AND(ISNUMBER(E311),NOT(ISNUMBER(E310))),"F"&amp;ROW()&amp;":G"&amp;X311,"")</f>
        <v/>
      </c>
      <c r="N311" s="30" t="str">
        <f aca="false">IF($E311="","",SUMIFS('Rateio Anexo'!$K$6:$K$600,'Rateio Anexo'!$D$6:$D$600,$B311,'Rateio Anexo'!$B$6:$B$600,"MAT"))</f>
        <v/>
      </c>
      <c r="O311" s="30" t="str">
        <f aca="false">IF($E311="","",SUMIFS('Rateio Anexo'!$K$6:$K$600,'Rateio Anexo'!$D$6:$D$600,$B311,'Rateio Anexo'!$B$6:$B$600,"MO"))</f>
        <v/>
      </c>
      <c r="P311" s="30" t="str">
        <f aca="false">IF($E311="","",IF($N$3=0,0,N311/$N$3*$R$4))</f>
        <v/>
      </c>
      <c r="Q311" s="30" t="str">
        <f aca="false">IF($E311="","",IF($O$3=0,0,O311/$O$3*$T$4))</f>
        <v/>
      </c>
      <c r="R311" s="30" t="str">
        <f aca="false">IF($E311="","",N311+O311+P311+Q311)</f>
        <v/>
      </c>
      <c r="S311" s="30" t="str">
        <f aca="false">IF($E311="","",(N311+P311)*Precificação!$B$19)</f>
        <v/>
      </c>
      <c r="T311" s="30" t="str">
        <f aca="false">IF($E311="","",(O311+Q311)*Precificação!$B$20)</f>
        <v/>
      </c>
      <c r="U311" s="68" t="str">
        <f aca="false">IF($E311="","",IF($E311=INT($E311),0.01,IF($E311*2=INT($E311*2),0.02,0.05)))</f>
        <v/>
      </c>
      <c r="V311" s="30" t="str">
        <f aca="false">IF($E311="","",ROUND(S311/$E311/U311,0)*U311)</f>
        <v/>
      </c>
      <c r="W311" s="30" t="str">
        <f aca="false">IF($E311="","",ROUND(T311/$E311/U311,0)*U311)</f>
        <v/>
      </c>
      <c r="X311" s="14" t="str">
        <f aca="false">IF(NOT(ISNUMBER(E311)),"",IF(NOT(ISNUMBER(E312)),ROW(),X312))</f>
        <v/>
      </c>
    </row>
    <row r="312" customFormat="false" ht="15" hidden="false" customHeight="false" outlineLevel="0" collapsed="false">
      <c r="F312" s="66" t="str">
        <f aca="false">IF($E312="","",V312)</f>
        <v/>
      </c>
      <c r="G312" s="66" t="str">
        <f aca="false">IF($E312="","",ROUND(W312+IF($B312=Precificação!$B$26,$F$3/$E312,0),2))</f>
        <v/>
      </c>
      <c r="H312" s="30" t="str">
        <f aca="false">IF($E312="","",F312+G312)</f>
        <v/>
      </c>
      <c r="I312" s="30" t="str">
        <f aca="false">IF($E312="","",$E312*F312)</f>
        <v/>
      </c>
      <c r="J312" s="30" t="str">
        <f aca="false">IF($E312="","",$E312*G312)</f>
        <v/>
      </c>
      <c r="K312" s="30" t="str">
        <f aca="false">IF($E312="","",I312+J312)</f>
        <v/>
      </c>
      <c r="L312" s="53" t="str">
        <f aca="false">IF($E312="","",IF(R312=0,"SEM CUSTO — falta linha de custo","OK"))</f>
        <v/>
      </c>
      <c r="M312" s="67" t="str">
        <f aca="false">IF(AND(ISNUMBER(E312),NOT(ISNUMBER(E311))),"F"&amp;ROW()&amp;":G"&amp;X312,"")</f>
        <v/>
      </c>
      <c r="N312" s="30" t="str">
        <f aca="false">IF($E312="","",SUMIFS('Rateio Anexo'!$K$6:$K$600,'Rateio Anexo'!$D$6:$D$600,$B312,'Rateio Anexo'!$B$6:$B$600,"MAT"))</f>
        <v/>
      </c>
      <c r="O312" s="30" t="str">
        <f aca="false">IF($E312="","",SUMIFS('Rateio Anexo'!$K$6:$K$600,'Rateio Anexo'!$D$6:$D$600,$B312,'Rateio Anexo'!$B$6:$B$600,"MO"))</f>
        <v/>
      </c>
      <c r="P312" s="30" t="str">
        <f aca="false">IF($E312="","",IF($N$3=0,0,N312/$N$3*$R$4))</f>
        <v/>
      </c>
      <c r="Q312" s="30" t="str">
        <f aca="false">IF($E312="","",IF($O$3=0,0,O312/$O$3*$T$4))</f>
        <v/>
      </c>
      <c r="R312" s="30" t="str">
        <f aca="false">IF($E312="","",N312+O312+P312+Q312)</f>
        <v/>
      </c>
      <c r="S312" s="30" t="str">
        <f aca="false">IF($E312="","",(N312+P312)*Precificação!$B$19)</f>
        <v/>
      </c>
      <c r="T312" s="30" t="str">
        <f aca="false">IF($E312="","",(O312+Q312)*Precificação!$B$20)</f>
        <v/>
      </c>
      <c r="U312" s="68" t="str">
        <f aca="false">IF($E312="","",IF($E312=INT($E312),0.01,IF($E312*2=INT($E312*2),0.02,0.05)))</f>
        <v/>
      </c>
      <c r="V312" s="30" t="str">
        <f aca="false">IF($E312="","",ROUND(S312/$E312/U312,0)*U312)</f>
        <v/>
      </c>
      <c r="W312" s="30" t="str">
        <f aca="false">IF($E312="","",ROUND(T312/$E312/U312,0)*U312)</f>
        <v/>
      </c>
      <c r="X312" s="14" t="str">
        <f aca="false">IF(NOT(ISNUMBER(E312)),"",IF(NOT(ISNUMBER(E313)),ROW(),X313))</f>
        <v/>
      </c>
    </row>
    <row r="313" customFormat="false" ht="15" hidden="false" customHeight="false" outlineLevel="0" collapsed="false">
      <c r="F313" s="66" t="str">
        <f aca="false">IF($E313="","",V313)</f>
        <v/>
      </c>
      <c r="G313" s="66" t="str">
        <f aca="false">IF($E313="","",ROUND(W313+IF($B313=Precificação!$B$26,$F$3/$E313,0),2))</f>
        <v/>
      </c>
      <c r="H313" s="30" t="str">
        <f aca="false">IF($E313="","",F313+G313)</f>
        <v/>
      </c>
      <c r="I313" s="30" t="str">
        <f aca="false">IF($E313="","",$E313*F313)</f>
        <v/>
      </c>
      <c r="J313" s="30" t="str">
        <f aca="false">IF($E313="","",$E313*G313)</f>
        <v/>
      </c>
      <c r="K313" s="30" t="str">
        <f aca="false">IF($E313="","",I313+J313)</f>
        <v/>
      </c>
      <c r="L313" s="53" t="str">
        <f aca="false">IF($E313="","",IF(R313=0,"SEM CUSTO — falta linha de custo","OK"))</f>
        <v/>
      </c>
      <c r="M313" s="67" t="str">
        <f aca="false">IF(AND(ISNUMBER(E313),NOT(ISNUMBER(E312))),"F"&amp;ROW()&amp;":G"&amp;X313,"")</f>
        <v/>
      </c>
      <c r="N313" s="30" t="str">
        <f aca="false">IF($E313="","",SUMIFS('Rateio Anexo'!$K$6:$K$600,'Rateio Anexo'!$D$6:$D$600,$B313,'Rateio Anexo'!$B$6:$B$600,"MAT"))</f>
        <v/>
      </c>
      <c r="O313" s="30" t="str">
        <f aca="false">IF($E313="","",SUMIFS('Rateio Anexo'!$K$6:$K$600,'Rateio Anexo'!$D$6:$D$600,$B313,'Rateio Anexo'!$B$6:$B$600,"MO"))</f>
        <v/>
      </c>
      <c r="P313" s="30" t="str">
        <f aca="false">IF($E313="","",IF($N$3=0,0,N313/$N$3*$R$4))</f>
        <v/>
      </c>
      <c r="Q313" s="30" t="str">
        <f aca="false">IF($E313="","",IF($O$3=0,0,O313/$O$3*$T$4))</f>
        <v/>
      </c>
      <c r="R313" s="30" t="str">
        <f aca="false">IF($E313="","",N313+O313+P313+Q313)</f>
        <v/>
      </c>
      <c r="S313" s="30" t="str">
        <f aca="false">IF($E313="","",(N313+P313)*Precificação!$B$19)</f>
        <v/>
      </c>
      <c r="T313" s="30" t="str">
        <f aca="false">IF($E313="","",(O313+Q313)*Precificação!$B$20)</f>
        <v/>
      </c>
      <c r="U313" s="68" t="str">
        <f aca="false">IF($E313="","",IF($E313=INT($E313),0.01,IF($E313*2=INT($E313*2),0.02,0.05)))</f>
        <v/>
      </c>
      <c r="V313" s="30" t="str">
        <f aca="false">IF($E313="","",ROUND(S313/$E313/U313,0)*U313)</f>
        <v/>
      </c>
      <c r="W313" s="30" t="str">
        <f aca="false">IF($E313="","",ROUND(T313/$E313/U313,0)*U313)</f>
        <v/>
      </c>
      <c r="X313" s="14" t="str">
        <f aca="false">IF(NOT(ISNUMBER(E313)),"",IF(NOT(ISNUMBER(E314)),ROW(),X314))</f>
        <v/>
      </c>
    </row>
    <row r="314" customFormat="false" ht="15" hidden="false" customHeight="false" outlineLevel="0" collapsed="false">
      <c r="F314" s="66" t="str">
        <f aca="false">IF($E314="","",V314)</f>
        <v/>
      </c>
      <c r="G314" s="66" t="str">
        <f aca="false">IF($E314="","",ROUND(W314+IF($B314=Precificação!$B$26,$F$3/$E314,0),2))</f>
        <v/>
      </c>
      <c r="H314" s="30" t="str">
        <f aca="false">IF($E314="","",F314+G314)</f>
        <v/>
      </c>
      <c r="I314" s="30" t="str">
        <f aca="false">IF($E314="","",$E314*F314)</f>
        <v/>
      </c>
      <c r="J314" s="30" t="str">
        <f aca="false">IF($E314="","",$E314*G314)</f>
        <v/>
      </c>
      <c r="K314" s="30" t="str">
        <f aca="false">IF($E314="","",I314+J314)</f>
        <v/>
      </c>
      <c r="L314" s="53" t="str">
        <f aca="false">IF($E314="","",IF(R314=0,"SEM CUSTO — falta linha de custo","OK"))</f>
        <v/>
      </c>
      <c r="M314" s="67" t="str">
        <f aca="false">IF(AND(ISNUMBER(E314),NOT(ISNUMBER(E313))),"F"&amp;ROW()&amp;":G"&amp;X314,"")</f>
        <v/>
      </c>
      <c r="N314" s="30" t="str">
        <f aca="false">IF($E314="","",SUMIFS('Rateio Anexo'!$K$6:$K$600,'Rateio Anexo'!$D$6:$D$600,$B314,'Rateio Anexo'!$B$6:$B$600,"MAT"))</f>
        <v/>
      </c>
      <c r="O314" s="30" t="str">
        <f aca="false">IF($E314="","",SUMIFS('Rateio Anexo'!$K$6:$K$600,'Rateio Anexo'!$D$6:$D$600,$B314,'Rateio Anexo'!$B$6:$B$600,"MO"))</f>
        <v/>
      </c>
      <c r="P314" s="30" t="str">
        <f aca="false">IF($E314="","",IF($N$3=0,0,N314/$N$3*$R$4))</f>
        <v/>
      </c>
      <c r="Q314" s="30" t="str">
        <f aca="false">IF($E314="","",IF($O$3=0,0,O314/$O$3*$T$4))</f>
        <v/>
      </c>
      <c r="R314" s="30" t="str">
        <f aca="false">IF($E314="","",N314+O314+P314+Q314)</f>
        <v/>
      </c>
      <c r="S314" s="30" t="str">
        <f aca="false">IF($E314="","",(N314+P314)*Precificação!$B$19)</f>
        <v/>
      </c>
      <c r="T314" s="30" t="str">
        <f aca="false">IF($E314="","",(O314+Q314)*Precificação!$B$20)</f>
        <v/>
      </c>
      <c r="U314" s="68" t="str">
        <f aca="false">IF($E314="","",IF($E314=INT($E314),0.01,IF($E314*2=INT($E314*2),0.02,0.05)))</f>
        <v/>
      </c>
      <c r="V314" s="30" t="str">
        <f aca="false">IF($E314="","",ROUND(S314/$E314/U314,0)*U314)</f>
        <v/>
      </c>
      <c r="W314" s="30" t="str">
        <f aca="false">IF($E314="","",ROUND(T314/$E314/U314,0)*U314)</f>
        <v/>
      </c>
      <c r="X314" s="14" t="str">
        <f aca="false">IF(NOT(ISNUMBER(E314)),"",IF(NOT(ISNUMBER(E315)),ROW(),X315))</f>
        <v/>
      </c>
    </row>
    <row r="315" customFormat="false" ht="15" hidden="false" customHeight="false" outlineLevel="0" collapsed="false">
      <c r="F315" s="66" t="str">
        <f aca="false">IF($E315="","",V315)</f>
        <v/>
      </c>
      <c r="G315" s="66" t="str">
        <f aca="false">IF($E315="","",ROUND(W315+IF($B315=Precificação!$B$26,$F$3/$E315,0),2))</f>
        <v/>
      </c>
      <c r="H315" s="30" t="str">
        <f aca="false">IF($E315="","",F315+G315)</f>
        <v/>
      </c>
      <c r="I315" s="30" t="str">
        <f aca="false">IF($E315="","",$E315*F315)</f>
        <v/>
      </c>
      <c r="J315" s="30" t="str">
        <f aca="false">IF($E315="","",$E315*G315)</f>
        <v/>
      </c>
      <c r="K315" s="30" t="str">
        <f aca="false">IF($E315="","",I315+J315)</f>
        <v/>
      </c>
      <c r="L315" s="53" t="str">
        <f aca="false">IF($E315="","",IF(R315=0,"SEM CUSTO — falta linha de custo","OK"))</f>
        <v/>
      </c>
      <c r="M315" s="67" t="str">
        <f aca="false">IF(AND(ISNUMBER(E315),NOT(ISNUMBER(E314))),"F"&amp;ROW()&amp;":G"&amp;X315,"")</f>
        <v/>
      </c>
      <c r="N315" s="30" t="str">
        <f aca="false">IF($E315="","",SUMIFS('Rateio Anexo'!$K$6:$K$600,'Rateio Anexo'!$D$6:$D$600,$B315,'Rateio Anexo'!$B$6:$B$600,"MAT"))</f>
        <v/>
      </c>
      <c r="O315" s="30" t="str">
        <f aca="false">IF($E315="","",SUMIFS('Rateio Anexo'!$K$6:$K$600,'Rateio Anexo'!$D$6:$D$600,$B315,'Rateio Anexo'!$B$6:$B$600,"MO"))</f>
        <v/>
      </c>
      <c r="P315" s="30" t="str">
        <f aca="false">IF($E315="","",IF($N$3=0,0,N315/$N$3*$R$4))</f>
        <v/>
      </c>
      <c r="Q315" s="30" t="str">
        <f aca="false">IF($E315="","",IF($O$3=0,0,O315/$O$3*$T$4))</f>
        <v/>
      </c>
      <c r="R315" s="30" t="str">
        <f aca="false">IF($E315="","",N315+O315+P315+Q315)</f>
        <v/>
      </c>
      <c r="S315" s="30" t="str">
        <f aca="false">IF($E315="","",(N315+P315)*Precificação!$B$19)</f>
        <v/>
      </c>
      <c r="T315" s="30" t="str">
        <f aca="false">IF($E315="","",(O315+Q315)*Precificação!$B$20)</f>
        <v/>
      </c>
      <c r="U315" s="68" t="str">
        <f aca="false">IF($E315="","",IF($E315=INT($E315),0.01,IF($E315*2=INT($E315*2),0.02,0.05)))</f>
        <v/>
      </c>
      <c r="V315" s="30" t="str">
        <f aca="false">IF($E315="","",ROUND(S315/$E315/U315,0)*U315)</f>
        <v/>
      </c>
      <c r="W315" s="30" t="str">
        <f aca="false">IF($E315="","",ROUND(T315/$E315/U315,0)*U315)</f>
        <v/>
      </c>
      <c r="X315" s="14" t="str">
        <f aca="false">IF(NOT(ISNUMBER(E315)),"",IF(NOT(ISNUMBER(E316)),ROW(),X316))</f>
        <v/>
      </c>
    </row>
    <row r="316" customFormat="false" ht="15" hidden="false" customHeight="false" outlineLevel="0" collapsed="false">
      <c r="F316" s="66" t="str">
        <f aca="false">IF($E316="","",V316)</f>
        <v/>
      </c>
      <c r="G316" s="66" t="str">
        <f aca="false">IF($E316="","",ROUND(W316+IF($B316=Precificação!$B$26,$F$3/$E316,0),2))</f>
        <v/>
      </c>
      <c r="H316" s="30" t="str">
        <f aca="false">IF($E316="","",F316+G316)</f>
        <v/>
      </c>
      <c r="I316" s="30" t="str">
        <f aca="false">IF($E316="","",$E316*F316)</f>
        <v/>
      </c>
      <c r="J316" s="30" t="str">
        <f aca="false">IF($E316="","",$E316*G316)</f>
        <v/>
      </c>
      <c r="K316" s="30" t="str">
        <f aca="false">IF($E316="","",I316+J316)</f>
        <v/>
      </c>
      <c r="L316" s="53" t="str">
        <f aca="false">IF($E316="","",IF(R316=0,"SEM CUSTO — falta linha de custo","OK"))</f>
        <v/>
      </c>
      <c r="M316" s="67" t="str">
        <f aca="false">IF(AND(ISNUMBER(E316),NOT(ISNUMBER(E315))),"F"&amp;ROW()&amp;":G"&amp;X316,"")</f>
        <v/>
      </c>
      <c r="N316" s="30" t="str">
        <f aca="false">IF($E316="","",SUMIFS('Rateio Anexo'!$K$6:$K$600,'Rateio Anexo'!$D$6:$D$600,$B316,'Rateio Anexo'!$B$6:$B$600,"MAT"))</f>
        <v/>
      </c>
      <c r="O316" s="30" t="str">
        <f aca="false">IF($E316="","",SUMIFS('Rateio Anexo'!$K$6:$K$600,'Rateio Anexo'!$D$6:$D$600,$B316,'Rateio Anexo'!$B$6:$B$600,"MO"))</f>
        <v/>
      </c>
      <c r="P316" s="30" t="str">
        <f aca="false">IF($E316="","",IF($N$3=0,0,N316/$N$3*$R$4))</f>
        <v/>
      </c>
      <c r="Q316" s="30" t="str">
        <f aca="false">IF($E316="","",IF($O$3=0,0,O316/$O$3*$T$4))</f>
        <v/>
      </c>
      <c r="R316" s="30" t="str">
        <f aca="false">IF($E316="","",N316+O316+P316+Q316)</f>
        <v/>
      </c>
      <c r="S316" s="30" t="str">
        <f aca="false">IF($E316="","",(N316+P316)*Precificação!$B$19)</f>
        <v/>
      </c>
      <c r="T316" s="30" t="str">
        <f aca="false">IF($E316="","",(O316+Q316)*Precificação!$B$20)</f>
        <v/>
      </c>
      <c r="U316" s="68" t="str">
        <f aca="false">IF($E316="","",IF($E316=INT($E316),0.01,IF($E316*2=INT($E316*2),0.02,0.05)))</f>
        <v/>
      </c>
      <c r="V316" s="30" t="str">
        <f aca="false">IF($E316="","",ROUND(S316/$E316/U316,0)*U316)</f>
        <v/>
      </c>
      <c r="W316" s="30" t="str">
        <f aca="false">IF($E316="","",ROUND(T316/$E316/U316,0)*U316)</f>
        <v/>
      </c>
      <c r="X316" s="14" t="str">
        <f aca="false">IF(NOT(ISNUMBER(E316)),"",IF(NOT(ISNUMBER(E317)),ROW(),X317))</f>
        <v/>
      </c>
    </row>
    <row r="317" customFormat="false" ht="15" hidden="false" customHeight="false" outlineLevel="0" collapsed="false">
      <c r="F317" s="66" t="str">
        <f aca="false">IF($E317="","",V317)</f>
        <v/>
      </c>
      <c r="G317" s="66" t="str">
        <f aca="false">IF($E317="","",ROUND(W317+IF($B317=Precificação!$B$26,$F$3/$E317,0),2))</f>
        <v/>
      </c>
      <c r="H317" s="30" t="str">
        <f aca="false">IF($E317="","",F317+G317)</f>
        <v/>
      </c>
      <c r="I317" s="30" t="str">
        <f aca="false">IF($E317="","",$E317*F317)</f>
        <v/>
      </c>
      <c r="J317" s="30" t="str">
        <f aca="false">IF($E317="","",$E317*G317)</f>
        <v/>
      </c>
      <c r="K317" s="30" t="str">
        <f aca="false">IF($E317="","",I317+J317)</f>
        <v/>
      </c>
      <c r="L317" s="53" t="str">
        <f aca="false">IF($E317="","",IF(R317=0,"SEM CUSTO — falta linha de custo","OK"))</f>
        <v/>
      </c>
      <c r="M317" s="67" t="str">
        <f aca="false">IF(AND(ISNUMBER(E317),NOT(ISNUMBER(E316))),"F"&amp;ROW()&amp;":G"&amp;X317,"")</f>
        <v/>
      </c>
      <c r="N317" s="30" t="str">
        <f aca="false">IF($E317="","",SUMIFS('Rateio Anexo'!$K$6:$K$600,'Rateio Anexo'!$D$6:$D$600,$B317,'Rateio Anexo'!$B$6:$B$600,"MAT"))</f>
        <v/>
      </c>
      <c r="O317" s="30" t="str">
        <f aca="false">IF($E317="","",SUMIFS('Rateio Anexo'!$K$6:$K$600,'Rateio Anexo'!$D$6:$D$600,$B317,'Rateio Anexo'!$B$6:$B$600,"MO"))</f>
        <v/>
      </c>
      <c r="P317" s="30" t="str">
        <f aca="false">IF($E317="","",IF($N$3=0,0,N317/$N$3*$R$4))</f>
        <v/>
      </c>
      <c r="Q317" s="30" t="str">
        <f aca="false">IF($E317="","",IF($O$3=0,0,O317/$O$3*$T$4))</f>
        <v/>
      </c>
      <c r="R317" s="30" t="str">
        <f aca="false">IF($E317="","",N317+O317+P317+Q317)</f>
        <v/>
      </c>
      <c r="S317" s="30" t="str">
        <f aca="false">IF($E317="","",(N317+P317)*Precificação!$B$19)</f>
        <v/>
      </c>
      <c r="T317" s="30" t="str">
        <f aca="false">IF($E317="","",(O317+Q317)*Precificação!$B$20)</f>
        <v/>
      </c>
      <c r="U317" s="68" t="str">
        <f aca="false">IF($E317="","",IF($E317=INT($E317),0.01,IF($E317*2=INT($E317*2),0.02,0.05)))</f>
        <v/>
      </c>
      <c r="V317" s="30" t="str">
        <f aca="false">IF($E317="","",ROUND(S317/$E317/U317,0)*U317)</f>
        <v/>
      </c>
      <c r="W317" s="30" t="str">
        <f aca="false">IF($E317="","",ROUND(T317/$E317/U317,0)*U317)</f>
        <v/>
      </c>
      <c r="X317" s="14" t="str">
        <f aca="false">IF(NOT(ISNUMBER(E317)),"",IF(NOT(ISNUMBER(E318)),ROW(),X318))</f>
        <v/>
      </c>
    </row>
    <row r="318" customFormat="false" ht="15" hidden="false" customHeight="false" outlineLevel="0" collapsed="false">
      <c r="F318" s="66" t="str">
        <f aca="false">IF($E318="","",V318)</f>
        <v/>
      </c>
      <c r="G318" s="66" t="str">
        <f aca="false">IF($E318="","",ROUND(W318+IF($B318=Precificação!$B$26,$F$3/$E318,0),2))</f>
        <v/>
      </c>
      <c r="H318" s="30" t="str">
        <f aca="false">IF($E318="","",F318+G318)</f>
        <v/>
      </c>
      <c r="I318" s="30" t="str">
        <f aca="false">IF($E318="","",$E318*F318)</f>
        <v/>
      </c>
      <c r="J318" s="30" t="str">
        <f aca="false">IF($E318="","",$E318*G318)</f>
        <v/>
      </c>
      <c r="K318" s="30" t="str">
        <f aca="false">IF($E318="","",I318+J318)</f>
        <v/>
      </c>
      <c r="L318" s="53" t="str">
        <f aca="false">IF($E318="","",IF(R318=0,"SEM CUSTO — falta linha de custo","OK"))</f>
        <v/>
      </c>
      <c r="M318" s="67" t="str">
        <f aca="false">IF(AND(ISNUMBER(E318),NOT(ISNUMBER(E317))),"F"&amp;ROW()&amp;":G"&amp;X318,"")</f>
        <v/>
      </c>
      <c r="N318" s="30" t="str">
        <f aca="false">IF($E318="","",SUMIFS('Rateio Anexo'!$K$6:$K$600,'Rateio Anexo'!$D$6:$D$600,$B318,'Rateio Anexo'!$B$6:$B$600,"MAT"))</f>
        <v/>
      </c>
      <c r="O318" s="30" t="str">
        <f aca="false">IF($E318="","",SUMIFS('Rateio Anexo'!$K$6:$K$600,'Rateio Anexo'!$D$6:$D$600,$B318,'Rateio Anexo'!$B$6:$B$600,"MO"))</f>
        <v/>
      </c>
      <c r="P318" s="30" t="str">
        <f aca="false">IF($E318="","",IF($N$3=0,0,N318/$N$3*$R$4))</f>
        <v/>
      </c>
      <c r="Q318" s="30" t="str">
        <f aca="false">IF($E318="","",IF($O$3=0,0,O318/$O$3*$T$4))</f>
        <v/>
      </c>
      <c r="R318" s="30" t="str">
        <f aca="false">IF($E318="","",N318+O318+P318+Q318)</f>
        <v/>
      </c>
      <c r="S318" s="30" t="str">
        <f aca="false">IF($E318="","",(N318+P318)*Precificação!$B$19)</f>
        <v/>
      </c>
      <c r="T318" s="30" t="str">
        <f aca="false">IF($E318="","",(O318+Q318)*Precificação!$B$20)</f>
        <v/>
      </c>
      <c r="U318" s="68" t="str">
        <f aca="false">IF($E318="","",IF($E318=INT($E318),0.01,IF($E318*2=INT($E318*2),0.02,0.05)))</f>
        <v/>
      </c>
      <c r="V318" s="30" t="str">
        <f aca="false">IF($E318="","",ROUND(S318/$E318/U318,0)*U318)</f>
        <v/>
      </c>
      <c r="W318" s="30" t="str">
        <f aca="false">IF($E318="","",ROUND(T318/$E318/U318,0)*U318)</f>
        <v/>
      </c>
      <c r="X318" s="14" t="str">
        <f aca="false">IF(NOT(ISNUMBER(E318)),"",IF(NOT(ISNUMBER(E319)),ROW(),X319))</f>
        <v/>
      </c>
    </row>
    <row r="319" customFormat="false" ht="15" hidden="false" customHeight="false" outlineLevel="0" collapsed="false">
      <c r="F319" s="66" t="str">
        <f aca="false">IF($E319="","",V319)</f>
        <v/>
      </c>
      <c r="G319" s="66" t="str">
        <f aca="false">IF($E319="","",ROUND(W319+IF($B319=Precificação!$B$26,$F$3/$E319,0),2))</f>
        <v/>
      </c>
      <c r="H319" s="30" t="str">
        <f aca="false">IF($E319="","",F319+G319)</f>
        <v/>
      </c>
      <c r="I319" s="30" t="str">
        <f aca="false">IF($E319="","",$E319*F319)</f>
        <v/>
      </c>
      <c r="J319" s="30" t="str">
        <f aca="false">IF($E319="","",$E319*G319)</f>
        <v/>
      </c>
      <c r="K319" s="30" t="str">
        <f aca="false">IF($E319="","",I319+J319)</f>
        <v/>
      </c>
      <c r="L319" s="53" t="str">
        <f aca="false">IF($E319="","",IF(R319=0,"SEM CUSTO — falta linha de custo","OK"))</f>
        <v/>
      </c>
      <c r="M319" s="67" t="str">
        <f aca="false">IF(AND(ISNUMBER(E319),NOT(ISNUMBER(E318))),"F"&amp;ROW()&amp;":G"&amp;X319,"")</f>
        <v/>
      </c>
      <c r="N319" s="30" t="str">
        <f aca="false">IF($E319="","",SUMIFS('Rateio Anexo'!$K$6:$K$600,'Rateio Anexo'!$D$6:$D$600,$B319,'Rateio Anexo'!$B$6:$B$600,"MAT"))</f>
        <v/>
      </c>
      <c r="O319" s="30" t="str">
        <f aca="false">IF($E319="","",SUMIFS('Rateio Anexo'!$K$6:$K$600,'Rateio Anexo'!$D$6:$D$600,$B319,'Rateio Anexo'!$B$6:$B$600,"MO"))</f>
        <v/>
      </c>
      <c r="P319" s="30" t="str">
        <f aca="false">IF($E319="","",IF($N$3=0,0,N319/$N$3*$R$4))</f>
        <v/>
      </c>
      <c r="Q319" s="30" t="str">
        <f aca="false">IF($E319="","",IF($O$3=0,0,O319/$O$3*$T$4))</f>
        <v/>
      </c>
      <c r="R319" s="30" t="str">
        <f aca="false">IF($E319="","",N319+O319+P319+Q319)</f>
        <v/>
      </c>
      <c r="S319" s="30" t="str">
        <f aca="false">IF($E319="","",(N319+P319)*Precificação!$B$19)</f>
        <v/>
      </c>
      <c r="T319" s="30" t="str">
        <f aca="false">IF($E319="","",(O319+Q319)*Precificação!$B$20)</f>
        <v/>
      </c>
      <c r="U319" s="68" t="str">
        <f aca="false">IF($E319="","",IF($E319=INT($E319),0.01,IF($E319*2=INT($E319*2),0.02,0.05)))</f>
        <v/>
      </c>
      <c r="V319" s="30" t="str">
        <f aca="false">IF($E319="","",ROUND(S319/$E319/U319,0)*U319)</f>
        <v/>
      </c>
      <c r="W319" s="30" t="str">
        <f aca="false">IF($E319="","",ROUND(T319/$E319/U319,0)*U319)</f>
        <v/>
      </c>
      <c r="X319" s="14" t="str">
        <f aca="false">IF(NOT(ISNUMBER(E319)),"",IF(NOT(ISNUMBER(E320)),ROW(),X320))</f>
        <v/>
      </c>
    </row>
    <row r="320" customFormat="false" ht="15" hidden="false" customHeight="false" outlineLevel="0" collapsed="false">
      <c r="F320" s="66" t="str">
        <f aca="false">IF($E320="","",V320)</f>
        <v/>
      </c>
      <c r="G320" s="66" t="str">
        <f aca="false">IF($E320="","",ROUND(W320+IF($B320=Precificação!$B$26,$F$3/$E320,0),2))</f>
        <v/>
      </c>
      <c r="H320" s="30" t="str">
        <f aca="false">IF($E320="","",F320+G320)</f>
        <v/>
      </c>
      <c r="I320" s="30" t="str">
        <f aca="false">IF($E320="","",$E320*F320)</f>
        <v/>
      </c>
      <c r="J320" s="30" t="str">
        <f aca="false">IF($E320="","",$E320*G320)</f>
        <v/>
      </c>
      <c r="K320" s="30" t="str">
        <f aca="false">IF($E320="","",I320+J320)</f>
        <v/>
      </c>
      <c r="L320" s="53" t="str">
        <f aca="false">IF($E320="","",IF(R320=0,"SEM CUSTO — falta linha de custo","OK"))</f>
        <v/>
      </c>
      <c r="M320" s="67" t="str">
        <f aca="false">IF(AND(ISNUMBER(E320),NOT(ISNUMBER(E319))),"F"&amp;ROW()&amp;":G"&amp;X320,"")</f>
        <v/>
      </c>
      <c r="N320" s="30" t="str">
        <f aca="false">IF($E320="","",SUMIFS('Rateio Anexo'!$K$6:$K$600,'Rateio Anexo'!$D$6:$D$600,$B320,'Rateio Anexo'!$B$6:$B$600,"MAT"))</f>
        <v/>
      </c>
      <c r="O320" s="30" t="str">
        <f aca="false">IF($E320="","",SUMIFS('Rateio Anexo'!$K$6:$K$600,'Rateio Anexo'!$D$6:$D$600,$B320,'Rateio Anexo'!$B$6:$B$600,"MO"))</f>
        <v/>
      </c>
      <c r="P320" s="30" t="str">
        <f aca="false">IF($E320="","",IF($N$3=0,0,N320/$N$3*$R$4))</f>
        <v/>
      </c>
      <c r="Q320" s="30" t="str">
        <f aca="false">IF($E320="","",IF($O$3=0,0,O320/$O$3*$T$4))</f>
        <v/>
      </c>
      <c r="R320" s="30" t="str">
        <f aca="false">IF($E320="","",N320+O320+P320+Q320)</f>
        <v/>
      </c>
      <c r="S320" s="30" t="str">
        <f aca="false">IF($E320="","",(N320+P320)*Precificação!$B$19)</f>
        <v/>
      </c>
      <c r="T320" s="30" t="str">
        <f aca="false">IF($E320="","",(O320+Q320)*Precificação!$B$20)</f>
        <v/>
      </c>
      <c r="U320" s="68" t="str">
        <f aca="false">IF($E320="","",IF($E320=INT($E320),0.01,IF($E320*2=INT($E320*2),0.02,0.05)))</f>
        <v/>
      </c>
      <c r="V320" s="30" t="str">
        <f aca="false">IF($E320="","",ROUND(S320/$E320/U320,0)*U320)</f>
        <v/>
      </c>
      <c r="W320" s="30" t="str">
        <f aca="false">IF($E320="","",ROUND(T320/$E320/U320,0)*U320)</f>
        <v/>
      </c>
      <c r="X320" s="14" t="str">
        <f aca="false">IF(NOT(ISNUMBER(E320)),"",IF(NOT(ISNUMBER(E321)),ROW(),X321))</f>
        <v/>
      </c>
    </row>
    <row r="321" customFormat="false" ht="15" hidden="false" customHeight="false" outlineLevel="0" collapsed="false">
      <c r="F321" s="66" t="str">
        <f aca="false">IF($E321="","",V321)</f>
        <v/>
      </c>
      <c r="G321" s="66" t="str">
        <f aca="false">IF($E321="","",ROUND(W321+IF($B321=Precificação!$B$26,$F$3/$E321,0),2))</f>
        <v/>
      </c>
      <c r="H321" s="30" t="str">
        <f aca="false">IF($E321="","",F321+G321)</f>
        <v/>
      </c>
      <c r="I321" s="30" t="str">
        <f aca="false">IF($E321="","",$E321*F321)</f>
        <v/>
      </c>
      <c r="J321" s="30" t="str">
        <f aca="false">IF($E321="","",$E321*G321)</f>
        <v/>
      </c>
      <c r="K321" s="30" t="str">
        <f aca="false">IF($E321="","",I321+J321)</f>
        <v/>
      </c>
      <c r="L321" s="53" t="str">
        <f aca="false">IF($E321="","",IF(R321=0,"SEM CUSTO — falta linha de custo","OK"))</f>
        <v/>
      </c>
      <c r="M321" s="67" t="str">
        <f aca="false">IF(AND(ISNUMBER(E321),NOT(ISNUMBER(E320))),"F"&amp;ROW()&amp;":G"&amp;X321,"")</f>
        <v/>
      </c>
      <c r="N321" s="30" t="str">
        <f aca="false">IF($E321="","",SUMIFS('Rateio Anexo'!$K$6:$K$600,'Rateio Anexo'!$D$6:$D$600,$B321,'Rateio Anexo'!$B$6:$B$600,"MAT"))</f>
        <v/>
      </c>
      <c r="O321" s="30" t="str">
        <f aca="false">IF($E321="","",SUMIFS('Rateio Anexo'!$K$6:$K$600,'Rateio Anexo'!$D$6:$D$600,$B321,'Rateio Anexo'!$B$6:$B$600,"MO"))</f>
        <v/>
      </c>
      <c r="P321" s="30" t="str">
        <f aca="false">IF($E321="","",IF($N$3=0,0,N321/$N$3*$R$4))</f>
        <v/>
      </c>
      <c r="Q321" s="30" t="str">
        <f aca="false">IF($E321="","",IF($O$3=0,0,O321/$O$3*$T$4))</f>
        <v/>
      </c>
      <c r="R321" s="30" t="str">
        <f aca="false">IF($E321="","",N321+O321+P321+Q321)</f>
        <v/>
      </c>
      <c r="S321" s="30" t="str">
        <f aca="false">IF($E321="","",(N321+P321)*Precificação!$B$19)</f>
        <v/>
      </c>
      <c r="T321" s="30" t="str">
        <f aca="false">IF($E321="","",(O321+Q321)*Precificação!$B$20)</f>
        <v/>
      </c>
      <c r="U321" s="68" t="str">
        <f aca="false">IF($E321="","",IF($E321=INT($E321),0.01,IF($E321*2=INT($E321*2),0.02,0.05)))</f>
        <v/>
      </c>
      <c r="V321" s="30" t="str">
        <f aca="false">IF($E321="","",ROUND(S321/$E321/U321,0)*U321)</f>
        <v/>
      </c>
      <c r="W321" s="30" t="str">
        <f aca="false">IF($E321="","",ROUND(T321/$E321/U321,0)*U321)</f>
        <v/>
      </c>
      <c r="X321" s="14" t="str">
        <f aca="false">IF(NOT(ISNUMBER(E321)),"",IF(NOT(ISNUMBER(E322)),ROW(),X322))</f>
        <v/>
      </c>
    </row>
    <row r="322" customFormat="false" ht="15" hidden="false" customHeight="false" outlineLevel="0" collapsed="false">
      <c r="F322" s="66" t="str">
        <f aca="false">IF($E322="","",V322)</f>
        <v/>
      </c>
      <c r="G322" s="66" t="str">
        <f aca="false">IF($E322="","",ROUND(W322+IF($B322=Precificação!$B$26,$F$3/$E322,0),2))</f>
        <v/>
      </c>
      <c r="H322" s="30" t="str">
        <f aca="false">IF($E322="","",F322+G322)</f>
        <v/>
      </c>
      <c r="I322" s="30" t="str">
        <f aca="false">IF($E322="","",$E322*F322)</f>
        <v/>
      </c>
      <c r="J322" s="30" t="str">
        <f aca="false">IF($E322="","",$E322*G322)</f>
        <v/>
      </c>
      <c r="K322" s="30" t="str">
        <f aca="false">IF($E322="","",I322+J322)</f>
        <v/>
      </c>
      <c r="L322" s="53" t="str">
        <f aca="false">IF($E322="","",IF(R322=0,"SEM CUSTO — falta linha de custo","OK"))</f>
        <v/>
      </c>
      <c r="M322" s="67" t="str">
        <f aca="false">IF(AND(ISNUMBER(E322),NOT(ISNUMBER(E321))),"F"&amp;ROW()&amp;":G"&amp;X322,"")</f>
        <v/>
      </c>
      <c r="N322" s="30" t="str">
        <f aca="false">IF($E322="","",SUMIFS('Rateio Anexo'!$K$6:$K$600,'Rateio Anexo'!$D$6:$D$600,$B322,'Rateio Anexo'!$B$6:$B$600,"MAT"))</f>
        <v/>
      </c>
      <c r="O322" s="30" t="str">
        <f aca="false">IF($E322="","",SUMIFS('Rateio Anexo'!$K$6:$K$600,'Rateio Anexo'!$D$6:$D$600,$B322,'Rateio Anexo'!$B$6:$B$600,"MO"))</f>
        <v/>
      </c>
      <c r="P322" s="30" t="str">
        <f aca="false">IF($E322="","",IF($N$3=0,0,N322/$N$3*$R$4))</f>
        <v/>
      </c>
      <c r="Q322" s="30" t="str">
        <f aca="false">IF($E322="","",IF($O$3=0,0,O322/$O$3*$T$4))</f>
        <v/>
      </c>
      <c r="R322" s="30" t="str">
        <f aca="false">IF($E322="","",N322+O322+P322+Q322)</f>
        <v/>
      </c>
      <c r="S322" s="30" t="str">
        <f aca="false">IF($E322="","",(N322+P322)*Precificação!$B$19)</f>
        <v/>
      </c>
      <c r="T322" s="30" t="str">
        <f aca="false">IF($E322="","",(O322+Q322)*Precificação!$B$20)</f>
        <v/>
      </c>
      <c r="U322" s="68" t="str">
        <f aca="false">IF($E322="","",IF($E322=INT($E322),0.01,IF($E322*2=INT($E322*2),0.02,0.05)))</f>
        <v/>
      </c>
      <c r="V322" s="30" t="str">
        <f aca="false">IF($E322="","",ROUND(S322/$E322/U322,0)*U322)</f>
        <v/>
      </c>
      <c r="W322" s="30" t="str">
        <f aca="false">IF($E322="","",ROUND(T322/$E322/U322,0)*U322)</f>
        <v/>
      </c>
      <c r="X322" s="14" t="str">
        <f aca="false">IF(NOT(ISNUMBER(E322)),"",IF(NOT(ISNUMBER(E323)),ROW(),X323))</f>
        <v/>
      </c>
    </row>
    <row r="323" customFormat="false" ht="15" hidden="false" customHeight="false" outlineLevel="0" collapsed="false">
      <c r="F323" s="66" t="str">
        <f aca="false">IF($E323="","",V323)</f>
        <v/>
      </c>
      <c r="G323" s="66" t="str">
        <f aca="false">IF($E323="","",ROUND(W323+IF($B323=Precificação!$B$26,$F$3/$E323,0),2))</f>
        <v/>
      </c>
      <c r="H323" s="30" t="str">
        <f aca="false">IF($E323="","",F323+G323)</f>
        <v/>
      </c>
      <c r="I323" s="30" t="str">
        <f aca="false">IF($E323="","",$E323*F323)</f>
        <v/>
      </c>
      <c r="J323" s="30" t="str">
        <f aca="false">IF($E323="","",$E323*G323)</f>
        <v/>
      </c>
      <c r="K323" s="30" t="str">
        <f aca="false">IF($E323="","",I323+J323)</f>
        <v/>
      </c>
      <c r="L323" s="53" t="str">
        <f aca="false">IF($E323="","",IF(R323=0,"SEM CUSTO — falta linha de custo","OK"))</f>
        <v/>
      </c>
      <c r="M323" s="67" t="str">
        <f aca="false">IF(AND(ISNUMBER(E323),NOT(ISNUMBER(E322))),"F"&amp;ROW()&amp;":G"&amp;X323,"")</f>
        <v/>
      </c>
      <c r="N323" s="30" t="str">
        <f aca="false">IF($E323="","",SUMIFS('Rateio Anexo'!$K$6:$K$600,'Rateio Anexo'!$D$6:$D$600,$B323,'Rateio Anexo'!$B$6:$B$600,"MAT"))</f>
        <v/>
      </c>
      <c r="O323" s="30" t="str">
        <f aca="false">IF($E323="","",SUMIFS('Rateio Anexo'!$K$6:$K$600,'Rateio Anexo'!$D$6:$D$600,$B323,'Rateio Anexo'!$B$6:$B$600,"MO"))</f>
        <v/>
      </c>
      <c r="P323" s="30" t="str">
        <f aca="false">IF($E323="","",IF($N$3=0,0,N323/$N$3*$R$4))</f>
        <v/>
      </c>
      <c r="Q323" s="30" t="str">
        <f aca="false">IF($E323="","",IF($O$3=0,0,O323/$O$3*$T$4))</f>
        <v/>
      </c>
      <c r="R323" s="30" t="str">
        <f aca="false">IF($E323="","",N323+O323+P323+Q323)</f>
        <v/>
      </c>
      <c r="S323" s="30" t="str">
        <f aca="false">IF($E323="","",(N323+P323)*Precificação!$B$19)</f>
        <v/>
      </c>
      <c r="T323" s="30" t="str">
        <f aca="false">IF($E323="","",(O323+Q323)*Precificação!$B$20)</f>
        <v/>
      </c>
      <c r="U323" s="68" t="str">
        <f aca="false">IF($E323="","",IF($E323=INT($E323),0.01,IF($E323*2=INT($E323*2),0.02,0.05)))</f>
        <v/>
      </c>
      <c r="V323" s="30" t="str">
        <f aca="false">IF($E323="","",ROUND(S323/$E323/U323,0)*U323)</f>
        <v/>
      </c>
      <c r="W323" s="30" t="str">
        <f aca="false">IF($E323="","",ROUND(T323/$E323/U323,0)*U323)</f>
        <v/>
      </c>
      <c r="X323" s="14" t="str">
        <f aca="false">IF(NOT(ISNUMBER(E323)),"",IF(NOT(ISNUMBER(E324)),ROW(),X324))</f>
        <v/>
      </c>
    </row>
    <row r="324" customFormat="false" ht="15" hidden="false" customHeight="false" outlineLevel="0" collapsed="false">
      <c r="F324" s="66" t="str">
        <f aca="false">IF($E324="","",V324)</f>
        <v/>
      </c>
      <c r="G324" s="66" t="str">
        <f aca="false">IF($E324="","",ROUND(W324+IF($B324=Precificação!$B$26,$F$3/$E324,0),2))</f>
        <v/>
      </c>
      <c r="H324" s="30" t="str">
        <f aca="false">IF($E324="","",F324+G324)</f>
        <v/>
      </c>
      <c r="I324" s="30" t="str">
        <f aca="false">IF($E324="","",$E324*F324)</f>
        <v/>
      </c>
      <c r="J324" s="30" t="str">
        <f aca="false">IF($E324="","",$E324*G324)</f>
        <v/>
      </c>
      <c r="K324" s="30" t="str">
        <f aca="false">IF($E324="","",I324+J324)</f>
        <v/>
      </c>
      <c r="L324" s="53" t="str">
        <f aca="false">IF($E324="","",IF(R324=0,"SEM CUSTO — falta linha de custo","OK"))</f>
        <v/>
      </c>
      <c r="M324" s="67" t="str">
        <f aca="false">IF(AND(ISNUMBER(E324),NOT(ISNUMBER(E323))),"F"&amp;ROW()&amp;":G"&amp;X324,"")</f>
        <v/>
      </c>
      <c r="N324" s="30" t="str">
        <f aca="false">IF($E324="","",SUMIFS('Rateio Anexo'!$K$6:$K$600,'Rateio Anexo'!$D$6:$D$600,$B324,'Rateio Anexo'!$B$6:$B$600,"MAT"))</f>
        <v/>
      </c>
      <c r="O324" s="30" t="str">
        <f aca="false">IF($E324="","",SUMIFS('Rateio Anexo'!$K$6:$K$600,'Rateio Anexo'!$D$6:$D$600,$B324,'Rateio Anexo'!$B$6:$B$600,"MO"))</f>
        <v/>
      </c>
      <c r="P324" s="30" t="str">
        <f aca="false">IF($E324="","",IF($N$3=0,0,N324/$N$3*$R$4))</f>
        <v/>
      </c>
      <c r="Q324" s="30" t="str">
        <f aca="false">IF($E324="","",IF($O$3=0,0,O324/$O$3*$T$4))</f>
        <v/>
      </c>
      <c r="R324" s="30" t="str">
        <f aca="false">IF($E324="","",N324+O324+P324+Q324)</f>
        <v/>
      </c>
      <c r="S324" s="30" t="str">
        <f aca="false">IF($E324="","",(N324+P324)*Precificação!$B$19)</f>
        <v/>
      </c>
      <c r="T324" s="30" t="str">
        <f aca="false">IF($E324="","",(O324+Q324)*Precificação!$B$20)</f>
        <v/>
      </c>
      <c r="U324" s="68" t="str">
        <f aca="false">IF($E324="","",IF($E324=INT($E324),0.01,IF($E324*2=INT($E324*2),0.02,0.05)))</f>
        <v/>
      </c>
      <c r="V324" s="30" t="str">
        <f aca="false">IF($E324="","",ROUND(S324/$E324/U324,0)*U324)</f>
        <v/>
      </c>
      <c r="W324" s="30" t="str">
        <f aca="false">IF($E324="","",ROUND(T324/$E324/U324,0)*U324)</f>
        <v/>
      </c>
      <c r="X324" s="14" t="str">
        <f aca="false">IF(NOT(ISNUMBER(E324)),"",IF(NOT(ISNUMBER(E325)),ROW(),X325))</f>
        <v/>
      </c>
    </row>
    <row r="325" customFormat="false" ht="15" hidden="false" customHeight="false" outlineLevel="0" collapsed="false">
      <c r="F325" s="66" t="str">
        <f aca="false">IF($E325="","",V325)</f>
        <v/>
      </c>
      <c r="G325" s="66" t="str">
        <f aca="false">IF($E325="","",ROUND(W325+IF($B325=Precificação!$B$26,$F$3/$E325,0),2))</f>
        <v/>
      </c>
      <c r="H325" s="30" t="str">
        <f aca="false">IF($E325="","",F325+G325)</f>
        <v/>
      </c>
      <c r="I325" s="30" t="str">
        <f aca="false">IF($E325="","",$E325*F325)</f>
        <v/>
      </c>
      <c r="J325" s="30" t="str">
        <f aca="false">IF($E325="","",$E325*G325)</f>
        <v/>
      </c>
      <c r="K325" s="30" t="str">
        <f aca="false">IF($E325="","",I325+J325)</f>
        <v/>
      </c>
      <c r="L325" s="53" t="str">
        <f aca="false">IF($E325="","",IF(R325=0,"SEM CUSTO — falta linha de custo","OK"))</f>
        <v/>
      </c>
      <c r="M325" s="67" t="str">
        <f aca="false">IF(AND(ISNUMBER(E325),NOT(ISNUMBER(E324))),"F"&amp;ROW()&amp;":G"&amp;X325,"")</f>
        <v/>
      </c>
      <c r="N325" s="30" t="str">
        <f aca="false">IF($E325="","",SUMIFS('Rateio Anexo'!$K$6:$K$600,'Rateio Anexo'!$D$6:$D$600,$B325,'Rateio Anexo'!$B$6:$B$600,"MAT"))</f>
        <v/>
      </c>
      <c r="O325" s="30" t="str">
        <f aca="false">IF($E325="","",SUMIFS('Rateio Anexo'!$K$6:$K$600,'Rateio Anexo'!$D$6:$D$600,$B325,'Rateio Anexo'!$B$6:$B$600,"MO"))</f>
        <v/>
      </c>
      <c r="P325" s="30" t="str">
        <f aca="false">IF($E325="","",IF($N$3=0,0,N325/$N$3*$R$4))</f>
        <v/>
      </c>
      <c r="Q325" s="30" t="str">
        <f aca="false">IF($E325="","",IF($O$3=0,0,O325/$O$3*$T$4))</f>
        <v/>
      </c>
      <c r="R325" s="30" t="str">
        <f aca="false">IF($E325="","",N325+O325+P325+Q325)</f>
        <v/>
      </c>
      <c r="S325" s="30" t="str">
        <f aca="false">IF($E325="","",(N325+P325)*Precificação!$B$19)</f>
        <v/>
      </c>
      <c r="T325" s="30" t="str">
        <f aca="false">IF($E325="","",(O325+Q325)*Precificação!$B$20)</f>
        <v/>
      </c>
      <c r="U325" s="68" t="str">
        <f aca="false">IF($E325="","",IF($E325=INT($E325),0.01,IF($E325*2=INT($E325*2),0.02,0.05)))</f>
        <v/>
      </c>
      <c r="V325" s="30" t="str">
        <f aca="false">IF($E325="","",ROUND(S325/$E325/U325,0)*U325)</f>
        <v/>
      </c>
      <c r="W325" s="30" t="str">
        <f aca="false">IF($E325="","",ROUND(T325/$E325/U325,0)*U325)</f>
        <v/>
      </c>
      <c r="X325" s="14" t="str">
        <f aca="false">IF(NOT(ISNUMBER(E325)),"",IF(NOT(ISNUMBER(E326)),ROW(),X326))</f>
        <v/>
      </c>
    </row>
    <row r="326" customFormat="false" ht="15" hidden="false" customHeight="false" outlineLevel="0" collapsed="false">
      <c r="F326" s="66" t="str">
        <f aca="false">IF($E326="","",V326)</f>
        <v/>
      </c>
      <c r="G326" s="66" t="str">
        <f aca="false">IF($E326="","",ROUND(W326+IF($B326=Precificação!$B$26,$F$3/$E326,0),2))</f>
        <v/>
      </c>
      <c r="H326" s="30" t="str">
        <f aca="false">IF($E326="","",F326+G326)</f>
        <v/>
      </c>
      <c r="I326" s="30" t="str">
        <f aca="false">IF($E326="","",$E326*F326)</f>
        <v/>
      </c>
      <c r="J326" s="30" t="str">
        <f aca="false">IF($E326="","",$E326*G326)</f>
        <v/>
      </c>
      <c r="K326" s="30" t="str">
        <f aca="false">IF($E326="","",I326+J326)</f>
        <v/>
      </c>
      <c r="L326" s="53" t="str">
        <f aca="false">IF($E326="","",IF(R326=0,"SEM CUSTO — falta linha de custo","OK"))</f>
        <v/>
      </c>
      <c r="M326" s="67" t="str">
        <f aca="false">IF(AND(ISNUMBER(E326),NOT(ISNUMBER(E325))),"F"&amp;ROW()&amp;":G"&amp;X326,"")</f>
        <v/>
      </c>
      <c r="N326" s="30" t="str">
        <f aca="false">IF($E326="","",SUMIFS('Rateio Anexo'!$K$6:$K$600,'Rateio Anexo'!$D$6:$D$600,$B326,'Rateio Anexo'!$B$6:$B$600,"MAT"))</f>
        <v/>
      </c>
      <c r="O326" s="30" t="str">
        <f aca="false">IF($E326="","",SUMIFS('Rateio Anexo'!$K$6:$K$600,'Rateio Anexo'!$D$6:$D$600,$B326,'Rateio Anexo'!$B$6:$B$600,"MO"))</f>
        <v/>
      </c>
      <c r="P326" s="30" t="str">
        <f aca="false">IF($E326="","",IF($N$3=0,0,N326/$N$3*$R$4))</f>
        <v/>
      </c>
      <c r="Q326" s="30" t="str">
        <f aca="false">IF($E326="","",IF($O$3=0,0,O326/$O$3*$T$4))</f>
        <v/>
      </c>
      <c r="R326" s="30" t="str">
        <f aca="false">IF($E326="","",N326+O326+P326+Q326)</f>
        <v/>
      </c>
      <c r="S326" s="30" t="str">
        <f aca="false">IF($E326="","",(N326+P326)*Precificação!$B$19)</f>
        <v/>
      </c>
      <c r="T326" s="30" t="str">
        <f aca="false">IF($E326="","",(O326+Q326)*Precificação!$B$20)</f>
        <v/>
      </c>
      <c r="U326" s="68" t="str">
        <f aca="false">IF($E326="","",IF($E326=INT($E326),0.01,IF($E326*2=INT($E326*2),0.02,0.05)))</f>
        <v/>
      </c>
      <c r="V326" s="30" t="str">
        <f aca="false">IF($E326="","",ROUND(S326/$E326/U326,0)*U326)</f>
        <v/>
      </c>
      <c r="W326" s="30" t="str">
        <f aca="false">IF($E326="","",ROUND(T326/$E326/U326,0)*U326)</f>
        <v/>
      </c>
      <c r="X326" s="14" t="str">
        <f aca="false">IF(NOT(ISNUMBER(E326)),"",IF(NOT(ISNUMBER(E327)),ROW(),X327))</f>
        <v/>
      </c>
    </row>
    <row r="327" customFormat="false" ht="15" hidden="false" customHeight="false" outlineLevel="0" collapsed="false">
      <c r="F327" s="66" t="str">
        <f aca="false">IF($E327="","",V327)</f>
        <v/>
      </c>
      <c r="G327" s="66" t="str">
        <f aca="false">IF($E327="","",ROUND(W327+IF($B327=Precificação!$B$26,$F$3/$E327,0),2))</f>
        <v/>
      </c>
      <c r="H327" s="30" t="str">
        <f aca="false">IF($E327="","",F327+G327)</f>
        <v/>
      </c>
      <c r="I327" s="30" t="str">
        <f aca="false">IF($E327="","",$E327*F327)</f>
        <v/>
      </c>
      <c r="J327" s="30" t="str">
        <f aca="false">IF($E327="","",$E327*G327)</f>
        <v/>
      </c>
      <c r="K327" s="30" t="str">
        <f aca="false">IF($E327="","",I327+J327)</f>
        <v/>
      </c>
      <c r="L327" s="53" t="str">
        <f aca="false">IF($E327="","",IF(R327=0,"SEM CUSTO — falta linha de custo","OK"))</f>
        <v/>
      </c>
      <c r="M327" s="67" t="str">
        <f aca="false">IF(AND(ISNUMBER(E327),NOT(ISNUMBER(E326))),"F"&amp;ROW()&amp;":G"&amp;X327,"")</f>
        <v/>
      </c>
      <c r="N327" s="30" t="str">
        <f aca="false">IF($E327="","",SUMIFS('Rateio Anexo'!$K$6:$K$600,'Rateio Anexo'!$D$6:$D$600,$B327,'Rateio Anexo'!$B$6:$B$600,"MAT"))</f>
        <v/>
      </c>
      <c r="O327" s="30" t="str">
        <f aca="false">IF($E327="","",SUMIFS('Rateio Anexo'!$K$6:$K$600,'Rateio Anexo'!$D$6:$D$600,$B327,'Rateio Anexo'!$B$6:$B$600,"MO"))</f>
        <v/>
      </c>
      <c r="P327" s="30" t="str">
        <f aca="false">IF($E327="","",IF($N$3=0,0,N327/$N$3*$R$4))</f>
        <v/>
      </c>
      <c r="Q327" s="30" t="str">
        <f aca="false">IF($E327="","",IF($O$3=0,0,O327/$O$3*$T$4))</f>
        <v/>
      </c>
      <c r="R327" s="30" t="str">
        <f aca="false">IF($E327="","",N327+O327+P327+Q327)</f>
        <v/>
      </c>
      <c r="S327" s="30" t="str">
        <f aca="false">IF($E327="","",(N327+P327)*Precificação!$B$19)</f>
        <v/>
      </c>
      <c r="T327" s="30" t="str">
        <f aca="false">IF($E327="","",(O327+Q327)*Precificação!$B$20)</f>
        <v/>
      </c>
      <c r="U327" s="68" t="str">
        <f aca="false">IF($E327="","",IF($E327=INT($E327),0.01,IF($E327*2=INT($E327*2),0.02,0.05)))</f>
        <v/>
      </c>
      <c r="V327" s="30" t="str">
        <f aca="false">IF($E327="","",ROUND(S327/$E327/U327,0)*U327)</f>
        <v/>
      </c>
      <c r="W327" s="30" t="str">
        <f aca="false">IF($E327="","",ROUND(T327/$E327/U327,0)*U327)</f>
        <v/>
      </c>
      <c r="X327" s="14" t="str">
        <f aca="false">IF(NOT(ISNUMBER(E327)),"",IF(NOT(ISNUMBER(E328)),ROW(),X328))</f>
        <v/>
      </c>
    </row>
    <row r="328" customFormat="false" ht="15" hidden="false" customHeight="false" outlineLevel="0" collapsed="false">
      <c r="F328" s="66" t="str">
        <f aca="false">IF($E328="","",V328)</f>
        <v/>
      </c>
      <c r="G328" s="66" t="str">
        <f aca="false">IF($E328="","",ROUND(W328+IF($B328=Precificação!$B$26,$F$3/$E328,0),2))</f>
        <v/>
      </c>
      <c r="H328" s="30" t="str">
        <f aca="false">IF($E328="","",F328+G328)</f>
        <v/>
      </c>
      <c r="I328" s="30" t="str">
        <f aca="false">IF($E328="","",$E328*F328)</f>
        <v/>
      </c>
      <c r="J328" s="30" t="str">
        <f aca="false">IF($E328="","",$E328*G328)</f>
        <v/>
      </c>
      <c r="K328" s="30" t="str">
        <f aca="false">IF($E328="","",I328+J328)</f>
        <v/>
      </c>
      <c r="L328" s="53" t="str">
        <f aca="false">IF($E328="","",IF(R328=0,"SEM CUSTO — falta linha de custo","OK"))</f>
        <v/>
      </c>
      <c r="M328" s="67" t="str">
        <f aca="false">IF(AND(ISNUMBER(E328),NOT(ISNUMBER(E327))),"F"&amp;ROW()&amp;":G"&amp;X328,"")</f>
        <v/>
      </c>
      <c r="N328" s="30" t="str">
        <f aca="false">IF($E328="","",SUMIFS('Rateio Anexo'!$K$6:$K$600,'Rateio Anexo'!$D$6:$D$600,$B328,'Rateio Anexo'!$B$6:$B$600,"MAT"))</f>
        <v/>
      </c>
      <c r="O328" s="30" t="str">
        <f aca="false">IF($E328="","",SUMIFS('Rateio Anexo'!$K$6:$K$600,'Rateio Anexo'!$D$6:$D$600,$B328,'Rateio Anexo'!$B$6:$B$600,"MO"))</f>
        <v/>
      </c>
      <c r="P328" s="30" t="str">
        <f aca="false">IF($E328="","",IF($N$3=0,0,N328/$N$3*$R$4))</f>
        <v/>
      </c>
      <c r="Q328" s="30" t="str">
        <f aca="false">IF($E328="","",IF($O$3=0,0,O328/$O$3*$T$4))</f>
        <v/>
      </c>
      <c r="R328" s="30" t="str">
        <f aca="false">IF($E328="","",N328+O328+P328+Q328)</f>
        <v/>
      </c>
      <c r="S328" s="30" t="str">
        <f aca="false">IF($E328="","",(N328+P328)*Precificação!$B$19)</f>
        <v/>
      </c>
      <c r="T328" s="30" t="str">
        <f aca="false">IF($E328="","",(O328+Q328)*Precificação!$B$20)</f>
        <v/>
      </c>
      <c r="U328" s="68" t="str">
        <f aca="false">IF($E328="","",IF($E328=INT($E328),0.01,IF($E328*2=INT($E328*2),0.02,0.05)))</f>
        <v/>
      </c>
      <c r="V328" s="30" t="str">
        <f aca="false">IF($E328="","",ROUND(S328/$E328/U328,0)*U328)</f>
        <v/>
      </c>
      <c r="W328" s="30" t="str">
        <f aca="false">IF($E328="","",ROUND(T328/$E328/U328,0)*U328)</f>
        <v/>
      </c>
      <c r="X328" s="14" t="str">
        <f aca="false">IF(NOT(ISNUMBER(E328)),"",IF(NOT(ISNUMBER(E329)),ROW(),X329))</f>
        <v/>
      </c>
    </row>
    <row r="329" customFormat="false" ht="15" hidden="false" customHeight="false" outlineLevel="0" collapsed="false">
      <c r="F329" s="66" t="str">
        <f aca="false">IF($E329="","",V329)</f>
        <v/>
      </c>
      <c r="G329" s="66" t="str">
        <f aca="false">IF($E329="","",ROUND(W329+IF($B329=Precificação!$B$26,$F$3/$E329,0),2))</f>
        <v/>
      </c>
      <c r="H329" s="30" t="str">
        <f aca="false">IF($E329="","",F329+G329)</f>
        <v/>
      </c>
      <c r="I329" s="30" t="str">
        <f aca="false">IF($E329="","",$E329*F329)</f>
        <v/>
      </c>
      <c r="J329" s="30" t="str">
        <f aca="false">IF($E329="","",$E329*G329)</f>
        <v/>
      </c>
      <c r="K329" s="30" t="str">
        <f aca="false">IF($E329="","",I329+J329)</f>
        <v/>
      </c>
      <c r="L329" s="53" t="str">
        <f aca="false">IF($E329="","",IF(R329=0,"SEM CUSTO — falta linha de custo","OK"))</f>
        <v/>
      </c>
      <c r="M329" s="67" t="str">
        <f aca="false">IF(AND(ISNUMBER(E329),NOT(ISNUMBER(E328))),"F"&amp;ROW()&amp;":G"&amp;X329,"")</f>
        <v/>
      </c>
      <c r="N329" s="30" t="str">
        <f aca="false">IF($E329="","",SUMIFS('Rateio Anexo'!$K$6:$K$600,'Rateio Anexo'!$D$6:$D$600,$B329,'Rateio Anexo'!$B$6:$B$600,"MAT"))</f>
        <v/>
      </c>
      <c r="O329" s="30" t="str">
        <f aca="false">IF($E329="","",SUMIFS('Rateio Anexo'!$K$6:$K$600,'Rateio Anexo'!$D$6:$D$600,$B329,'Rateio Anexo'!$B$6:$B$600,"MO"))</f>
        <v/>
      </c>
      <c r="P329" s="30" t="str">
        <f aca="false">IF($E329="","",IF($N$3=0,0,N329/$N$3*$R$4))</f>
        <v/>
      </c>
      <c r="Q329" s="30" t="str">
        <f aca="false">IF($E329="","",IF($O$3=0,0,O329/$O$3*$T$4))</f>
        <v/>
      </c>
      <c r="R329" s="30" t="str">
        <f aca="false">IF($E329="","",N329+O329+P329+Q329)</f>
        <v/>
      </c>
      <c r="S329" s="30" t="str">
        <f aca="false">IF($E329="","",(N329+P329)*Precificação!$B$19)</f>
        <v/>
      </c>
      <c r="T329" s="30" t="str">
        <f aca="false">IF($E329="","",(O329+Q329)*Precificação!$B$20)</f>
        <v/>
      </c>
      <c r="U329" s="68" t="str">
        <f aca="false">IF($E329="","",IF($E329=INT($E329),0.01,IF($E329*2=INT($E329*2),0.02,0.05)))</f>
        <v/>
      </c>
      <c r="V329" s="30" t="str">
        <f aca="false">IF($E329="","",ROUND(S329/$E329/U329,0)*U329)</f>
        <v/>
      </c>
      <c r="W329" s="30" t="str">
        <f aca="false">IF($E329="","",ROUND(T329/$E329/U329,0)*U329)</f>
        <v/>
      </c>
      <c r="X329" s="14" t="str">
        <f aca="false">IF(NOT(ISNUMBER(E329)),"",IF(NOT(ISNUMBER(E330)),ROW(),X330))</f>
        <v/>
      </c>
    </row>
    <row r="330" customFormat="false" ht="15" hidden="false" customHeight="false" outlineLevel="0" collapsed="false">
      <c r="F330" s="66" t="str">
        <f aca="false">IF($E330="","",V330)</f>
        <v/>
      </c>
      <c r="G330" s="66" t="str">
        <f aca="false">IF($E330="","",ROUND(W330+IF($B330=Precificação!$B$26,$F$3/$E330,0),2))</f>
        <v/>
      </c>
      <c r="H330" s="30" t="str">
        <f aca="false">IF($E330="","",F330+G330)</f>
        <v/>
      </c>
      <c r="I330" s="30" t="str">
        <f aca="false">IF($E330="","",$E330*F330)</f>
        <v/>
      </c>
      <c r="J330" s="30" t="str">
        <f aca="false">IF($E330="","",$E330*G330)</f>
        <v/>
      </c>
      <c r="K330" s="30" t="str">
        <f aca="false">IF($E330="","",I330+J330)</f>
        <v/>
      </c>
      <c r="L330" s="53" t="str">
        <f aca="false">IF($E330="","",IF(R330=0,"SEM CUSTO — falta linha de custo","OK"))</f>
        <v/>
      </c>
      <c r="M330" s="67" t="str">
        <f aca="false">IF(AND(ISNUMBER(E330),NOT(ISNUMBER(E329))),"F"&amp;ROW()&amp;":G"&amp;X330,"")</f>
        <v/>
      </c>
      <c r="N330" s="30" t="str">
        <f aca="false">IF($E330="","",SUMIFS('Rateio Anexo'!$K$6:$K$600,'Rateio Anexo'!$D$6:$D$600,$B330,'Rateio Anexo'!$B$6:$B$600,"MAT"))</f>
        <v/>
      </c>
      <c r="O330" s="30" t="str">
        <f aca="false">IF($E330="","",SUMIFS('Rateio Anexo'!$K$6:$K$600,'Rateio Anexo'!$D$6:$D$600,$B330,'Rateio Anexo'!$B$6:$B$600,"MO"))</f>
        <v/>
      </c>
      <c r="P330" s="30" t="str">
        <f aca="false">IF($E330="","",IF($N$3=0,0,N330/$N$3*$R$4))</f>
        <v/>
      </c>
      <c r="Q330" s="30" t="str">
        <f aca="false">IF($E330="","",IF($O$3=0,0,O330/$O$3*$T$4))</f>
        <v/>
      </c>
      <c r="R330" s="30" t="str">
        <f aca="false">IF($E330="","",N330+O330+P330+Q330)</f>
        <v/>
      </c>
      <c r="S330" s="30" t="str">
        <f aca="false">IF($E330="","",(N330+P330)*Precificação!$B$19)</f>
        <v/>
      </c>
      <c r="T330" s="30" t="str">
        <f aca="false">IF($E330="","",(O330+Q330)*Precificação!$B$20)</f>
        <v/>
      </c>
      <c r="U330" s="68" t="str">
        <f aca="false">IF($E330="","",IF($E330=INT($E330),0.01,IF($E330*2=INT($E330*2),0.02,0.05)))</f>
        <v/>
      </c>
      <c r="V330" s="30" t="str">
        <f aca="false">IF($E330="","",ROUND(S330/$E330/U330,0)*U330)</f>
        <v/>
      </c>
      <c r="W330" s="30" t="str">
        <f aca="false">IF($E330="","",ROUND(T330/$E330/U330,0)*U330)</f>
        <v/>
      </c>
      <c r="X330" s="14" t="str">
        <f aca="false">IF(NOT(ISNUMBER(E330)),"",IF(NOT(ISNUMBER(E331)),ROW(),X331))</f>
        <v/>
      </c>
    </row>
    <row r="331" customFormat="false" ht="15" hidden="false" customHeight="false" outlineLevel="0" collapsed="false">
      <c r="F331" s="66" t="str">
        <f aca="false">IF($E331="","",V331)</f>
        <v/>
      </c>
      <c r="G331" s="66" t="str">
        <f aca="false">IF($E331="","",ROUND(W331+IF($B331=Precificação!$B$26,$F$3/$E331,0),2))</f>
        <v/>
      </c>
      <c r="H331" s="30" t="str">
        <f aca="false">IF($E331="","",F331+G331)</f>
        <v/>
      </c>
      <c r="I331" s="30" t="str">
        <f aca="false">IF($E331="","",$E331*F331)</f>
        <v/>
      </c>
      <c r="J331" s="30" t="str">
        <f aca="false">IF($E331="","",$E331*G331)</f>
        <v/>
      </c>
      <c r="K331" s="30" t="str">
        <f aca="false">IF($E331="","",I331+J331)</f>
        <v/>
      </c>
      <c r="L331" s="53" t="str">
        <f aca="false">IF($E331="","",IF(R331=0,"SEM CUSTO — falta linha de custo","OK"))</f>
        <v/>
      </c>
      <c r="M331" s="67" t="str">
        <f aca="false">IF(AND(ISNUMBER(E331),NOT(ISNUMBER(E330))),"F"&amp;ROW()&amp;":G"&amp;X331,"")</f>
        <v/>
      </c>
      <c r="N331" s="30" t="str">
        <f aca="false">IF($E331="","",SUMIFS('Rateio Anexo'!$K$6:$K$600,'Rateio Anexo'!$D$6:$D$600,$B331,'Rateio Anexo'!$B$6:$B$600,"MAT"))</f>
        <v/>
      </c>
      <c r="O331" s="30" t="str">
        <f aca="false">IF($E331="","",SUMIFS('Rateio Anexo'!$K$6:$K$600,'Rateio Anexo'!$D$6:$D$600,$B331,'Rateio Anexo'!$B$6:$B$600,"MO"))</f>
        <v/>
      </c>
      <c r="P331" s="30" t="str">
        <f aca="false">IF($E331="","",IF($N$3=0,0,N331/$N$3*$R$4))</f>
        <v/>
      </c>
      <c r="Q331" s="30" t="str">
        <f aca="false">IF($E331="","",IF($O$3=0,0,O331/$O$3*$T$4))</f>
        <v/>
      </c>
      <c r="R331" s="30" t="str">
        <f aca="false">IF($E331="","",N331+O331+P331+Q331)</f>
        <v/>
      </c>
      <c r="S331" s="30" t="str">
        <f aca="false">IF($E331="","",(N331+P331)*Precificação!$B$19)</f>
        <v/>
      </c>
      <c r="T331" s="30" t="str">
        <f aca="false">IF($E331="","",(O331+Q331)*Precificação!$B$20)</f>
        <v/>
      </c>
      <c r="U331" s="68" t="str">
        <f aca="false">IF($E331="","",IF($E331=INT($E331),0.01,IF($E331*2=INT($E331*2),0.02,0.05)))</f>
        <v/>
      </c>
      <c r="V331" s="30" t="str">
        <f aca="false">IF($E331="","",ROUND(S331/$E331/U331,0)*U331)</f>
        <v/>
      </c>
      <c r="W331" s="30" t="str">
        <f aca="false">IF($E331="","",ROUND(T331/$E331/U331,0)*U331)</f>
        <v/>
      </c>
      <c r="X331" s="14" t="str">
        <f aca="false">IF(NOT(ISNUMBER(E331)),"",IF(NOT(ISNUMBER(E332)),ROW(),X332))</f>
        <v/>
      </c>
    </row>
    <row r="332" customFormat="false" ht="15" hidden="false" customHeight="false" outlineLevel="0" collapsed="false">
      <c r="F332" s="66" t="str">
        <f aca="false">IF($E332="","",V332)</f>
        <v/>
      </c>
      <c r="G332" s="66" t="str">
        <f aca="false">IF($E332="","",ROUND(W332+IF($B332=Precificação!$B$26,$F$3/$E332,0),2))</f>
        <v/>
      </c>
      <c r="H332" s="30" t="str">
        <f aca="false">IF($E332="","",F332+G332)</f>
        <v/>
      </c>
      <c r="I332" s="30" t="str">
        <f aca="false">IF($E332="","",$E332*F332)</f>
        <v/>
      </c>
      <c r="J332" s="30" t="str">
        <f aca="false">IF($E332="","",$E332*G332)</f>
        <v/>
      </c>
      <c r="K332" s="30" t="str">
        <f aca="false">IF($E332="","",I332+J332)</f>
        <v/>
      </c>
      <c r="L332" s="53" t="str">
        <f aca="false">IF($E332="","",IF(R332=0,"SEM CUSTO — falta linha de custo","OK"))</f>
        <v/>
      </c>
      <c r="M332" s="67" t="str">
        <f aca="false">IF(AND(ISNUMBER(E332),NOT(ISNUMBER(E331))),"F"&amp;ROW()&amp;":G"&amp;X332,"")</f>
        <v/>
      </c>
      <c r="N332" s="30" t="str">
        <f aca="false">IF($E332="","",SUMIFS('Rateio Anexo'!$K$6:$K$600,'Rateio Anexo'!$D$6:$D$600,$B332,'Rateio Anexo'!$B$6:$B$600,"MAT"))</f>
        <v/>
      </c>
      <c r="O332" s="30" t="str">
        <f aca="false">IF($E332="","",SUMIFS('Rateio Anexo'!$K$6:$K$600,'Rateio Anexo'!$D$6:$D$600,$B332,'Rateio Anexo'!$B$6:$B$600,"MO"))</f>
        <v/>
      </c>
      <c r="P332" s="30" t="str">
        <f aca="false">IF($E332="","",IF($N$3=0,0,N332/$N$3*$R$4))</f>
        <v/>
      </c>
      <c r="Q332" s="30" t="str">
        <f aca="false">IF($E332="","",IF($O$3=0,0,O332/$O$3*$T$4))</f>
        <v/>
      </c>
      <c r="R332" s="30" t="str">
        <f aca="false">IF($E332="","",N332+O332+P332+Q332)</f>
        <v/>
      </c>
      <c r="S332" s="30" t="str">
        <f aca="false">IF($E332="","",(N332+P332)*Precificação!$B$19)</f>
        <v/>
      </c>
      <c r="T332" s="30" t="str">
        <f aca="false">IF($E332="","",(O332+Q332)*Precificação!$B$20)</f>
        <v/>
      </c>
      <c r="U332" s="68" t="str">
        <f aca="false">IF($E332="","",IF($E332=INT($E332),0.01,IF($E332*2=INT($E332*2),0.02,0.05)))</f>
        <v/>
      </c>
      <c r="V332" s="30" t="str">
        <f aca="false">IF($E332="","",ROUND(S332/$E332/U332,0)*U332)</f>
        <v/>
      </c>
      <c r="W332" s="30" t="str">
        <f aca="false">IF($E332="","",ROUND(T332/$E332/U332,0)*U332)</f>
        <v/>
      </c>
      <c r="X332" s="14" t="str">
        <f aca="false">IF(NOT(ISNUMBER(E332)),"",IF(NOT(ISNUMBER(E333)),ROW(),X333))</f>
        <v/>
      </c>
    </row>
    <row r="333" customFormat="false" ht="15" hidden="false" customHeight="false" outlineLevel="0" collapsed="false">
      <c r="F333" s="66" t="str">
        <f aca="false">IF($E333="","",V333)</f>
        <v/>
      </c>
      <c r="G333" s="66" t="str">
        <f aca="false">IF($E333="","",ROUND(W333+IF($B333=Precificação!$B$26,$F$3/$E333,0),2))</f>
        <v/>
      </c>
      <c r="H333" s="30" t="str">
        <f aca="false">IF($E333="","",F333+G333)</f>
        <v/>
      </c>
      <c r="I333" s="30" t="str">
        <f aca="false">IF($E333="","",$E333*F333)</f>
        <v/>
      </c>
      <c r="J333" s="30" t="str">
        <f aca="false">IF($E333="","",$E333*G333)</f>
        <v/>
      </c>
      <c r="K333" s="30" t="str">
        <f aca="false">IF($E333="","",I333+J333)</f>
        <v/>
      </c>
      <c r="L333" s="53" t="str">
        <f aca="false">IF($E333="","",IF(R333=0,"SEM CUSTO — falta linha de custo","OK"))</f>
        <v/>
      </c>
      <c r="M333" s="67" t="str">
        <f aca="false">IF(AND(ISNUMBER(E333),NOT(ISNUMBER(E332))),"F"&amp;ROW()&amp;":G"&amp;X333,"")</f>
        <v/>
      </c>
      <c r="N333" s="30" t="str">
        <f aca="false">IF($E333="","",SUMIFS('Rateio Anexo'!$K$6:$K$600,'Rateio Anexo'!$D$6:$D$600,$B333,'Rateio Anexo'!$B$6:$B$600,"MAT"))</f>
        <v/>
      </c>
      <c r="O333" s="30" t="str">
        <f aca="false">IF($E333="","",SUMIFS('Rateio Anexo'!$K$6:$K$600,'Rateio Anexo'!$D$6:$D$600,$B333,'Rateio Anexo'!$B$6:$B$600,"MO"))</f>
        <v/>
      </c>
      <c r="P333" s="30" t="str">
        <f aca="false">IF($E333="","",IF($N$3=0,0,N333/$N$3*$R$4))</f>
        <v/>
      </c>
      <c r="Q333" s="30" t="str">
        <f aca="false">IF($E333="","",IF($O$3=0,0,O333/$O$3*$T$4))</f>
        <v/>
      </c>
      <c r="R333" s="30" t="str">
        <f aca="false">IF($E333="","",N333+O333+P333+Q333)</f>
        <v/>
      </c>
      <c r="S333" s="30" t="str">
        <f aca="false">IF($E333="","",(N333+P333)*Precificação!$B$19)</f>
        <v/>
      </c>
      <c r="T333" s="30" t="str">
        <f aca="false">IF($E333="","",(O333+Q333)*Precificação!$B$20)</f>
        <v/>
      </c>
      <c r="U333" s="68" t="str">
        <f aca="false">IF($E333="","",IF($E333=INT($E333),0.01,IF($E333*2=INT($E333*2),0.02,0.05)))</f>
        <v/>
      </c>
      <c r="V333" s="30" t="str">
        <f aca="false">IF($E333="","",ROUND(S333/$E333/U333,0)*U333)</f>
        <v/>
      </c>
      <c r="W333" s="30" t="str">
        <f aca="false">IF($E333="","",ROUND(T333/$E333/U333,0)*U333)</f>
        <v/>
      </c>
      <c r="X333" s="14" t="str">
        <f aca="false">IF(NOT(ISNUMBER(E333)),"",IF(NOT(ISNUMBER(E334)),ROW(),X334))</f>
        <v/>
      </c>
    </row>
    <row r="334" customFormat="false" ht="15" hidden="false" customHeight="false" outlineLevel="0" collapsed="false">
      <c r="F334" s="66" t="str">
        <f aca="false">IF($E334="","",V334)</f>
        <v/>
      </c>
      <c r="G334" s="66" t="str">
        <f aca="false">IF($E334="","",ROUND(W334+IF($B334=Precificação!$B$26,$F$3/$E334,0),2))</f>
        <v/>
      </c>
      <c r="H334" s="30" t="str">
        <f aca="false">IF($E334="","",F334+G334)</f>
        <v/>
      </c>
      <c r="I334" s="30" t="str">
        <f aca="false">IF($E334="","",$E334*F334)</f>
        <v/>
      </c>
      <c r="J334" s="30" t="str">
        <f aca="false">IF($E334="","",$E334*G334)</f>
        <v/>
      </c>
      <c r="K334" s="30" t="str">
        <f aca="false">IF($E334="","",I334+J334)</f>
        <v/>
      </c>
      <c r="L334" s="53" t="str">
        <f aca="false">IF($E334="","",IF(R334=0,"SEM CUSTO — falta linha de custo","OK"))</f>
        <v/>
      </c>
      <c r="M334" s="67" t="str">
        <f aca="false">IF(AND(ISNUMBER(E334),NOT(ISNUMBER(E333))),"F"&amp;ROW()&amp;":G"&amp;X334,"")</f>
        <v/>
      </c>
      <c r="N334" s="30" t="str">
        <f aca="false">IF($E334="","",SUMIFS('Rateio Anexo'!$K$6:$K$600,'Rateio Anexo'!$D$6:$D$600,$B334,'Rateio Anexo'!$B$6:$B$600,"MAT"))</f>
        <v/>
      </c>
      <c r="O334" s="30" t="str">
        <f aca="false">IF($E334="","",SUMIFS('Rateio Anexo'!$K$6:$K$600,'Rateio Anexo'!$D$6:$D$600,$B334,'Rateio Anexo'!$B$6:$B$600,"MO"))</f>
        <v/>
      </c>
      <c r="P334" s="30" t="str">
        <f aca="false">IF($E334="","",IF($N$3=0,0,N334/$N$3*$R$4))</f>
        <v/>
      </c>
      <c r="Q334" s="30" t="str">
        <f aca="false">IF($E334="","",IF($O$3=0,0,O334/$O$3*$T$4))</f>
        <v/>
      </c>
      <c r="R334" s="30" t="str">
        <f aca="false">IF($E334="","",N334+O334+P334+Q334)</f>
        <v/>
      </c>
      <c r="S334" s="30" t="str">
        <f aca="false">IF($E334="","",(N334+P334)*Precificação!$B$19)</f>
        <v/>
      </c>
      <c r="T334" s="30" t="str">
        <f aca="false">IF($E334="","",(O334+Q334)*Precificação!$B$20)</f>
        <v/>
      </c>
      <c r="U334" s="68" t="str">
        <f aca="false">IF($E334="","",IF($E334=INT($E334),0.01,IF($E334*2=INT($E334*2),0.02,0.05)))</f>
        <v/>
      </c>
      <c r="V334" s="30" t="str">
        <f aca="false">IF($E334="","",ROUND(S334/$E334/U334,0)*U334)</f>
        <v/>
      </c>
      <c r="W334" s="30" t="str">
        <f aca="false">IF($E334="","",ROUND(T334/$E334/U334,0)*U334)</f>
        <v/>
      </c>
      <c r="X334" s="14" t="str">
        <f aca="false">IF(NOT(ISNUMBER(E334)),"",IF(NOT(ISNUMBER(E335)),ROW(),X335))</f>
        <v/>
      </c>
    </row>
    <row r="335" customFormat="false" ht="15" hidden="false" customHeight="false" outlineLevel="0" collapsed="false">
      <c r="F335" s="66" t="str">
        <f aca="false">IF($E335="","",V335)</f>
        <v/>
      </c>
      <c r="G335" s="66" t="str">
        <f aca="false">IF($E335="","",ROUND(W335+IF($B335=Precificação!$B$26,$F$3/$E335,0),2))</f>
        <v/>
      </c>
      <c r="H335" s="30" t="str">
        <f aca="false">IF($E335="","",F335+G335)</f>
        <v/>
      </c>
      <c r="I335" s="30" t="str">
        <f aca="false">IF($E335="","",$E335*F335)</f>
        <v/>
      </c>
      <c r="J335" s="30" t="str">
        <f aca="false">IF($E335="","",$E335*G335)</f>
        <v/>
      </c>
      <c r="K335" s="30" t="str">
        <f aca="false">IF($E335="","",I335+J335)</f>
        <v/>
      </c>
      <c r="L335" s="53" t="str">
        <f aca="false">IF($E335="","",IF(R335=0,"SEM CUSTO — falta linha de custo","OK"))</f>
        <v/>
      </c>
      <c r="M335" s="67" t="str">
        <f aca="false">IF(AND(ISNUMBER(E335),NOT(ISNUMBER(E334))),"F"&amp;ROW()&amp;":G"&amp;X335,"")</f>
        <v/>
      </c>
      <c r="N335" s="30" t="str">
        <f aca="false">IF($E335="","",SUMIFS('Rateio Anexo'!$K$6:$K$600,'Rateio Anexo'!$D$6:$D$600,$B335,'Rateio Anexo'!$B$6:$B$600,"MAT"))</f>
        <v/>
      </c>
      <c r="O335" s="30" t="str">
        <f aca="false">IF($E335="","",SUMIFS('Rateio Anexo'!$K$6:$K$600,'Rateio Anexo'!$D$6:$D$600,$B335,'Rateio Anexo'!$B$6:$B$600,"MO"))</f>
        <v/>
      </c>
      <c r="P335" s="30" t="str">
        <f aca="false">IF($E335="","",IF($N$3=0,0,N335/$N$3*$R$4))</f>
        <v/>
      </c>
      <c r="Q335" s="30" t="str">
        <f aca="false">IF($E335="","",IF($O$3=0,0,O335/$O$3*$T$4))</f>
        <v/>
      </c>
      <c r="R335" s="30" t="str">
        <f aca="false">IF($E335="","",N335+O335+P335+Q335)</f>
        <v/>
      </c>
      <c r="S335" s="30" t="str">
        <f aca="false">IF($E335="","",(N335+P335)*Precificação!$B$19)</f>
        <v/>
      </c>
      <c r="T335" s="30" t="str">
        <f aca="false">IF($E335="","",(O335+Q335)*Precificação!$B$20)</f>
        <v/>
      </c>
      <c r="U335" s="68" t="str">
        <f aca="false">IF($E335="","",IF($E335=INT($E335),0.01,IF($E335*2=INT($E335*2),0.02,0.05)))</f>
        <v/>
      </c>
      <c r="V335" s="30" t="str">
        <f aca="false">IF($E335="","",ROUND(S335/$E335/U335,0)*U335)</f>
        <v/>
      </c>
      <c r="W335" s="30" t="str">
        <f aca="false">IF($E335="","",ROUND(T335/$E335/U335,0)*U335)</f>
        <v/>
      </c>
      <c r="X335" s="14" t="str">
        <f aca="false">IF(NOT(ISNUMBER(E335)),"",IF(NOT(ISNUMBER(E336)),ROW(),X336))</f>
        <v/>
      </c>
    </row>
    <row r="336" customFormat="false" ht="15" hidden="false" customHeight="false" outlineLevel="0" collapsed="false">
      <c r="F336" s="66" t="str">
        <f aca="false">IF($E336="","",V336)</f>
        <v/>
      </c>
      <c r="G336" s="66" t="str">
        <f aca="false">IF($E336="","",ROUND(W336+IF($B336=Precificação!$B$26,$F$3/$E336,0),2))</f>
        <v/>
      </c>
      <c r="H336" s="30" t="str">
        <f aca="false">IF($E336="","",F336+G336)</f>
        <v/>
      </c>
      <c r="I336" s="30" t="str">
        <f aca="false">IF($E336="","",$E336*F336)</f>
        <v/>
      </c>
      <c r="J336" s="30" t="str">
        <f aca="false">IF($E336="","",$E336*G336)</f>
        <v/>
      </c>
      <c r="K336" s="30" t="str">
        <f aca="false">IF($E336="","",I336+J336)</f>
        <v/>
      </c>
      <c r="L336" s="53" t="str">
        <f aca="false">IF($E336="","",IF(R336=0,"SEM CUSTO — falta linha de custo","OK"))</f>
        <v/>
      </c>
      <c r="M336" s="67" t="str">
        <f aca="false">IF(AND(ISNUMBER(E336),NOT(ISNUMBER(E335))),"F"&amp;ROW()&amp;":G"&amp;X336,"")</f>
        <v/>
      </c>
      <c r="N336" s="30" t="str">
        <f aca="false">IF($E336="","",SUMIFS('Rateio Anexo'!$K$6:$K$600,'Rateio Anexo'!$D$6:$D$600,$B336,'Rateio Anexo'!$B$6:$B$600,"MAT"))</f>
        <v/>
      </c>
      <c r="O336" s="30" t="str">
        <f aca="false">IF($E336="","",SUMIFS('Rateio Anexo'!$K$6:$K$600,'Rateio Anexo'!$D$6:$D$600,$B336,'Rateio Anexo'!$B$6:$B$600,"MO"))</f>
        <v/>
      </c>
      <c r="P336" s="30" t="str">
        <f aca="false">IF($E336="","",IF($N$3=0,0,N336/$N$3*$R$4))</f>
        <v/>
      </c>
      <c r="Q336" s="30" t="str">
        <f aca="false">IF($E336="","",IF($O$3=0,0,O336/$O$3*$T$4))</f>
        <v/>
      </c>
      <c r="R336" s="30" t="str">
        <f aca="false">IF($E336="","",N336+O336+P336+Q336)</f>
        <v/>
      </c>
      <c r="S336" s="30" t="str">
        <f aca="false">IF($E336="","",(N336+P336)*Precificação!$B$19)</f>
        <v/>
      </c>
      <c r="T336" s="30" t="str">
        <f aca="false">IF($E336="","",(O336+Q336)*Precificação!$B$20)</f>
        <v/>
      </c>
      <c r="U336" s="68" t="str">
        <f aca="false">IF($E336="","",IF($E336=INT($E336),0.01,IF($E336*2=INT($E336*2),0.02,0.05)))</f>
        <v/>
      </c>
      <c r="V336" s="30" t="str">
        <f aca="false">IF($E336="","",ROUND(S336/$E336/U336,0)*U336)</f>
        <v/>
      </c>
      <c r="W336" s="30" t="str">
        <f aca="false">IF($E336="","",ROUND(T336/$E336/U336,0)*U336)</f>
        <v/>
      </c>
      <c r="X336" s="14" t="str">
        <f aca="false">IF(NOT(ISNUMBER(E336)),"",IF(NOT(ISNUMBER(E337)),ROW(),X337))</f>
        <v/>
      </c>
    </row>
    <row r="337" customFormat="false" ht="15" hidden="false" customHeight="false" outlineLevel="0" collapsed="false">
      <c r="F337" s="66" t="str">
        <f aca="false">IF($E337="","",V337)</f>
        <v/>
      </c>
      <c r="G337" s="66" t="str">
        <f aca="false">IF($E337="","",ROUND(W337+IF($B337=Precificação!$B$26,$F$3/$E337,0),2))</f>
        <v/>
      </c>
      <c r="H337" s="30" t="str">
        <f aca="false">IF($E337="","",F337+G337)</f>
        <v/>
      </c>
      <c r="I337" s="30" t="str">
        <f aca="false">IF($E337="","",$E337*F337)</f>
        <v/>
      </c>
      <c r="J337" s="30" t="str">
        <f aca="false">IF($E337="","",$E337*G337)</f>
        <v/>
      </c>
      <c r="K337" s="30" t="str">
        <f aca="false">IF($E337="","",I337+J337)</f>
        <v/>
      </c>
      <c r="L337" s="53" t="str">
        <f aca="false">IF($E337="","",IF(R337=0,"SEM CUSTO — falta linha de custo","OK"))</f>
        <v/>
      </c>
      <c r="M337" s="67" t="str">
        <f aca="false">IF(AND(ISNUMBER(E337),NOT(ISNUMBER(E336))),"F"&amp;ROW()&amp;":G"&amp;X337,"")</f>
        <v/>
      </c>
      <c r="N337" s="30" t="str">
        <f aca="false">IF($E337="","",SUMIFS('Rateio Anexo'!$K$6:$K$600,'Rateio Anexo'!$D$6:$D$600,$B337,'Rateio Anexo'!$B$6:$B$600,"MAT"))</f>
        <v/>
      </c>
      <c r="O337" s="30" t="str">
        <f aca="false">IF($E337="","",SUMIFS('Rateio Anexo'!$K$6:$K$600,'Rateio Anexo'!$D$6:$D$600,$B337,'Rateio Anexo'!$B$6:$B$600,"MO"))</f>
        <v/>
      </c>
      <c r="P337" s="30" t="str">
        <f aca="false">IF($E337="","",IF($N$3=0,0,N337/$N$3*$R$4))</f>
        <v/>
      </c>
      <c r="Q337" s="30" t="str">
        <f aca="false">IF($E337="","",IF($O$3=0,0,O337/$O$3*$T$4))</f>
        <v/>
      </c>
      <c r="R337" s="30" t="str">
        <f aca="false">IF($E337="","",N337+O337+P337+Q337)</f>
        <v/>
      </c>
      <c r="S337" s="30" t="str">
        <f aca="false">IF($E337="","",(N337+P337)*Precificação!$B$19)</f>
        <v/>
      </c>
      <c r="T337" s="30" t="str">
        <f aca="false">IF($E337="","",(O337+Q337)*Precificação!$B$20)</f>
        <v/>
      </c>
      <c r="U337" s="68" t="str">
        <f aca="false">IF($E337="","",IF($E337=INT($E337),0.01,IF($E337*2=INT($E337*2),0.02,0.05)))</f>
        <v/>
      </c>
      <c r="V337" s="30" t="str">
        <f aca="false">IF($E337="","",ROUND(S337/$E337/U337,0)*U337)</f>
        <v/>
      </c>
      <c r="W337" s="30" t="str">
        <f aca="false">IF($E337="","",ROUND(T337/$E337/U337,0)*U337)</f>
        <v/>
      </c>
      <c r="X337" s="14" t="str">
        <f aca="false">IF(NOT(ISNUMBER(E337)),"",IF(NOT(ISNUMBER(E338)),ROW(),X338))</f>
        <v/>
      </c>
    </row>
    <row r="338" customFormat="false" ht="15" hidden="false" customHeight="false" outlineLevel="0" collapsed="false">
      <c r="F338" s="66" t="str">
        <f aca="false">IF($E338="","",V338)</f>
        <v/>
      </c>
      <c r="G338" s="66" t="str">
        <f aca="false">IF($E338="","",ROUND(W338+IF($B338=Precificação!$B$26,$F$3/$E338,0),2))</f>
        <v/>
      </c>
      <c r="H338" s="30" t="str">
        <f aca="false">IF($E338="","",F338+G338)</f>
        <v/>
      </c>
      <c r="I338" s="30" t="str">
        <f aca="false">IF($E338="","",$E338*F338)</f>
        <v/>
      </c>
      <c r="J338" s="30" t="str">
        <f aca="false">IF($E338="","",$E338*G338)</f>
        <v/>
      </c>
      <c r="K338" s="30" t="str">
        <f aca="false">IF($E338="","",I338+J338)</f>
        <v/>
      </c>
      <c r="L338" s="53" t="str">
        <f aca="false">IF($E338="","",IF(R338=0,"SEM CUSTO — falta linha de custo","OK"))</f>
        <v/>
      </c>
      <c r="M338" s="67" t="str">
        <f aca="false">IF(AND(ISNUMBER(E338),NOT(ISNUMBER(E337))),"F"&amp;ROW()&amp;":G"&amp;X338,"")</f>
        <v/>
      </c>
      <c r="N338" s="30" t="str">
        <f aca="false">IF($E338="","",SUMIFS('Rateio Anexo'!$K$6:$K$600,'Rateio Anexo'!$D$6:$D$600,$B338,'Rateio Anexo'!$B$6:$B$600,"MAT"))</f>
        <v/>
      </c>
      <c r="O338" s="30" t="str">
        <f aca="false">IF($E338="","",SUMIFS('Rateio Anexo'!$K$6:$K$600,'Rateio Anexo'!$D$6:$D$600,$B338,'Rateio Anexo'!$B$6:$B$600,"MO"))</f>
        <v/>
      </c>
      <c r="P338" s="30" t="str">
        <f aca="false">IF($E338="","",IF($N$3=0,0,N338/$N$3*$R$4))</f>
        <v/>
      </c>
      <c r="Q338" s="30" t="str">
        <f aca="false">IF($E338="","",IF($O$3=0,0,O338/$O$3*$T$4))</f>
        <v/>
      </c>
      <c r="R338" s="30" t="str">
        <f aca="false">IF($E338="","",N338+O338+P338+Q338)</f>
        <v/>
      </c>
      <c r="S338" s="30" t="str">
        <f aca="false">IF($E338="","",(N338+P338)*Precificação!$B$19)</f>
        <v/>
      </c>
      <c r="T338" s="30" t="str">
        <f aca="false">IF($E338="","",(O338+Q338)*Precificação!$B$20)</f>
        <v/>
      </c>
      <c r="U338" s="68" t="str">
        <f aca="false">IF($E338="","",IF($E338=INT($E338),0.01,IF($E338*2=INT($E338*2),0.02,0.05)))</f>
        <v/>
      </c>
      <c r="V338" s="30" t="str">
        <f aca="false">IF($E338="","",ROUND(S338/$E338/U338,0)*U338)</f>
        <v/>
      </c>
      <c r="W338" s="30" t="str">
        <f aca="false">IF($E338="","",ROUND(T338/$E338/U338,0)*U338)</f>
        <v/>
      </c>
      <c r="X338" s="14" t="str">
        <f aca="false">IF(NOT(ISNUMBER(E338)),"",IF(NOT(ISNUMBER(E339)),ROW(),X339))</f>
        <v/>
      </c>
    </row>
    <row r="339" customFormat="false" ht="15" hidden="false" customHeight="false" outlineLevel="0" collapsed="false">
      <c r="F339" s="66" t="str">
        <f aca="false">IF($E339="","",V339)</f>
        <v/>
      </c>
      <c r="G339" s="66" t="str">
        <f aca="false">IF($E339="","",ROUND(W339+IF($B339=Precificação!$B$26,$F$3/$E339,0),2))</f>
        <v/>
      </c>
      <c r="H339" s="30" t="str">
        <f aca="false">IF($E339="","",F339+G339)</f>
        <v/>
      </c>
      <c r="I339" s="30" t="str">
        <f aca="false">IF($E339="","",$E339*F339)</f>
        <v/>
      </c>
      <c r="J339" s="30" t="str">
        <f aca="false">IF($E339="","",$E339*G339)</f>
        <v/>
      </c>
      <c r="K339" s="30" t="str">
        <f aca="false">IF($E339="","",I339+J339)</f>
        <v/>
      </c>
      <c r="L339" s="53" t="str">
        <f aca="false">IF($E339="","",IF(R339=0,"SEM CUSTO — falta linha de custo","OK"))</f>
        <v/>
      </c>
      <c r="M339" s="67" t="str">
        <f aca="false">IF(AND(ISNUMBER(E339),NOT(ISNUMBER(E338))),"F"&amp;ROW()&amp;":G"&amp;X339,"")</f>
        <v/>
      </c>
      <c r="N339" s="30" t="str">
        <f aca="false">IF($E339="","",SUMIFS('Rateio Anexo'!$K$6:$K$600,'Rateio Anexo'!$D$6:$D$600,$B339,'Rateio Anexo'!$B$6:$B$600,"MAT"))</f>
        <v/>
      </c>
      <c r="O339" s="30" t="str">
        <f aca="false">IF($E339="","",SUMIFS('Rateio Anexo'!$K$6:$K$600,'Rateio Anexo'!$D$6:$D$600,$B339,'Rateio Anexo'!$B$6:$B$600,"MO"))</f>
        <v/>
      </c>
      <c r="P339" s="30" t="str">
        <f aca="false">IF($E339="","",IF($N$3=0,0,N339/$N$3*$R$4))</f>
        <v/>
      </c>
      <c r="Q339" s="30" t="str">
        <f aca="false">IF($E339="","",IF($O$3=0,0,O339/$O$3*$T$4))</f>
        <v/>
      </c>
      <c r="R339" s="30" t="str">
        <f aca="false">IF($E339="","",N339+O339+P339+Q339)</f>
        <v/>
      </c>
      <c r="S339" s="30" t="str">
        <f aca="false">IF($E339="","",(N339+P339)*Precificação!$B$19)</f>
        <v/>
      </c>
      <c r="T339" s="30" t="str">
        <f aca="false">IF($E339="","",(O339+Q339)*Precificação!$B$20)</f>
        <v/>
      </c>
      <c r="U339" s="68" t="str">
        <f aca="false">IF($E339="","",IF($E339=INT($E339),0.01,IF($E339*2=INT($E339*2),0.02,0.05)))</f>
        <v/>
      </c>
      <c r="V339" s="30" t="str">
        <f aca="false">IF($E339="","",ROUND(S339/$E339/U339,0)*U339)</f>
        <v/>
      </c>
      <c r="W339" s="30" t="str">
        <f aca="false">IF($E339="","",ROUND(T339/$E339/U339,0)*U339)</f>
        <v/>
      </c>
      <c r="X339" s="14" t="str">
        <f aca="false">IF(NOT(ISNUMBER(E339)),"",IF(NOT(ISNUMBER(E340)),ROW(),X340))</f>
        <v/>
      </c>
    </row>
    <row r="340" customFormat="false" ht="15" hidden="false" customHeight="false" outlineLevel="0" collapsed="false">
      <c r="F340" s="66" t="str">
        <f aca="false">IF($E340="","",V340)</f>
        <v/>
      </c>
      <c r="G340" s="66" t="str">
        <f aca="false">IF($E340="","",ROUND(W340+IF($B340=Precificação!$B$26,$F$3/$E340,0),2))</f>
        <v/>
      </c>
      <c r="H340" s="30" t="str">
        <f aca="false">IF($E340="","",F340+G340)</f>
        <v/>
      </c>
      <c r="I340" s="30" t="str">
        <f aca="false">IF($E340="","",$E340*F340)</f>
        <v/>
      </c>
      <c r="J340" s="30" t="str">
        <f aca="false">IF($E340="","",$E340*G340)</f>
        <v/>
      </c>
      <c r="K340" s="30" t="str">
        <f aca="false">IF($E340="","",I340+J340)</f>
        <v/>
      </c>
      <c r="L340" s="53" t="str">
        <f aca="false">IF($E340="","",IF(R340=0,"SEM CUSTO — falta linha de custo","OK"))</f>
        <v/>
      </c>
      <c r="M340" s="67" t="str">
        <f aca="false">IF(AND(ISNUMBER(E340),NOT(ISNUMBER(E339))),"F"&amp;ROW()&amp;":G"&amp;X340,"")</f>
        <v/>
      </c>
      <c r="N340" s="30" t="str">
        <f aca="false">IF($E340="","",SUMIFS('Rateio Anexo'!$K$6:$K$600,'Rateio Anexo'!$D$6:$D$600,$B340,'Rateio Anexo'!$B$6:$B$600,"MAT"))</f>
        <v/>
      </c>
      <c r="O340" s="30" t="str">
        <f aca="false">IF($E340="","",SUMIFS('Rateio Anexo'!$K$6:$K$600,'Rateio Anexo'!$D$6:$D$600,$B340,'Rateio Anexo'!$B$6:$B$600,"MO"))</f>
        <v/>
      </c>
      <c r="P340" s="30" t="str">
        <f aca="false">IF($E340="","",IF($N$3=0,0,N340/$N$3*$R$4))</f>
        <v/>
      </c>
      <c r="Q340" s="30" t="str">
        <f aca="false">IF($E340="","",IF($O$3=0,0,O340/$O$3*$T$4))</f>
        <v/>
      </c>
      <c r="R340" s="30" t="str">
        <f aca="false">IF($E340="","",N340+O340+P340+Q340)</f>
        <v/>
      </c>
      <c r="S340" s="30" t="str">
        <f aca="false">IF($E340="","",(N340+P340)*Precificação!$B$19)</f>
        <v/>
      </c>
      <c r="T340" s="30" t="str">
        <f aca="false">IF($E340="","",(O340+Q340)*Precificação!$B$20)</f>
        <v/>
      </c>
      <c r="U340" s="68" t="str">
        <f aca="false">IF($E340="","",IF($E340=INT($E340),0.01,IF($E340*2=INT($E340*2),0.02,0.05)))</f>
        <v/>
      </c>
      <c r="V340" s="30" t="str">
        <f aca="false">IF($E340="","",ROUND(S340/$E340/U340,0)*U340)</f>
        <v/>
      </c>
      <c r="W340" s="30" t="str">
        <f aca="false">IF($E340="","",ROUND(T340/$E340/U340,0)*U340)</f>
        <v/>
      </c>
      <c r="X340" s="14" t="str">
        <f aca="false">IF(NOT(ISNUMBER(E340)),"",IF(NOT(ISNUMBER(E341)),ROW(),X341))</f>
        <v/>
      </c>
    </row>
    <row r="341" customFormat="false" ht="15" hidden="false" customHeight="false" outlineLevel="0" collapsed="false">
      <c r="F341" s="66" t="str">
        <f aca="false">IF($E341="","",V341)</f>
        <v/>
      </c>
      <c r="G341" s="66" t="str">
        <f aca="false">IF($E341="","",ROUND(W341+IF($B341=Precificação!$B$26,$F$3/$E341,0),2))</f>
        <v/>
      </c>
      <c r="H341" s="30" t="str">
        <f aca="false">IF($E341="","",F341+G341)</f>
        <v/>
      </c>
      <c r="I341" s="30" t="str">
        <f aca="false">IF($E341="","",$E341*F341)</f>
        <v/>
      </c>
      <c r="J341" s="30" t="str">
        <f aca="false">IF($E341="","",$E341*G341)</f>
        <v/>
      </c>
      <c r="K341" s="30" t="str">
        <f aca="false">IF($E341="","",I341+J341)</f>
        <v/>
      </c>
      <c r="L341" s="53" t="str">
        <f aca="false">IF($E341="","",IF(R341=0,"SEM CUSTO — falta linha de custo","OK"))</f>
        <v/>
      </c>
      <c r="M341" s="67" t="str">
        <f aca="false">IF(AND(ISNUMBER(E341),NOT(ISNUMBER(E340))),"F"&amp;ROW()&amp;":G"&amp;X341,"")</f>
        <v/>
      </c>
      <c r="N341" s="30" t="str">
        <f aca="false">IF($E341="","",SUMIFS('Rateio Anexo'!$K$6:$K$600,'Rateio Anexo'!$D$6:$D$600,$B341,'Rateio Anexo'!$B$6:$B$600,"MAT"))</f>
        <v/>
      </c>
      <c r="O341" s="30" t="str">
        <f aca="false">IF($E341="","",SUMIFS('Rateio Anexo'!$K$6:$K$600,'Rateio Anexo'!$D$6:$D$600,$B341,'Rateio Anexo'!$B$6:$B$600,"MO"))</f>
        <v/>
      </c>
      <c r="P341" s="30" t="str">
        <f aca="false">IF($E341="","",IF($N$3=0,0,N341/$N$3*$R$4))</f>
        <v/>
      </c>
      <c r="Q341" s="30" t="str">
        <f aca="false">IF($E341="","",IF($O$3=0,0,O341/$O$3*$T$4))</f>
        <v/>
      </c>
      <c r="R341" s="30" t="str">
        <f aca="false">IF($E341="","",N341+O341+P341+Q341)</f>
        <v/>
      </c>
      <c r="S341" s="30" t="str">
        <f aca="false">IF($E341="","",(N341+P341)*Precificação!$B$19)</f>
        <v/>
      </c>
      <c r="T341" s="30" t="str">
        <f aca="false">IF($E341="","",(O341+Q341)*Precificação!$B$20)</f>
        <v/>
      </c>
      <c r="U341" s="68" t="str">
        <f aca="false">IF($E341="","",IF($E341=INT($E341),0.01,IF($E341*2=INT($E341*2),0.02,0.05)))</f>
        <v/>
      </c>
      <c r="V341" s="30" t="str">
        <f aca="false">IF($E341="","",ROUND(S341/$E341/U341,0)*U341)</f>
        <v/>
      </c>
      <c r="W341" s="30" t="str">
        <f aca="false">IF($E341="","",ROUND(T341/$E341/U341,0)*U341)</f>
        <v/>
      </c>
      <c r="X341" s="14" t="str">
        <f aca="false">IF(NOT(ISNUMBER(E341)),"",IF(NOT(ISNUMBER(E342)),ROW(),X342))</f>
        <v/>
      </c>
    </row>
    <row r="342" customFormat="false" ht="15" hidden="false" customHeight="false" outlineLevel="0" collapsed="false">
      <c r="F342" s="66" t="str">
        <f aca="false">IF($E342="","",V342)</f>
        <v/>
      </c>
      <c r="G342" s="66" t="str">
        <f aca="false">IF($E342="","",ROUND(W342+IF($B342=Precificação!$B$26,$F$3/$E342,0),2))</f>
        <v/>
      </c>
      <c r="H342" s="30" t="str">
        <f aca="false">IF($E342="","",F342+G342)</f>
        <v/>
      </c>
      <c r="I342" s="30" t="str">
        <f aca="false">IF($E342="","",$E342*F342)</f>
        <v/>
      </c>
      <c r="J342" s="30" t="str">
        <f aca="false">IF($E342="","",$E342*G342)</f>
        <v/>
      </c>
      <c r="K342" s="30" t="str">
        <f aca="false">IF($E342="","",I342+J342)</f>
        <v/>
      </c>
      <c r="L342" s="53" t="str">
        <f aca="false">IF($E342="","",IF(R342=0,"SEM CUSTO — falta linha de custo","OK"))</f>
        <v/>
      </c>
      <c r="M342" s="67" t="str">
        <f aca="false">IF(AND(ISNUMBER(E342),NOT(ISNUMBER(E341))),"F"&amp;ROW()&amp;":G"&amp;X342,"")</f>
        <v/>
      </c>
      <c r="N342" s="30" t="str">
        <f aca="false">IF($E342="","",SUMIFS('Rateio Anexo'!$K$6:$K$600,'Rateio Anexo'!$D$6:$D$600,$B342,'Rateio Anexo'!$B$6:$B$600,"MAT"))</f>
        <v/>
      </c>
      <c r="O342" s="30" t="str">
        <f aca="false">IF($E342="","",SUMIFS('Rateio Anexo'!$K$6:$K$600,'Rateio Anexo'!$D$6:$D$600,$B342,'Rateio Anexo'!$B$6:$B$600,"MO"))</f>
        <v/>
      </c>
      <c r="P342" s="30" t="str">
        <f aca="false">IF($E342="","",IF($N$3=0,0,N342/$N$3*$R$4))</f>
        <v/>
      </c>
      <c r="Q342" s="30" t="str">
        <f aca="false">IF($E342="","",IF($O$3=0,0,O342/$O$3*$T$4))</f>
        <v/>
      </c>
      <c r="R342" s="30" t="str">
        <f aca="false">IF($E342="","",N342+O342+P342+Q342)</f>
        <v/>
      </c>
      <c r="S342" s="30" t="str">
        <f aca="false">IF($E342="","",(N342+P342)*Precificação!$B$19)</f>
        <v/>
      </c>
      <c r="T342" s="30" t="str">
        <f aca="false">IF($E342="","",(O342+Q342)*Precificação!$B$20)</f>
        <v/>
      </c>
      <c r="U342" s="68" t="str">
        <f aca="false">IF($E342="","",IF($E342=INT($E342),0.01,IF($E342*2=INT($E342*2),0.02,0.05)))</f>
        <v/>
      </c>
      <c r="V342" s="30" t="str">
        <f aca="false">IF($E342="","",ROUND(S342/$E342/U342,0)*U342)</f>
        <v/>
      </c>
      <c r="W342" s="30" t="str">
        <f aca="false">IF($E342="","",ROUND(T342/$E342/U342,0)*U342)</f>
        <v/>
      </c>
      <c r="X342" s="14" t="str">
        <f aca="false">IF(NOT(ISNUMBER(E342)),"",IF(NOT(ISNUMBER(E343)),ROW(),X343))</f>
        <v/>
      </c>
    </row>
    <row r="343" customFormat="false" ht="15" hidden="false" customHeight="false" outlineLevel="0" collapsed="false">
      <c r="F343" s="66" t="str">
        <f aca="false">IF($E343="","",V343)</f>
        <v/>
      </c>
      <c r="G343" s="66" t="str">
        <f aca="false">IF($E343="","",ROUND(W343+IF($B343=Precificação!$B$26,$F$3/$E343,0),2))</f>
        <v/>
      </c>
      <c r="H343" s="30" t="str">
        <f aca="false">IF($E343="","",F343+G343)</f>
        <v/>
      </c>
      <c r="I343" s="30" t="str">
        <f aca="false">IF($E343="","",$E343*F343)</f>
        <v/>
      </c>
      <c r="J343" s="30" t="str">
        <f aca="false">IF($E343="","",$E343*G343)</f>
        <v/>
      </c>
      <c r="K343" s="30" t="str">
        <f aca="false">IF($E343="","",I343+J343)</f>
        <v/>
      </c>
      <c r="L343" s="53" t="str">
        <f aca="false">IF($E343="","",IF(R343=0,"SEM CUSTO — falta linha de custo","OK"))</f>
        <v/>
      </c>
      <c r="M343" s="67" t="str">
        <f aca="false">IF(AND(ISNUMBER(E343),NOT(ISNUMBER(E342))),"F"&amp;ROW()&amp;":G"&amp;X343,"")</f>
        <v/>
      </c>
      <c r="N343" s="30" t="str">
        <f aca="false">IF($E343="","",SUMIFS('Rateio Anexo'!$K$6:$K$600,'Rateio Anexo'!$D$6:$D$600,$B343,'Rateio Anexo'!$B$6:$B$600,"MAT"))</f>
        <v/>
      </c>
      <c r="O343" s="30" t="str">
        <f aca="false">IF($E343="","",SUMIFS('Rateio Anexo'!$K$6:$K$600,'Rateio Anexo'!$D$6:$D$600,$B343,'Rateio Anexo'!$B$6:$B$600,"MO"))</f>
        <v/>
      </c>
      <c r="P343" s="30" t="str">
        <f aca="false">IF($E343="","",IF($N$3=0,0,N343/$N$3*$R$4))</f>
        <v/>
      </c>
      <c r="Q343" s="30" t="str">
        <f aca="false">IF($E343="","",IF($O$3=0,0,O343/$O$3*$T$4))</f>
        <v/>
      </c>
      <c r="R343" s="30" t="str">
        <f aca="false">IF($E343="","",N343+O343+P343+Q343)</f>
        <v/>
      </c>
      <c r="S343" s="30" t="str">
        <f aca="false">IF($E343="","",(N343+P343)*Precificação!$B$19)</f>
        <v/>
      </c>
      <c r="T343" s="30" t="str">
        <f aca="false">IF($E343="","",(O343+Q343)*Precificação!$B$20)</f>
        <v/>
      </c>
      <c r="U343" s="68" t="str">
        <f aca="false">IF($E343="","",IF($E343=INT($E343),0.01,IF($E343*2=INT($E343*2),0.02,0.05)))</f>
        <v/>
      </c>
      <c r="V343" s="30" t="str">
        <f aca="false">IF($E343="","",ROUND(S343/$E343/U343,0)*U343)</f>
        <v/>
      </c>
      <c r="W343" s="30" t="str">
        <f aca="false">IF($E343="","",ROUND(T343/$E343/U343,0)*U343)</f>
        <v/>
      </c>
      <c r="X343" s="14" t="str">
        <f aca="false">IF(NOT(ISNUMBER(E343)),"",IF(NOT(ISNUMBER(E344)),ROW(),X344))</f>
        <v/>
      </c>
    </row>
    <row r="344" customFormat="false" ht="15" hidden="false" customHeight="false" outlineLevel="0" collapsed="false">
      <c r="F344" s="66" t="str">
        <f aca="false">IF($E344="","",V344)</f>
        <v/>
      </c>
      <c r="G344" s="66" t="str">
        <f aca="false">IF($E344="","",ROUND(W344+IF($B344=Precificação!$B$26,$F$3/$E344,0),2))</f>
        <v/>
      </c>
      <c r="H344" s="30" t="str">
        <f aca="false">IF($E344="","",F344+G344)</f>
        <v/>
      </c>
      <c r="I344" s="30" t="str">
        <f aca="false">IF($E344="","",$E344*F344)</f>
        <v/>
      </c>
      <c r="J344" s="30" t="str">
        <f aca="false">IF($E344="","",$E344*G344)</f>
        <v/>
      </c>
      <c r="K344" s="30" t="str">
        <f aca="false">IF($E344="","",I344+J344)</f>
        <v/>
      </c>
      <c r="L344" s="53" t="str">
        <f aca="false">IF($E344="","",IF(R344=0,"SEM CUSTO — falta linha de custo","OK"))</f>
        <v/>
      </c>
      <c r="M344" s="67" t="str">
        <f aca="false">IF(AND(ISNUMBER(E344),NOT(ISNUMBER(E343))),"F"&amp;ROW()&amp;":G"&amp;X344,"")</f>
        <v/>
      </c>
      <c r="N344" s="30" t="str">
        <f aca="false">IF($E344="","",SUMIFS('Rateio Anexo'!$K$6:$K$600,'Rateio Anexo'!$D$6:$D$600,$B344,'Rateio Anexo'!$B$6:$B$600,"MAT"))</f>
        <v/>
      </c>
      <c r="O344" s="30" t="str">
        <f aca="false">IF($E344="","",SUMIFS('Rateio Anexo'!$K$6:$K$600,'Rateio Anexo'!$D$6:$D$600,$B344,'Rateio Anexo'!$B$6:$B$600,"MO"))</f>
        <v/>
      </c>
      <c r="P344" s="30" t="str">
        <f aca="false">IF($E344="","",IF($N$3=0,0,N344/$N$3*$R$4))</f>
        <v/>
      </c>
      <c r="Q344" s="30" t="str">
        <f aca="false">IF($E344="","",IF($O$3=0,0,O344/$O$3*$T$4))</f>
        <v/>
      </c>
      <c r="R344" s="30" t="str">
        <f aca="false">IF($E344="","",N344+O344+P344+Q344)</f>
        <v/>
      </c>
      <c r="S344" s="30" t="str">
        <f aca="false">IF($E344="","",(N344+P344)*Precificação!$B$19)</f>
        <v/>
      </c>
      <c r="T344" s="30" t="str">
        <f aca="false">IF($E344="","",(O344+Q344)*Precificação!$B$20)</f>
        <v/>
      </c>
      <c r="U344" s="68" t="str">
        <f aca="false">IF($E344="","",IF($E344=INT($E344),0.01,IF($E344*2=INT($E344*2),0.02,0.05)))</f>
        <v/>
      </c>
      <c r="V344" s="30" t="str">
        <f aca="false">IF($E344="","",ROUND(S344/$E344/U344,0)*U344)</f>
        <v/>
      </c>
      <c r="W344" s="30" t="str">
        <f aca="false">IF($E344="","",ROUND(T344/$E344/U344,0)*U344)</f>
        <v/>
      </c>
      <c r="X344" s="14" t="str">
        <f aca="false">IF(NOT(ISNUMBER(E344)),"",IF(NOT(ISNUMBER(E345)),ROW(),X345))</f>
        <v/>
      </c>
    </row>
    <row r="345" customFormat="false" ht="15" hidden="false" customHeight="false" outlineLevel="0" collapsed="false">
      <c r="F345" s="66" t="str">
        <f aca="false">IF($E345="","",V345)</f>
        <v/>
      </c>
      <c r="G345" s="66" t="str">
        <f aca="false">IF($E345="","",ROUND(W345+IF($B345=Precificação!$B$26,$F$3/$E345,0),2))</f>
        <v/>
      </c>
      <c r="H345" s="30" t="str">
        <f aca="false">IF($E345="","",F345+G345)</f>
        <v/>
      </c>
      <c r="I345" s="30" t="str">
        <f aca="false">IF($E345="","",$E345*F345)</f>
        <v/>
      </c>
      <c r="J345" s="30" t="str">
        <f aca="false">IF($E345="","",$E345*G345)</f>
        <v/>
      </c>
      <c r="K345" s="30" t="str">
        <f aca="false">IF($E345="","",I345+J345)</f>
        <v/>
      </c>
      <c r="L345" s="53" t="str">
        <f aca="false">IF($E345="","",IF(R345=0,"SEM CUSTO — falta linha de custo","OK"))</f>
        <v/>
      </c>
      <c r="M345" s="67" t="str">
        <f aca="false">IF(AND(ISNUMBER(E345),NOT(ISNUMBER(E344))),"F"&amp;ROW()&amp;":G"&amp;X345,"")</f>
        <v/>
      </c>
      <c r="N345" s="30" t="str">
        <f aca="false">IF($E345="","",SUMIFS('Rateio Anexo'!$K$6:$K$600,'Rateio Anexo'!$D$6:$D$600,$B345,'Rateio Anexo'!$B$6:$B$600,"MAT"))</f>
        <v/>
      </c>
      <c r="O345" s="30" t="str">
        <f aca="false">IF($E345="","",SUMIFS('Rateio Anexo'!$K$6:$K$600,'Rateio Anexo'!$D$6:$D$600,$B345,'Rateio Anexo'!$B$6:$B$600,"MO"))</f>
        <v/>
      </c>
      <c r="P345" s="30" t="str">
        <f aca="false">IF($E345="","",IF($N$3=0,0,N345/$N$3*$R$4))</f>
        <v/>
      </c>
      <c r="Q345" s="30" t="str">
        <f aca="false">IF($E345="","",IF($O$3=0,0,O345/$O$3*$T$4))</f>
        <v/>
      </c>
      <c r="R345" s="30" t="str">
        <f aca="false">IF($E345="","",N345+O345+P345+Q345)</f>
        <v/>
      </c>
      <c r="S345" s="30" t="str">
        <f aca="false">IF($E345="","",(N345+P345)*Precificação!$B$19)</f>
        <v/>
      </c>
      <c r="T345" s="30" t="str">
        <f aca="false">IF($E345="","",(O345+Q345)*Precificação!$B$20)</f>
        <v/>
      </c>
      <c r="U345" s="68" t="str">
        <f aca="false">IF($E345="","",IF($E345=INT($E345),0.01,IF($E345*2=INT($E345*2),0.02,0.05)))</f>
        <v/>
      </c>
      <c r="V345" s="30" t="str">
        <f aca="false">IF($E345="","",ROUND(S345/$E345/U345,0)*U345)</f>
        <v/>
      </c>
      <c r="W345" s="30" t="str">
        <f aca="false">IF($E345="","",ROUND(T345/$E345/U345,0)*U345)</f>
        <v/>
      </c>
      <c r="X345" s="14" t="str">
        <f aca="false">IF(NOT(ISNUMBER(E345)),"",IF(NOT(ISNUMBER(E346)),ROW(),X346))</f>
        <v/>
      </c>
    </row>
    <row r="346" customFormat="false" ht="15" hidden="false" customHeight="false" outlineLevel="0" collapsed="false">
      <c r="F346" s="66" t="str">
        <f aca="false">IF($E346="","",V346)</f>
        <v/>
      </c>
      <c r="G346" s="66" t="str">
        <f aca="false">IF($E346="","",ROUND(W346+IF($B346=Precificação!$B$26,$F$3/$E346,0),2))</f>
        <v/>
      </c>
      <c r="H346" s="30" t="str">
        <f aca="false">IF($E346="","",F346+G346)</f>
        <v/>
      </c>
      <c r="I346" s="30" t="str">
        <f aca="false">IF($E346="","",$E346*F346)</f>
        <v/>
      </c>
      <c r="J346" s="30" t="str">
        <f aca="false">IF($E346="","",$E346*G346)</f>
        <v/>
      </c>
      <c r="K346" s="30" t="str">
        <f aca="false">IF($E346="","",I346+J346)</f>
        <v/>
      </c>
      <c r="L346" s="53" t="str">
        <f aca="false">IF($E346="","",IF(R346=0,"SEM CUSTO — falta linha de custo","OK"))</f>
        <v/>
      </c>
      <c r="M346" s="67" t="str">
        <f aca="false">IF(AND(ISNUMBER(E346),NOT(ISNUMBER(E345))),"F"&amp;ROW()&amp;":G"&amp;X346,"")</f>
        <v/>
      </c>
      <c r="N346" s="30" t="str">
        <f aca="false">IF($E346="","",SUMIFS('Rateio Anexo'!$K$6:$K$600,'Rateio Anexo'!$D$6:$D$600,$B346,'Rateio Anexo'!$B$6:$B$600,"MAT"))</f>
        <v/>
      </c>
      <c r="O346" s="30" t="str">
        <f aca="false">IF($E346="","",SUMIFS('Rateio Anexo'!$K$6:$K$600,'Rateio Anexo'!$D$6:$D$600,$B346,'Rateio Anexo'!$B$6:$B$600,"MO"))</f>
        <v/>
      </c>
      <c r="P346" s="30" t="str">
        <f aca="false">IF($E346="","",IF($N$3=0,0,N346/$N$3*$R$4))</f>
        <v/>
      </c>
      <c r="Q346" s="30" t="str">
        <f aca="false">IF($E346="","",IF($O$3=0,0,O346/$O$3*$T$4))</f>
        <v/>
      </c>
      <c r="R346" s="30" t="str">
        <f aca="false">IF($E346="","",N346+O346+P346+Q346)</f>
        <v/>
      </c>
      <c r="S346" s="30" t="str">
        <f aca="false">IF($E346="","",(N346+P346)*Precificação!$B$19)</f>
        <v/>
      </c>
      <c r="T346" s="30" t="str">
        <f aca="false">IF($E346="","",(O346+Q346)*Precificação!$B$20)</f>
        <v/>
      </c>
      <c r="U346" s="68" t="str">
        <f aca="false">IF($E346="","",IF($E346=INT($E346),0.01,IF($E346*2=INT($E346*2),0.02,0.05)))</f>
        <v/>
      </c>
      <c r="V346" s="30" t="str">
        <f aca="false">IF($E346="","",ROUND(S346/$E346/U346,0)*U346)</f>
        <v/>
      </c>
      <c r="W346" s="30" t="str">
        <f aca="false">IF($E346="","",ROUND(T346/$E346/U346,0)*U346)</f>
        <v/>
      </c>
      <c r="X346" s="14" t="str">
        <f aca="false">IF(NOT(ISNUMBER(E346)),"",IF(NOT(ISNUMBER(E347)),ROW(),X347))</f>
        <v/>
      </c>
    </row>
    <row r="347" customFormat="false" ht="15" hidden="false" customHeight="false" outlineLevel="0" collapsed="false">
      <c r="F347" s="66" t="str">
        <f aca="false">IF($E347="","",V347)</f>
        <v/>
      </c>
      <c r="G347" s="66" t="str">
        <f aca="false">IF($E347="","",ROUND(W347+IF($B347=Precificação!$B$26,$F$3/$E347,0),2))</f>
        <v/>
      </c>
      <c r="H347" s="30" t="str">
        <f aca="false">IF($E347="","",F347+G347)</f>
        <v/>
      </c>
      <c r="I347" s="30" t="str">
        <f aca="false">IF($E347="","",$E347*F347)</f>
        <v/>
      </c>
      <c r="J347" s="30" t="str">
        <f aca="false">IF($E347="","",$E347*G347)</f>
        <v/>
      </c>
      <c r="K347" s="30" t="str">
        <f aca="false">IF($E347="","",I347+J347)</f>
        <v/>
      </c>
      <c r="L347" s="53" t="str">
        <f aca="false">IF($E347="","",IF(R347=0,"SEM CUSTO — falta linha de custo","OK"))</f>
        <v/>
      </c>
      <c r="M347" s="67" t="str">
        <f aca="false">IF(AND(ISNUMBER(E347),NOT(ISNUMBER(E346))),"F"&amp;ROW()&amp;":G"&amp;X347,"")</f>
        <v/>
      </c>
      <c r="N347" s="30" t="str">
        <f aca="false">IF($E347="","",SUMIFS('Rateio Anexo'!$K$6:$K$600,'Rateio Anexo'!$D$6:$D$600,$B347,'Rateio Anexo'!$B$6:$B$600,"MAT"))</f>
        <v/>
      </c>
      <c r="O347" s="30" t="str">
        <f aca="false">IF($E347="","",SUMIFS('Rateio Anexo'!$K$6:$K$600,'Rateio Anexo'!$D$6:$D$600,$B347,'Rateio Anexo'!$B$6:$B$600,"MO"))</f>
        <v/>
      </c>
      <c r="P347" s="30" t="str">
        <f aca="false">IF($E347="","",IF($N$3=0,0,N347/$N$3*$R$4))</f>
        <v/>
      </c>
      <c r="Q347" s="30" t="str">
        <f aca="false">IF($E347="","",IF($O$3=0,0,O347/$O$3*$T$4))</f>
        <v/>
      </c>
      <c r="R347" s="30" t="str">
        <f aca="false">IF($E347="","",N347+O347+P347+Q347)</f>
        <v/>
      </c>
      <c r="S347" s="30" t="str">
        <f aca="false">IF($E347="","",(N347+P347)*Precificação!$B$19)</f>
        <v/>
      </c>
      <c r="T347" s="30" t="str">
        <f aca="false">IF($E347="","",(O347+Q347)*Precificação!$B$20)</f>
        <v/>
      </c>
      <c r="U347" s="68" t="str">
        <f aca="false">IF($E347="","",IF($E347=INT($E347),0.01,IF($E347*2=INT($E347*2),0.02,0.05)))</f>
        <v/>
      </c>
      <c r="V347" s="30" t="str">
        <f aca="false">IF($E347="","",ROUND(S347/$E347/U347,0)*U347)</f>
        <v/>
      </c>
      <c r="W347" s="30" t="str">
        <f aca="false">IF($E347="","",ROUND(T347/$E347/U347,0)*U347)</f>
        <v/>
      </c>
      <c r="X347" s="14" t="str">
        <f aca="false">IF(NOT(ISNUMBER(E347)),"",IF(NOT(ISNUMBER(E348)),ROW(),X348))</f>
        <v/>
      </c>
    </row>
    <row r="348" customFormat="false" ht="15" hidden="false" customHeight="false" outlineLevel="0" collapsed="false">
      <c r="F348" s="66" t="str">
        <f aca="false">IF($E348="","",V348)</f>
        <v/>
      </c>
      <c r="G348" s="66" t="str">
        <f aca="false">IF($E348="","",ROUND(W348+IF($B348=Precificação!$B$26,$F$3/$E348,0),2))</f>
        <v/>
      </c>
      <c r="H348" s="30" t="str">
        <f aca="false">IF($E348="","",F348+G348)</f>
        <v/>
      </c>
      <c r="I348" s="30" t="str">
        <f aca="false">IF($E348="","",$E348*F348)</f>
        <v/>
      </c>
      <c r="J348" s="30" t="str">
        <f aca="false">IF($E348="","",$E348*G348)</f>
        <v/>
      </c>
      <c r="K348" s="30" t="str">
        <f aca="false">IF($E348="","",I348+J348)</f>
        <v/>
      </c>
      <c r="L348" s="53" t="str">
        <f aca="false">IF($E348="","",IF(R348=0,"SEM CUSTO — falta linha de custo","OK"))</f>
        <v/>
      </c>
      <c r="M348" s="67" t="str">
        <f aca="false">IF(AND(ISNUMBER(E348),NOT(ISNUMBER(E347))),"F"&amp;ROW()&amp;":G"&amp;X348,"")</f>
        <v/>
      </c>
      <c r="N348" s="30" t="str">
        <f aca="false">IF($E348="","",SUMIFS('Rateio Anexo'!$K$6:$K$600,'Rateio Anexo'!$D$6:$D$600,$B348,'Rateio Anexo'!$B$6:$B$600,"MAT"))</f>
        <v/>
      </c>
      <c r="O348" s="30" t="str">
        <f aca="false">IF($E348="","",SUMIFS('Rateio Anexo'!$K$6:$K$600,'Rateio Anexo'!$D$6:$D$600,$B348,'Rateio Anexo'!$B$6:$B$600,"MO"))</f>
        <v/>
      </c>
      <c r="P348" s="30" t="str">
        <f aca="false">IF($E348="","",IF($N$3=0,0,N348/$N$3*$R$4))</f>
        <v/>
      </c>
      <c r="Q348" s="30" t="str">
        <f aca="false">IF($E348="","",IF($O$3=0,0,O348/$O$3*$T$4))</f>
        <v/>
      </c>
      <c r="R348" s="30" t="str">
        <f aca="false">IF($E348="","",N348+O348+P348+Q348)</f>
        <v/>
      </c>
      <c r="S348" s="30" t="str">
        <f aca="false">IF($E348="","",(N348+P348)*Precificação!$B$19)</f>
        <v/>
      </c>
      <c r="T348" s="30" t="str">
        <f aca="false">IF($E348="","",(O348+Q348)*Precificação!$B$20)</f>
        <v/>
      </c>
      <c r="U348" s="68" t="str">
        <f aca="false">IF($E348="","",IF($E348=INT($E348),0.01,IF($E348*2=INT($E348*2),0.02,0.05)))</f>
        <v/>
      </c>
      <c r="V348" s="30" t="str">
        <f aca="false">IF($E348="","",ROUND(S348/$E348/U348,0)*U348)</f>
        <v/>
      </c>
      <c r="W348" s="30" t="str">
        <f aca="false">IF($E348="","",ROUND(T348/$E348/U348,0)*U348)</f>
        <v/>
      </c>
      <c r="X348" s="14" t="str">
        <f aca="false">IF(NOT(ISNUMBER(E348)),"",IF(NOT(ISNUMBER(E349)),ROW(),X349))</f>
        <v/>
      </c>
    </row>
    <row r="349" customFormat="false" ht="15" hidden="false" customHeight="false" outlineLevel="0" collapsed="false">
      <c r="F349" s="66" t="str">
        <f aca="false">IF($E349="","",V349)</f>
        <v/>
      </c>
      <c r="G349" s="66" t="str">
        <f aca="false">IF($E349="","",ROUND(W349+IF($B349=Precificação!$B$26,$F$3/$E349,0),2))</f>
        <v/>
      </c>
      <c r="H349" s="30" t="str">
        <f aca="false">IF($E349="","",F349+G349)</f>
        <v/>
      </c>
      <c r="I349" s="30" t="str">
        <f aca="false">IF($E349="","",$E349*F349)</f>
        <v/>
      </c>
      <c r="J349" s="30" t="str">
        <f aca="false">IF($E349="","",$E349*G349)</f>
        <v/>
      </c>
      <c r="K349" s="30" t="str">
        <f aca="false">IF($E349="","",I349+J349)</f>
        <v/>
      </c>
      <c r="L349" s="53" t="str">
        <f aca="false">IF($E349="","",IF(R349=0,"SEM CUSTO — falta linha de custo","OK"))</f>
        <v/>
      </c>
      <c r="M349" s="67" t="str">
        <f aca="false">IF(AND(ISNUMBER(E349),NOT(ISNUMBER(E348))),"F"&amp;ROW()&amp;":G"&amp;X349,"")</f>
        <v/>
      </c>
      <c r="N349" s="30" t="str">
        <f aca="false">IF($E349="","",SUMIFS('Rateio Anexo'!$K$6:$K$600,'Rateio Anexo'!$D$6:$D$600,$B349,'Rateio Anexo'!$B$6:$B$600,"MAT"))</f>
        <v/>
      </c>
      <c r="O349" s="30" t="str">
        <f aca="false">IF($E349="","",SUMIFS('Rateio Anexo'!$K$6:$K$600,'Rateio Anexo'!$D$6:$D$600,$B349,'Rateio Anexo'!$B$6:$B$600,"MO"))</f>
        <v/>
      </c>
      <c r="P349" s="30" t="str">
        <f aca="false">IF($E349="","",IF($N$3=0,0,N349/$N$3*$R$4))</f>
        <v/>
      </c>
      <c r="Q349" s="30" t="str">
        <f aca="false">IF($E349="","",IF($O$3=0,0,O349/$O$3*$T$4))</f>
        <v/>
      </c>
      <c r="R349" s="30" t="str">
        <f aca="false">IF($E349="","",N349+O349+P349+Q349)</f>
        <v/>
      </c>
      <c r="S349" s="30" t="str">
        <f aca="false">IF($E349="","",(N349+P349)*Precificação!$B$19)</f>
        <v/>
      </c>
      <c r="T349" s="30" t="str">
        <f aca="false">IF($E349="","",(O349+Q349)*Precificação!$B$20)</f>
        <v/>
      </c>
      <c r="U349" s="68" t="str">
        <f aca="false">IF($E349="","",IF($E349=INT($E349),0.01,IF($E349*2=INT($E349*2),0.02,0.05)))</f>
        <v/>
      </c>
      <c r="V349" s="30" t="str">
        <f aca="false">IF($E349="","",ROUND(S349/$E349/U349,0)*U349)</f>
        <v/>
      </c>
      <c r="W349" s="30" t="str">
        <f aca="false">IF($E349="","",ROUND(T349/$E349/U349,0)*U349)</f>
        <v/>
      </c>
      <c r="X349" s="14" t="str">
        <f aca="false">IF(NOT(ISNUMBER(E349)),"",IF(NOT(ISNUMBER(E350)),ROW(),X350))</f>
        <v/>
      </c>
    </row>
    <row r="350" customFormat="false" ht="15" hidden="false" customHeight="false" outlineLevel="0" collapsed="false">
      <c r="F350" s="66" t="str">
        <f aca="false">IF($E350="","",V350)</f>
        <v/>
      </c>
      <c r="G350" s="66" t="str">
        <f aca="false">IF($E350="","",ROUND(W350+IF($B350=Precificação!$B$26,$F$3/$E350,0),2))</f>
        <v/>
      </c>
      <c r="H350" s="30" t="str">
        <f aca="false">IF($E350="","",F350+G350)</f>
        <v/>
      </c>
      <c r="I350" s="30" t="str">
        <f aca="false">IF($E350="","",$E350*F350)</f>
        <v/>
      </c>
      <c r="J350" s="30" t="str">
        <f aca="false">IF($E350="","",$E350*G350)</f>
        <v/>
      </c>
      <c r="K350" s="30" t="str">
        <f aca="false">IF($E350="","",I350+J350)</f>
        <v/>
      </c>
      <c r="L350" s="53" t="str">
        <f aca="false">IF($E350="","",IF(R350=0,"SEM CUSTO — falta linha de custo","OK"))</f>
        <v/>
      </c>
      <c r="M350" s="67" t="str">
        <f aca="false">IF(AND(ISNUMBER(E350),NOT(ISNUMBER(E349))),"F"&amp;ROW()&amp;":G"&amp;X350,"")</f>
        <v/>
      </c>
      <c r="N350" s="30" t="str">
        <f aca="false">IF($E350="","",SUMIFS('Rateio Anexo'!$K$6:$K$600,'Rateio Anexo'!$D$6:$D$600,$B350,'Rateio Anexo'!$B$6:$B$600,"MAT"))</f>
        <v/>
      </c>
      <c r="O350" s="30" t="str">
        <f aca="false">IF($E350="","",SUMIFS('Rateio Anexo'!$K$6:$K$600,'Rateio Anexo'!$D$6:$D$600,$B350,'Rateio Anexo'!$B$6:$B$600,"MO"))</f>
        <v/>
      </c>
      <c r="P350" s="30" t="str">
        <f aca="false">IF($E350="","",IF($N$3=0,0,N350/$N$3*$R$4))</f>
        <v/>
      </c>
      <c r="Q350" s="30" t="str">
        <f aca="false">IF($E350="","",IF($O$3=0,0,O350/$O$3*$T$4))</f>
        <v/>
      </c>
      <c r="R350" s="30" t="str">
        <f aca="false">IF($E350="","",N350+O350+P350+Q350)</f>
        <v/>
      </c>
      <c r="S350" s="30" t="str">
        <f aca="false">IF($E350="","",(N350+P350)*Precificação!$B$19)</f>
        <v/>
      </c>
      <c r="T350" s="30" t="str">
        <f aca="false">IF($E350="","",(O350+Q350)*Precificação!$B$20)</f>
        <v/>
      </c>
      <c r="U350" s="68" t="str">
        <f aca="false">IF($E350="","",IF($E350=INT($E350),0.01,IF($E350*2=INT($E350*2),0.02,0.05)))</f>
        <v/>
      </c>
      <c r="V350" s="30" t="str">
        <f aca="false">IF($E350="","",ROUND(S350/$E350/U350,0)*U350)</f>
        <v/>
      </c>
      <c r="W350" s="30" t="str">
        <f aca="false">IF($E350="","",ROUND(T350/$E350/U350,0)*U350)</f>
        <v/>
      </c>
      <c r="X350" s="14" t="str">
        <f aca="false">IF(NOT(ISNUMBER(E350)),"",IF(NOT(ISNUMBER(E351)),ROW(),X351))</f>
        <v/>
      </c>
    </row>
    <row r="351" customFormat="false" ht="15" hidden="false" customHeight="false" outlineLevel="0" collapsed="false">
      <c r="F351" s="66" t="str">
        <f aca="false">IF($E351="","",V351)</f>
        <v/>
      </c>
      <c r="G351" s="66" t="str">
        <f aca="false">IF($E351="","",ROUND(W351+IF($B351=Precificação!$B$26,$F$3/$E351,0),2))</f>
        <v/>
      </c>
      <c r="H351" s="30" t="str">
        <f aca="false">IF($E351="","",F351+G351)</f>
        <v/>
      </c>
      <c r="I351" s="30" t="str">
        <f aca="false">IF($E351="","",$E351*F351)</f>
        <v/>
      </c>
      <c r="J351" s="30" t="str">
        <f aca="false">IF($E351="","",$E351*G351)</f>
        <v/>
      </c>
      <c r="K351" s="30" t="str">
        <f aca="false">IF($E351="","",I351+J351)</f>
        <v/>
      </c>
      <c r="L351" s="53" t="str">
        <f aca="false">IF($E351="","",IF(R351=0,"SEM CUSTO — falta linha de custo","OK"))</f>
        <v/>
      </c>
      <c r="M351" s="67" t="str">
        <f aca="false">IF(AND(ISNUMBER(E351),NOT(ISNUMBER(E350))),"F"&amp;ROW()&amp;":G"&amp;X351,"")</f>
        <v/>
      </c>
      <c r="N351" s="30" t="str">
        <f aca="false">IF($E351="","",SUMIFS('Rateio Anexo'!$K$6:$K$600,'Rateio Anexo'!$D$6:$D$600,$B351,'Rateio Anexo'!$B$6:$B$600,"MAT"))</f>
        <v/>
      </c>
      <c r="O351" s="30" t="str">
        <f aca="false">IF($E351="","",SUMIFS('Rateio Anexo'!$K$6:$K$600,'Rateio Anexo'!$D$6:$D$600,$B351,'Rateio Anexo'!$B$6:$B$600,"MO"))</f>
        <v/>
      </c>
      <c r="P351" s="30" t="str">
        <f aca="false">IF($E351="","",IF($N$3=0,0,N351/$N$3*$R$4))</f>
        <v/>
      </c>
      <c r="Q351" s="30" t="str">
        <f aca="false">IF($E351="","",IF($O$3=0,0,O351/$O$3*$T$4))</f>
        <v/>
      </c>
      <c r="R351" s="30" t="str">
        <f aca="false">IF($E351="","",N351+O351+P351+Q351)</f>
        <v/>
      </c>
      <c r="S351" s="30" t="str">
        <f aca="false">IF($E351="","",(N351+P351)*Precificação!$B$19)</f>
        <v/>
      </c>
      <c r="T351" s="30" t="str">
        <f aca="false">IF($E351="","",(O351+Q351)*Precificação!$B$20)</f>
        <v/>
      </c>
      <c r="U351" s="68" t="str">
        <f aca="false">IF($E351="","",IF($E351=INT($E351),0.01,IF($E351*2=INT($E351*2),0.02,0.05)))</f>
        <v/>
      </c>
      <c r="V351" s="30" t="str">
        <f aca="false">IF($E351="","",ROUND(S351/$E351/U351,0)*U351)</f>
        <v/>
      </c>
      <c r="W351" s="30" t="str">
        <f aca="false">IF($E351="","",ROUND(T351/$E351/U351,0)*U351)</f>
        <v/>
      </c>
      <c r="X351" s="14" t="str">
        <f aca="false">IF(NOT(ISNUMBER(E351)),"",IF(NOT(ISNUMBER(E352)),ROW(),X352))</f>
        <v/>
      </c>
    </row>
    <row r="352" customFormat="false" ht="15" hidden="false" customHeight="false" outlineLevel="0" collapsed="false">
      <c r="F352" s="66" t="str">
        <f aca="false">IF($E352="","",V352)</f>
        <v/>
      </c>
      <c r="G352" s="66" t="str">
        <f aca="false">IF($E352="","",ROUND(W352+IF($B352=Precificação!$B$26,$F$3/$E352,0),2))</f>
        <v/>
      </c>
      <c r="H352" s="30" t="str">
        <f aca="false">IF($E352="","",F352+G352)</f>
        <v/>
      </c>
      <c r="I352" s="30" t="str">
        <f aca="false">IF($E352="","",$E352*F352)</f>
        <v/>
      </c>
      <c r="J352" s="30" t="str">
        <f aca="false">IF($E352="","",$E352*G352)</f>
        <v/>
      </c>
      <c r="K352" s="30" t="str">
        <f aca="false">IF($E352="","",I352+J352)</f>
        <v/>
      </c>
      <c r="L352" s="53" t="str">
        <f aca="false">IF($E352="","",IF(R352=0,"SEM CUSTO — falta linha de custo","OK"))</f>
        <v/>
      </c>
      <c r="M352" s="67" t="str">
        <f aca="false">IF(AND(ISNUMBER(E352),NOT(ISNUMBER(E351))),"F"&amp;ROW()&amp;":G"&amp;X352,"")</f>
        <v/>
      </c>
      <c r="N352" s="30" t="str">
        <f aca="false">IF($E352="","",SUMIFS('Rateio Anexo'!$K$6:$K$600,'Rateio Anexo'!$D$6:$D$600,$B352,'Rateio Anexo'!$B$6:$B$600,"MAT"))</f>
        <v/>
      </c>
      <c r="O352" s="30" t="str">
        <f aca="false">IF($E352="","",SUMIFS('Rateio Anexo'!$K$6:$K$600,'Rateio Anexo'!$D$6:$D$600,$B352,'Rateio Anexo'!$B$6:$B$600,"MO"))</f>
        <v/>
      </c>
      <c r="P352" s="30" t="str">
        <f aca="false">IF($E352="","",IF($N$3=0,0,N352/$N$3*$R$4))</f>
        <v/>
      </c>
      <c r="Q352" s="30" t="str">
        <f aca="false">IF($E352="","",IF($O$3=0,0,O352/$O$3*$T$4))</f>
        <v/>
      </c>
      <c r="R352" s="30" t="str">
        <f aca="false">IF($E352="","",N352+O352+P352+Q352)</f>
        <v/>
      </c>
      <c r="S352" s="30" t="str">
        <f aca="false">IF($E352="","",(N352+P352)*Precificação!$B$19)</f>
        <v/>
      </c>
      <c r="T352" s="30" t="str">
        <f aca="false">IF($E352="","",(O352+Q352)*Precificação!$B$20)</f>
        <v/>
      </c>
      <c r="U352" s="68" t="str">
        <f aca="false">IF($E352="","",IF($E352=INT($E352),0.01,IF($E352*2=INT($E352*2),0.02,0.05)))</f>
        <v/>
      </c>
      <c r="V352" s="30" t="str">
        <f aca="false">IF($E352="","",ROUND(S352/$E352/U352,0)*U352)</f>
        <v/>
      </c>
      <c r="W352" s="30" t="str">
        <f aca="false">IF($E352="","",ROUND(T352/$E352/U352,0)*U352)</f>
        <v/>
      </c>
      <c r="X352" s="14" t="str">
        <f aca="false">IF(NOT(ISNUMBER(E352)),"",IF(NOT(ISNUMBER(E353)),ROW(),X353))</f>
        <v/>
      </c>
    </row>
    <row r="353" customFormat="false" ht="15" hidden="false" customHeight="false" outlineLevel="0" collapsed="false">
      <c r="F353" s="66" t="str">
        <f aca="false">IF($E353="","",V353)</f>
        <v/>
      </c>
      <c r="G353" s="66" t="str">
        <f aca="false">IF($E353="","",ROUND(W353+IF($B353=Precificação!$B$26,$F$3/$E353,0),2))</f>
        <v/>
      </c>
      <c r="H353" s="30" t="str">
        <f aca="false">IF($E353="","",F353+G353)</f>
        <v/>
      </c>
      <c r="I353" s="30" t="str">
        <f aca="false">IF($E353="","",$E353*F353)</f>
        <v/>
      </c>
      <c r="J353" s="30" t="str">
        <f aca="false">IF($E353="","",$E353*G353)</f>
        <v/>
      </c>
      <c r="K353" s="30" t="str">
        <f aca="false">IF($E353="","",I353+J353)</f>
        <v/>
      </c>
      <c r="L353" s="53" t="str">
        <f aca="false">IF($E353="","",IF(R353=0,"SEM CUSTO — falta linha de custo","OK"))</f>
        <v/>
      </c>
      <c r="M353" s="67" t="str">
        <f aca="false">IF(AND(ISNUMBER(E353),NOT(ISNUMBER(E352))),"F"&amp;ROW()&amp;":G"&amp;X353,"")</f>
        <v/>
      </c>
      <c r="N353" s="30" t="str">
        <f aca="false">IF($E353="","",SUMIFS('Rateio Anexo'!$K$6:$K$600,'Rateio Anexo'!$D$6:$D$600,$B353,'Rateio Anexo'!$B$6:$B$600,"MAT"))</f>
        <v/>
      </c>
      <c r="O353" s="30" t="str">
        <f aca="false">IF($E353="","",SUMIFS('Rateio Anexo'!$K$6:$K$600,'Rateio Anexo'!$D$6:$D$600,$B353,'Rateio Anexo'!$B$6:$B$600,"MO"))</f>
        <v/>
      </c>
      <c r="P353" s="30" t="str">
        <f aca="false">IF($E353="","",IF($N$3=0,0,N353/$N$3*$R$4))</f>
        <v/>
      </c>
      <c r="Q353" s="30" t="str">
        <f aca="false">IF($E353="","",IF($O$3=0,0,O353/$O$3*$T$4))</f>
        <v/>
      </c>
      <c r="R353" s="30" t="str">
        <f aca="false">IF($E353="","",N353+O353+P353+Q353)</f>
        <v/>
      </c>
      <c r="S353" s="30" t="str">
        <f aca="false">IF($E353="","",(N353+P353)*Precificação!$B$19)</f>
        <v/>
      </c>
      <c r="T353" s="30" t="str">
        <f aca="false">IF($E353="","",(O353+Q353)*Precificação!$B$20)</f>
        <v/>
      </c>
      <c r="U353" s="68" t="str">
        <f aca="false">IF($E353="","",IF($E353=INT($E353),0.01,IF($E353*2=INT($E353*2),0.02,0.05)))</f>
        <v/>
      </c>
      <c r="V353" s="30" t="str">
        <f aca="false">IF($E353="","",ROUND(S353/$E353/U353,0)*U353)</f>
        <v/>
      </c>
      <c r="W353" s="30" t="str">
        <f aca="false">IF($E353="","",ROUND(T353/$E353/U353,0)*U353)</f>
        <v/>
      </c>
      <c r="X353" s="14" t="str">
        <f aca="false">IF(NOT(ISNUMBER(E353)),"",IF(NOT(ISNUMBER(E354)),ROW(),X354))</f>
        <v/>
      </c>
    </row>
    <row r="354" customFormat="false" ht="15" hidden="false" customHeight="false" outlineLevel="0" collapsed="false">
      <c r="F354" s="66" t="str">
        <f aca="false">IF($E354="","",V354)</f>
        <v/>
      </c>
      <c r="G354" s="66" t="str">
        <f aca="false">IF($E354="","",ROUND(W354+IF($B354=Precificação!$B$26,$F$3/$E354,0),2))</f>
        <v/>
      </c>
      <c r="H354" s="30" t="str">
        <f aca="false">IF($E354="","",F354+G354)</f>
        <v/>
      </c>
      <c r="I354" s="30" t="str">
        <f aca="false">IF($E354="","",$E354*F354)</f>
        <v/>
      </c>
      <c r="J354" s="30" t="str">
        <f aca="false">IF($E354="","",$E354*G354)</f>
        <v/>
      </c>
      <c r="K354" s="30" t="str">
        <f aca="false">IF($E354="","",I354+J354)</f>
        <v/>
      </c>
      <c r="L354" s="53" t="str">
        <f aca="false">IF($E354="","",IF(R354=0,"SEM CUSTO — falta linha de custo","OK"))</f>
        <v/>
      </c>
      <c r="M354" s="67" t="str">
        <f aca="false">IF(AND(ISNUMBER(E354),NOT(ISNUMBER(E353))),"F"&amp;ROW()&amp;":G"&amp;X354,"")</f>
        <v/>
      </c>
      <c r="N354" s="30" t="str">
        <f aca="false">IF($E354="","",SUMIFS('Rateio Anexo'!$K$6:$K$600,'Rateio Anexo'!$D$6:$D$600,$B354,'Rateio Anexo'!$B$6:$B$600,"MAT"))</f>
        <v/>
      </c>
      <c r="O354" s="30" t="str">
        <f aca="false">IF($E354="","",SUMIFS('Rateio Anexo'!$K$6:$K$600,'Rateio Anexo'!$D$6:$D$600,$B354,'Rateio Anexo'!$B$6:$B$600,"MO"))</f>
        <v/>
      </c>
      <c r="P354" s="30" t="str">
        <f aca="false">IF($E354="","",IF($N$3=0,0,N354/$N$3*$R$4))</f>
        <v/>
      </c>
      <c r="Q354" s="30" t="str">
        <f aca="false">IF($E354="","",IF($O$3=0,0,O354/$O$3*$T$4))</f>
        <v/>
      </c>
      <c r="R354" s="30" t="str">
        <f aca="false">IF($E354="","",N354+O354+P354+Q354)</f>
        <v/>
      </c>
      <c r="S354" s="30" t="str">
        <f aca="false">IF($E354="","",(N354+P354)*Precificação!$B$19)</f>
        <v/>
      </c>
      <c r="T354" s="30" t="str">
        <f aca="false">IF($E354="","",(O354+Q354)*Precificação!$B$20)</f>
        <v/>
      </c>
      <c r="U354" s="68" t="str">
        <f aca="false">IF($E354="","",IF($E354=INT($E354),0.01,IF($E354*2=INT($E354*2),0.02,0.05)))</f>
        <v/>
      </c>
      <c r="V354" s="30" t="str">
        <f aca="false">IF($E354="","",ROUND(S354/$E354/U354,0)*U354)</f>
        <v/>
      </c>
      <c r="W354" s="30" t="str">
        <f aca="false">IF($E354="","",ROUND(T354/$E354/U354,0)*U354)</f>
        <v/>
      </c>
      <c r="X354" s="14" t="str">
        <f aca="false">IF(NOT(ISNUMBER(E354)),"",IF(NOT(ISNUMBER(E355)),ROW(),X355))</f>
        <v/>
      </c>
    </row>
    <row r="355" customFormat="false" ht="15" hidden="false" customHeight="false" outlineLevel="0" collapsed="false">
      <c r="F355" s="66" t="str">
        <f aca="false">IF($E355="","",V355)</f>
        <v/>
      </c>
      <c r="G355" s="66" t="str">
        <f aca="false">IF($E355="","",ROUND(W355+IF($B355=Precificação!$B$26,$F$3/$E355,0),2))</f>
        <v/>
      </c>
      <c r="H355" s="30" t="str">
        <f aca="false">IF($E355="","",F355+G355)</f>
        <v/>
      </c>
      <c r="I355" s="30" t="str">
        <f aca="false">IF($E355="","",$E355*F355)</f>
        <v/>
      </c>
      <c r="J355" s="30" t="str">
        <f aca="false">IF($E355="","",$E355*G355)</f>
        <v/>
      </c>
      <c r="K355" s="30" t="str">
        <f aca="false">IF($E355="","",I355+J355)</f>
        <v/>
      </c>
      <c r="L355" s="53" t="str">
        <f aca="false">IF($E355="","",IF(R355=0,"SEM CUSTO — falta linha de custo","OK"))</f>
        <v/>
      </c>
      <c r="M355" s="67" t="str">
        <f aca="false">IF(AND(ISNUMBER(E355),NOT(ISNUMBER(E354))),"F"&amp;ROW()&amp;":G"&amp;X355,"")</f>
        <v/>
      </c>
      <c r="N355" s="30" t="str">
        <f aca="false">IF($E355="","",SUMIFS('Rateio Anexo'!$K$6:$K$600,'Rateio Anexo'!$D$6:$D$600,$B355,'Rateio Anexo'!$B$6:$B$600,"MAT"))</f>
        <v/>
      </c>
      <c r="O355" s="30" t="str">
        <f aca="false">IF($E355="","",SUMIFS('Rateio Anexo'!$K$6:$K$600,'Rateio Anexo'!$D$6:$D$600,$B355,'Rateio Anexo'!$B$6:$B$600,"MO"))</f>
        <v/>
      </c>
      <c r="P355" s="30" t="str">
        <f aca="false">IF($E355="","",IF($N$3=0,0,N355/$N$3*$R$4))</f>
        <v/>
      </c>
      <c r="Q355" s="30" t="str">
        <f aca="false">IF($E355="","",IF($O$3=0,0,O355/$O$3*$T$4))</f>
        <v/>
      </c>
      <c r="R355" s="30" t="str">
        <f aca="false">IF($E355="","",N355+O355+P355+Q355)</f>
        <v/>
      </c>
      <c r="S355" s="30" t="str">
        <f aca="false">IF($E355="","",(N355+P355)*Precificação!$B$19)</f>
        <v/>
      </c>
      <c r="T355" s="30" t="str">
        <f aca="false">IF($E355="","",(O355+Q355)*Precificação!$B$20)</f>
        <v/>
      </c>
      <c r="U355" s="68" t="str">
        <f aca="false">IF($E355="","",IF($E355=INT($E355),0.01,IF($E355*2=INT($E355*2),0.02,0.05)))</f>
        <v/>
      </c>
      <c r="V355" s="30" t="str">
        <f aca="false">IF($E355="","",ROUND(S355/$E355/U355,0)*U355)</f>
        <v/>
      </c>
      <c r="W355" s="30" t="str">
        <f aca="false">IF($E355="","",ROUND(T355/$E355/U355,0)*U355)</f>
        <v/>
      </c>
      <c r="X355" s="14" t="str">
        <f aca="false">IF(NOT(ISNUMBER(E355)),"",IF(NOT(ISNUMBER(E356)),ROW(),X356))</f>
        <v/>
      </c>
    </row>
    <row r="356" customFormat="false" ht="15" hidden="false" customHeight="false" outlineLevel="0" collapsed="false">
      <c r="F356" s="66" t="str">
        <f aca="false">IF($E356="","",V356)</f>
        <v/>
      </c>
      <c r="G356" s="66" t="str">
        <f aca="false">IF($E356="","",ROUND(W356+IF($B356=Precificação!$B$26,$F$3/$E356,0),2))</f>
        <v/>
      </c>
      <c r="H356" s="30" t="str">
        <f aca="false">IF($E356="","",F356+G356)</f>
        <v/>
      </c>
      <c r="I356" s="30" t="str">
        <f aca="false">IF($E356="","",$E356*F356)</f>
        <v/>
      </c>
      <c r="J356" s="30" t="str">
        <f aca="false">IF($E356="","",$E356*G356)</f>
        <v/>
      </c>
      <c r="K356" s="30" t="str">
        <f aca="false">IF($E356="","",I356+J356)</f>
        <v/>
      </c>
      <c r="L356" s="53" t="str">
        <f aca="false">IF($E356="","",IF(R356=0,"SEM CUSTO — falta linha de custo","OK"))</f>
        <v/>
      </c>
      <c r="M356" s="67" t="str">
        <f aca="false">IF(AND(ISNUMBER(E356),NOT(ISNUMBER(E355))),"F"&amp;ROW()&amp;":G"&amp;X356,"")</f>
        <v/>
      </c>
      <c r="N356" s="30" t="str">
        <f aca="false">IF($E356="","",SUMIFS('Rateio Anexo'!$K$6:$K$600,'Rateio Anexo'!$D$6:$D$600,$B356,'Rateio Anexo'!$B$6:$B$600,"MAT"))</f>
        <v/>
      </c>
      <c r="O356" s="30" t="str">
        <f aca="false">IF($E356="","",SUMIFS('Rateio Anexo'!$K$6:$K$600,'Rateio Anexo'!$D$6:$D$600,$B356,'Rateio Anexo'!$B$6:$B$600,"MO"))</f>
        <v/>
      </c>
      <c r="P356" s="30" t="str">
        <f aca="false">IF($E356="","",IF($N$3=0,0,N356/$N$3*$R$4))</f>
        <v/>
      </c>
      <c r="Q356" s="30" t="str">
        <f aca="false">IF($E356="","",IF($O$3=0,0,O356/$O$3*$T$4))</f>
        <v/>
      </c>
      <c r="R356" s="30" t="str">
        <f aca="false">IF($E356="","",N356+O356+P356+Q356)</f>
        <v/>
      </c>
      <c r="S356" s="30" t="str">
        <f aca="false">IF($E356="","",(N356+P356)*Precificação!$B$19)</f>
        <v/>
      </c>
      <c r="T356" s="30" t="str">
        <f aca="false">IF($E356="","",(O356+Q356)*Precificação!$B$20)</f>
        <v/>
      </c>
      <c r="U356" s="68" t="str">
        <f aca="false">IF($E356="","",IF($E356=INT($E356),0.01,IF($E356*2=INT($E356*2),0.02,0.05)))</f>
        <v/>
      </c>
      <c r="V356" s="30" t="str">
        <f aca="false">IF($E356="","",ROUND(S356/$E356/U356,0)*U356)</f>
        <v/>
      </c>
      <c r="W356" s="30" t="str">
        <f aca="false">IF($E356="","",ROUND(T356/$E356/U356,0)*U356)</f>
        <v/>
      </c>
      <c r="X356" s="14" t="str">
        <f aca="false">IF(NOT(ISNUMBER(E356)),"",IF(NOT(ISNUMBER(E357)),ROW(),X357))</f>
        <v/>
      </c>
    </row>
    <row r="357" customFormat="false" ht="15" hidden="false" customHeight="false" outlineLevel="0" collapsed="false">
      <c r="F357" s="66" t="str">
        <f aca="false">IF($E357="","",V357)</f>
        <v/>
      </c>
      <c r="G357" s="66" t="str">
        <f aca="false">IF($E357="","",ROUND(W357+IF($B357=Precificação!$B$26,$F$3/$E357,0),2))</f>
        <v/>
      </c>
      <c r="H357" s="30" t="str">
        <f aca="false">IF($E357="","",F357+G357)</f>
        <v/>
      </c>
      <c r="I357" s="30" t="str">
        <f aca="false">IF($E357="","",$E357*F357)</f>
        <v/>
      </c>
      <c r="J357" s="30" t="str">
        <f aca="false">IF($E357="","",$E357*G357)</f>
        <v/>
      </c>
      <c r="K357" s="30" t="str">
        <f aca="false">IF($E357="","",I357+J357)</f>
        <v/>
      </c>
      <c r="L357" s="53" t="str">
        <f aca="false">IF($E357="","",IF(R357=0,"SEM CUSTO — falta linha de custo","OK"))</f>
        <v/>
      </c>
      <c r="M357" s="67" t="str">
        <f aca="false">IF(AND(ISNUMBER(E357),NOT(ISNUMBER(E356))),"F"&amp;ROW()&amp;":G"&amp;X357,"")</f>
        <v/>
      </c>
      <c r="N357" s="30" t="str">
        <f aca="false">IF($E357="","",SUMIFS('Rateio Anexo'!$K$6:$K$600,'Rateio Anexo'!$D$6:$D$600,$B357,'Rateio Anexo'!$B$6:$B$600,"MAT"))</f>
        <v/>
      </c>
      <c r="O357" s="30" t="str">
        <f aca="false">IF($E357="","",SUMIFS('Rateio Anexo'!$K$6:$K$600,'Rateio Anexo'!$D$6:$D$600,$B357,'Rateio Anexo'!$B$6:$B$600,"MO"))</f>
        <v/>
      </c>
      <c r="P357" s="30" t="str">
        <f aca="false">IF($E357="","",IF($N$3=0,0,N357/$N$3*$R$4))</f>
        <v/>
      </c>
      <c r="Q357" s="30" t="str">
        <f aca="false">IF($E357="","",IF($O$3=0,0,O357/$O$3*$T$4))</f>
        <v/>
      </c>
      <c r="R357" s="30" t="str">
        <f aca="false">IF($E357="","",N357+O357+P357+Q357)</f>
        <v/>
      </c>
      <c r="S357" s="30" t="str">
        <f aca="false">IF($E357="","",(N357+P357)*Precificação!$B$19)</f>
        <v/>
      </c>
      <c r="T357" s="30" t="str">
        <f aca="false">IF($E357="","",(O357+Q357)*Precificação!$B$20)</f>
        <v/>
      </c>
      <c r="U357" s="68" t="str">
        <f aca="false">IF($E357="","",IF($E357=INT($E357),0.01,IF($E357*2=INT($E357*2),0.02,0.05)))</f>
        <v/>
      </c>
      <c r="V357" s="30" t="str">
        <f aca="false">IF($E357="","",ROUND(S357/$E357/U357,0)*U357)</f>
        <v/>
      </c>
      <c r="W357" s="30" t="str">
        <f aca="false">IF($E357="","",ROUND(T357/$E357/U357,0)*U357)</f>
        <v/>
      </c>
      <c r="X357" s="14" t="str">
        <f aca="false">IF(NOT(ISNUMBER(E357)),"",IF(NOT(ISNUMBER(E358)),ROW(),X358))</f>
        <v/>
      </c>
    </row>
    <row r="358" customFormat="false" ht="15" hidden="false" customHeight="false" outlineLevel="0" collapsed="false">
      <c r="F358" s="66" t="str">
        <f aca="false">IF($E358="","",V358)</f>
        <v/>
      </c>
      <c r="G358" s="66" t="str">
        <f aca="false">IF($E358="","",ROUND(W358+IF($B358=Precificação!$B$26,$F$3/$E358,0),2))</f>
        <v/>
      </c>
      <c r="H358" s="30" t="str">
        <f aca="false">IF($E358="","",F358+G358)</f>
        <v/>
      </c>
      <c r="I358" s="30" t="str">
        <f aca="false">IF($E358="","",$E358*F358)</f>
        <v/>
      </c>
      <c r="J358" s="30" t="str">
        <f aca="false">IF($E358="","",$E358*G358)</f>
        <v/>
      </c>
      <c r="K358" s="30" t="str">
        <f aca="false">IF($E358="","",I358+J358)</f>
        <v/>
      </c>
      <c r="L358" s="53" t="str">
        <f aca="false">IF($E358="","",IF(R358=0,"SEM CUSTO — falta linha de custo","OK"))</f>
        <v/>
      </c>
      <c r="M358" s="67" t="str">
        <f aca="false">IF(AND(ISNUMBER(E358),NOT(ISNUMBER(E357))),"F"&amp;ROW()&amp;":G"&amp;X358,"")</f>
        <v/>
      </c>
      <c r="N358" s="30" t="str">
        <f aca="false">IF($E358="","",SUMIFS('Rateio Anexo'!$K$6:$K$600,'Rateio Anexo'!$D$6:$D$600,$B358,'Rateio Anexo'!$B$6:$B$600,"MAT"))</f>
        <v/>
      </c>
      <c r="O358" s="30" t="str">
        <f aca="false">IF($E358="","",SUMIFS('Rateio Anexo'!$K$6:$K$600,'Rateio Anexo'!$D$6:$D$600,$B358,'Rateio Anexo'!$B$6:$B$600,"MO"))</f>
        <v/>
      </c>
      <c r="P358" s="30" t="str">
        <f aca="false">IF($E358="","",IF($N$3=0,0,N358/$N$3*$R$4))</f>
        <v/>
      </c>
      <c r="Q358" s="30" t="str">
        <f aca="false">IF($E358="","",IF($O$3=0,0,O358/$O$3*$T$4))</f>
        <v/>
      </c>
      <c r="R358" s="30" t="str">
        <f aca="false">IF($E358="","",N358+O358+P358+Q358)</f>
        <v/>
      </c>
      <c r="S358" s="30" t="str">
        <f aca="false">IF($E358="","",(N358+P358)*Precificação!$B$19)</f>
        <v/>
      </c>
      <c r="T358" s="30" t="str">
        <f aca="false">IF($E358="","",(O358+Q358)*Precificação!$B$20)</f>
        <v/>
      </c>
      <c r="U358" s="68" t="str">
        <f aca="false">IF($E358="","",IF($E358=INT($E358),0.01,IF($E358*2=INT($E358*2),0.02,0.05)))</f>
        <v/>
      </c>
      <c r="V358" s="30" t="str">
        <f aca="false">IF($E358="","",ROUND(S358/$E358/U358,0)*U358)</f>
        <v/>
      </c>
      <c r="W358" s="30" t="str">
        <f aca="false">IF($E358="","",ROUND(T358/$E358/U358,0)*U358)</f>
        <v/>
      </c>
      <c r="X358" s="14" t="str">
        <f aca="false">IF(NOT(ISNUMBER(E358)),"",IF(NOT(ISNUMBER(E359)),ROW(),X359))</f>
        <v/>
      </c>
    </row>
    <row r="359" customFormat="false" ht="15" hidden="false" customHeight="false" outlineLevel="0" collapsed="false">
      <c r="F359" s="66" t="str">
        <f aca="false">IF($E359="","",V359)</f>
        <v/>
      </c>
      <c r="G359" s="66" t="str">
        <f aca="false">IF($E359="","",ROUND(W359+IF($B359=Precificação!$B$26,$F$3/$E359,0),2))</f>
        <v/>
      </c>
      <c r="H359" s="30" t="str">
        <f aca="false">IF($E359="","",F359+G359)</f>
        <v/>
      </c>
      <c r="I359" s="30" t="str">
        <f aca="false">IF($E359="","",$E359*F359)</f>
        <v/>
      </c>
      <c r="J359" s="30" t="str">
        <f aca="false">IF($E359="","",$E359*G359)</f>
        <v/>
      </c>
      <c r="K359" s="30" t="str">
        <f aca="false">IF($E359="","",I359+J359)</f>
        <v/>
      </c>
      <c r="L359" s="53" t="str">
        <f aca="false">IF($E359="","",IF(R359=0,"SEM CUSTO — falta linha de custo","OK"))</f>
        <v/>
      </c>
      <c r="M359" s="67" t="str">
        <f aca="false">IF(AND(ISNUMBER(E359),NOT(ISNUMBER(E358))),"F"&amp;ROW()&amp;":G"&amp;X359,"")</f>
        <v/>
      </c>
      <c r="N359" s="30" t="str">
        <f aca="false">IF($E359="","",SUMIFS('Rateio Anexo'!$K$6:$K$600,'Rateio Anexo'!$D$6:$D$600,$B359,'Rateio Anexo'!$B$6:$B$600,"MAT"))</f>
        <v/>
      </c>
      <c r="O359" s="30" t="str">
        <f aca="false">IF($E359="","",SUMIFS('Rateio Anexo'!$K$6:$K$600,'Rateio Anexo'!$D$6:$D$600,$B359,'Rateio Anexo'!$B$6:$B$600,"MO"))</f>
        <v/>
      </c>
      <c r="P359" s="30" t="str">
        <f aca="false">IF($E359="","",IF($N$3=0,0,N359/$N$3*$R$4))</f>
        <v/>
      </c>
      <c r="Q359" s="30" t="str">
        <f aca="false">IF($E359="","",IF($O$3=0,0,O359/$O$3*$T$4))</f>
        <v/>
      </c>
      <c r="R359" s="30" t="str">
        <f aca="false">IF($E359="","",N359+O359+P359+Q359)</f>
        <v/>
      </c>
      <c r="S359" s="30" t="str">
        <f aca="false">IF($E359="","",(N359+P359)*Precificação!$B$19)</f>
        <v/>
      </c>
      <c r="T359" s="30" t="str">
        <f aca="false">IF($E359="","",(O359+Q359)*Precificação!$B$20)</f>
        <v/>
      </c>
      <c r="U359" s="68" t="str">
        <f aca="false">IF($E359="","",IF($E359=INT($E359),0.01,IF($E359*2=INT($E359*2),0.02,0.05)))</f>
        <v/>
      </c>
      <c r="V359" s="30" t="str">
        <f aca="false">IF($E359="","",ROUND(S359/$E359/U359,0)*U359)</f>
        <v/>
      </c>
      <c r="W359" s="30" t="str">
        <f aca="false">IF($E359="","",ROUND(T359/$E359/U359,0)*U359)</f>
        <v/>
      </c>
      <c r="X359" s="14" t="str">
        <f aca="false">IF(NOT(ISNUMBER(E359)),"",IF(NOT(ISNUMBER(E360)),ROW(),X360))</f>
        <v/>
      </c>
    </row>
    <row r="360" customFormat="false" ht="15" hidden="false" customHeight="false" outlineLevel="0" collapsed="false">
      <c r="F360" s="66" t="str">
        <f aca="false">IF($E360="","",V360)</f>
        <v/>
      </c>
      <c r="G360" s="66" t="str">
        <f aca="false">IF($E360="","",ROUND(W360+IF($B360=Precificação!$B$26,$F$3/$E360,0),2))</f>
        <v/>
      </c>
      <c r="H360" s="30" t="str">
        <f aca="false">IF($E360="","",F360+G360)</f>
        <v/>
      </c>
      <c r="I360" s="30" t="str">
        <f aca="false">IF($E360="","",$E360*F360)</f>
        <v/>
      </c>
      <c r="J360" s="30" t="str">
        <f aca="false">IF($E360="","",$E360*G360)</f>
        <v/>
      </c>
      <c r="K360" s="30" t="str">
        <f aca="false">IF($E360="","",I360+J360)</f>
        <v/>
      </c>
      <c r="L360" s="53" t="str">
        <f aca="false">IF($E360="","",IF(R360=0,"SEM CUSTO — falta linha de custo","OK"))</f>
        <v/>
      </c>
      <c r="M360" s="67" t="str">
        <f aca="false">IF(AND(ISNUMBER(E360),NOT(ISNUMBER(E359))),"F"&amp;ROW()&amp;":G"&amp;X360,"")</f>
        <v/>
      </c>
      <c r="N360" s="30" t="str">
        <f aca="false">IF($E360="","",SUMIFS('Rateio Anexo'!$K$6:$K$600,'Rateio Anexo'!$D$6:$D$600,$B360,'Rateio Anexo'!$B$6:$B$600,"MAT"))</f>
        <v/>
      </c>
      <c r="O360" s="30" t="str">
        <f aca="false">IF($E360="","",SUMIFS('Rateio Anexo'!$K$6:$K$600,'Rateio Anexo'!$D$6:$D$600,$B360,'Rateio Anexo'!$B$6:$B$600,"MO"))</f>
        <v/>
      </c>
      <c r="P360" s="30" t="str">
        <f aca="false">IF($E360="","",IF($N$3=0,0,N360/$N$3*$R$4))</f>
        <v/>
      </c>
      <c r="Q360" s="30" t="str">
        <f aca="false">IF($E360="","",IF($O$3=0,0,O360/$O$3*$T$4))</f>
        <v/>
      </c>
      <c r="R360" s="30" t="str">
        <f aca="false">IF($E360="","",N360+O360+P360+Q360)</f>
        <v/>
      </c>
      <c r="S360" s="30" t="str">
        <f aca="false">IF($E360="","",(N360+P360)*Precificação!$B$19)</f>
        <v/>
      </c>
      <c r="T360" s="30" t="str">
        <f aca="false">IF($E360="","",(O360+Q360)*Precificação!$B$20)</f>
        <v/>
      </c>
      <c r="U360" s="68" t="str">
        <f aca="false">IF($E360="","",IF($E360=INT($E360),0.01,IF($E360*2=INT($E360*2),0.02,0.05)))</f>
        <v/>
      </c>
      <c r="V360" s="30" t="str">
        <f aca="false">IF($E360="","",ROUND(S360/$E360/U360,0)*U360)</f>
        <v/>
      </c>
      <c r="W360" s="30" t="str">
        <f aca="false">IF($E360="","",ROUND(T360/$E360/U360,0)*U360)</f>
        <v/>
      </c>
      <c r="X360" s="14" t="str">
        <f aca="false">IF(NOT(ISNUMBER(E360)),"",IF(NOT(ISNUMBER(E361)),ROW(),X361))</f>
        <v/>
      </c>
    </row>
    <row r="361" customFormat="false" ht="15" hidden="false" customHeight="false" outlineLevel="0" collapsed="false">
      <c r="F361" s="66" t="str">
        <f aca="false">IF($E361="","",V361)</f>
        <v/>
      </c>
      <c r="G361" s="66" t="str">
        <f aca="false">IF($E361="","",ROUND(W361+IF($B361=Precificação!$B$26,$F$3/$E361,0),2))</f>
        <v/>
      </c>
      <c r="H361" s="30" t="str">
        <f aca="false">IF($E361="","",F361+G361)</f>
        <v/>
      </c>
      <c r="I361" s="30" t="str">
        <f aca="false">IF($E361="","",$E361*F361)</f>
        <v/>
      </c>
      <c r="J361" s="30" t="str">
        <f aca="false">IF($E361="","",$E361*G361)</f>
        <v/>
      </c>
      <c r="K361" s="30" t="str">
        <f aca="false">IF($E361="","",I361+J361)</f>
        <v/>
      </c>
      <c r="L361" s="53" t="str">
        <f aca="false">IF($E361="","",IF(R361=0,"SEM CUSTO — falta linha de custo","OK"))</f>
        <v/>
      </c>
      <c r="M361" s="67" t="str">
        <f aca="false">IF(AND(ISNUMBER(E361),NOT(ISNUMBER(E360))),"F"&amp;ROW()&amp;":G"&amp;X361,"")</f>
        <v/>
      </c>
      <c r="N361" s="30" t="str">
        <f aca="false">IF($E361="","",SUMIFS('Rateio Anexo'!$K$6:$K$600,'Rateio Anexo'!$D$6:$D$600,$B361,'Rateio Anexo'!$B$6:$B$600,"MAT"))</f>
        <v/>
      </c>
      <c r="O361" s="30" t="str">
        <f aca="false">IF($E361="","",SUMIFS('Rateio Anexo'!$K$6:$K$600,'Rateio Anexo'!$D$6:$D$600,$B361,'Rateio Anexo'!$B$6:$B$600,"MO"))</f>
        <v/>
      </c>
      <c r="P361" s="30" t="str">
        <f aca="false">IF($E361="","",IF($N$3=0,0,N361/$N$3*$R$4))</f>
        <v/>
      </c>
      <c r="Q361" s="30" t="str">
        <f aca="false">IF($E361="","",IF($O$3=0,0,O361/$O$3*$T$4))</f>
        <v/>
      </c>
      <c r="R361" s="30" t="str">
        <f aca="false">IF($E361="","",N361+O361+P361+Q361)</f>
        <v/>
      </c>
      <c r="S361" s="30" t="str">
        <f aca="false">IF($E361="","",(N361+P361)*Precificação!$B$19)</f>
        <v/>
      </c>
      <c r="T361" s="30" t="str">
        <f aca="false">IF($E361="","",(O361+Q361)*Precificação!$B$20)</f>
        <v/>
      </c>
      <c r="U361" s="68" t="str">
        <f aca="false">IF($E361="","",IF($E361=INT($E361),0.01,IF($E361*2=INT($E361*2),0.02,0.05)))</f>
        <v/>
      </c>
      <c r="V361" s="30" t="str">
        <f aca="false">IF($E361="","",ROUND(S361/$E361/U361,0)*U361)</f>
        <v/>
      </c>
      <c r="W361" s="30" t="str">
        <f aca="false">IF($E361="","",ROUND(T361/$E361/U361,0)*U361)</f>
        <v/>
      </c>
      <c r="X361" s="14" t="str">
        <f aca="false">IF(NOT(ISNUMBER(E361)),"",IF(NOT(ISNUMBER(E362)),ROW(),X362))</f>
        <v/>
      </c>
    </row>
    <row r="362" customFormat="false" ht="15" hidden="false" customHeight="false" outlineLevel="0" collapsed="false">
      <c r="F362" s="66" t="str">
        <f aca="false">IF($E362="","",V362)</f>
        <v/>
      </c>
      <c r="G362" s="66" t="str">
        <f aca="false">IF($E362="","",ROUND(W362+IF($B362=Precificação!$B$26,$F$3/$E362,0),2))</f>
        <v/>
      </c>
      <c r="H362" s="30" t="str">
        <f aca="false">IF($E362="","",F362+G362)</f>
        <v/>
      </c>
      <c r="I362" s="30" t="str">
        <f aca="false">IF($E362="","",$E362*F362)</f>
        <v/>
      </c>
      <c r="J362" s="30" t="str">
        <f aca="false">IF($E362="","",$E362*G362)</f>
        <v/>
      </c>
      <c r="K362" s="30" t="str">
        <f aca="false">IF($E362="","",I362+J362)</f>
        <v/>
      </c>
      <c r="L362" s="53" t="str">
        <f aca="false">IF($E362="","",IF(R362=0,"SEM CUSTO — falta linha de custo","OK"))</f>
        <v/>
      </c>
      <c r="M362" s="67" t="str">
        <f aca="false">IF(AND(ISNUMBER(E362),NOT(ISNUMBER(E361))),"F"&amp;ROW()&amp;":G"&amp;X362,"")</f>
        <v/>
      </c>
      <c r="N362" s="30" t="str">
        <f aca="false">IF($E362="","",SUMIFS('Rateio Anexo'!$K$6:$K$600,'Rateio Anexo'!$D$6:$D$600,$B362,'Rateio Anexo'!$B$6:$B$600,"MAT"))</f>
        <v/>
      </c>
      <c r="O362" s="30" t="str">
        <f aca="false">IF($E362="","",SUMIFS('Rateio Anexo'!$K$6:$K$600,'Rateio Anexo'!$D$6:$D$600,$B362,'Rateio Anexo'!$B$6:$B$600,"MO"))</f>
        <v/>
      </c>
      <c r="P362" s="30" t="str">
        <f aca="false">IF($E362="","",IF($N$3=0,0,N362/$N$3*$R$4))</f>
        <v/>
      </c>
      <c r="Q362" s="30" t="str">
        <f aca="false">IF($E362="","",IF($O$3=0,0,O362/$O$3*$T$4))</f>
        <v/>
      </c>
      <c r="R362" s="30" t="str">
        <f aca="false">IF($E362="","",N362+O362+P362+Q362)</f>
        <v/>
      </c>
      <c r="S362" s="30" t="str">
        <f aca="false">IF($E362="","",(N362+P362)*Precificação!$B$19)</f>
        <v/>
      </c>
      <c r="T362" s="30" t="str">
        <f aca="false">IF($E362="","",(O362+Q362)*Precificação!$B$20)</f>
        <v/>
      </c>
      <c r="U362" s="68" t="str">
        <f aca="false">IF($E362="","",IF($E362=INT($E362),0.01,IF($E362*2=INT($E362*2),0.02,0.05)))</f>
        <v/>
      </c>
      <c r="V362" s="30" t="str">
        <f aca="false">IF($E362="","",ROUND(S362/$E362/U362,0)*U362)</f>
        <v/>
      </c>
      <c r="W362" s="30" t="str">
        <f aca="false">IF($E362="","",ROUND(T362/$E362/U362,0)*U362)</f>
        <v/>
      </c>
      <c r="X362" s="14" t="str">
        <f aca="false">IF(NOT(ISNUMBER(E362)),"",IF(NOT(ISNUMBER(E363)),ROW(),X363))</f>
        <v/>
      </c>
    </row>
    <row r="363" customFormat="false" ht="15" hidden="false" customHeight="false" outlineLevel="0" collapsed="false">
      <c r="F363" s="66" t="str">
        <f aca="false">IF($E363="","",V363)</f>
        <v/>
      </c>
      <c r="G363" s="66" t="str">
        <f aca="false">IF($E363="","",ROUND(W363+IF($B363=Precificação!$B$26,$F$3/$E363,0),2))</f>
        <v/>
      </c>
      <c r="H363" s="30" t="str">
        <f aca="false">IF($E363="","",F363+G363)</f>
        <v/>
      </c>
      <c r="I363" s="30" t="str">
        <f aca="false">IF($E363="","",$E363*F363)</f>
        <v/>
      </c>
      <c r="J363" s="30" t="str">
        <f aca="false">IF($E363="","",$E363*G363)</f>
        <v/>
      </c>
      <c r="K363" s="30" t="str">
        <f aca="false">IF($E363="","",I363+J363)</f>
        <v/>
      </c>
      <c r="L363" s="53" t="str">
        <f aca="false">IF($E363="","",IF(R363=0,"SEM CUSTO — falta linha de custo","OK"))</f>
        <v/>
      </c>
      <c r="M363" s="67" t="str">
        <f aca="false">IF(AND(ISNUMBER(E363),NOT(ISNUMBER(E362))),"F"&amp;ROW()&amp;":G"&amp;X363,"")</f>
        <v/>
      </c>
      <c r="N363" s="30" t="str">
        <f aca="false">IF($E363="","",SUMIFS('Rateio Anexo'!$K$6:$K$600,'Rateio Anexo'!$D$6:$D$600,$B363,'Rateio Anexo'!$B$6:$B$600,"MAT"))</f>
        <v/>
      </c>
      <c r="O363" s="30" t="str">
        <f aca="false">IF($E363="","",SUMIFS('Rateio Anexo'!$K$6:$K$600,'Rateio Anexo'!$D$6:$D$600,$B363,'Rateio Anexo'!$B$6:$B$600,"MO"))</f>
        <v/>
      </c>
      <c r="P363" s="30" t="str">
        <f aca="false">IF($E363="","",IF($N$3=0,0,N363/$N$3*$R$4))</f>
        <v/>
      </c>
      <c r="Q363" s="30" t="str">
        <f aca="false">IF($E363="","",IF($O$3=0,0,O363/$O$3*$T$4))</f>
        <v/>
      </c>
      <c r="R363" s="30" t="str">
        <f aca="false">IF($E363="","",N363+O363+P363+Q363)</f>
        <v/>
      </c>
      <c r="S363" s="30" t="str">
        <f aca="false">IF($E363="","",(N363+P363)*Precificação!$B$19)</f>
        <v/>
      </c>
      <c r="T363" s="30" t="str">
        <f aca="false">IF($E363="","",(O363+Q363)*Precificação!$B$20)</f>
        <v/>
      </c>
      <c r="U363" s="68" t="str">
        <f aca="false">IF($E363="","",IF($E363=INT($E363),0.01,IF($E363*2=INT($E363*2),0.02,0.05)))</f>
        <v/>
      </c>
      <c r="V363" s="30" t="str">
        <f aca="false">IF($E363="","",ROUND(S363/$E363/U363,0)*U363)</f>
        <v/>
      </c>
      <c r="W363" s="30" t="str">
        <f aca="false">IF($E363="","",ROUND(T363/$E363/U363,0)*U363)</f>
        <v/>
      </c>
      <c r="X363" s="14" t="str">
        <f aca="false">IF(NOT(ISNUMBER(E363)),"",IF(NOT(ISNUMBER(E364)),ROW(),X364))</f>
        <v/>
      </c>
    </row>
    <row r="364" customFormat="false" ht="15" hidden="false" customHeight="false" outlineLevel="0" collapsed="false">
      <c r="F364" s="66" t="str">
        <f aca="false">IF($E364="","",V364)</f>
        <v/>
      </c>
      <c r="G364" s="66" t="str">
        <f aca="false">IF($E364="","",ROUND(W364+IF($B364=Precificação!$B$26,$F$3/$E364,0),2))</f>
        <v/>
      </c>
      <c r="H364" s="30" t="str">
        <f aca="false">IF($E364="","",F364+G364)</f>
        <v/>
      </c>
      <c r="I364" s="30" t="str">
        <f aca="false">IF($E364="","",$E364*F364)</f>
        <v/>
      </c>
      <c r="J364" s="30" t="str">
        <f aca="false">IF($E364="","",$E364*G364)</f>
        <v/>
      </c>
      <c r="K364" s="30" t="str">
        <f aca="false">IF($E364="","",I364+J364)</f>
        <v/>
      </c>
      <c r="L364" s="53" t="str">
        <f aca="false">IF($E364="","",IF(R364=0,"SEM CUSTO — falta linha de custo","OK"))</f>
        <v/>
      </c>
      <c r="M364" s="67" t="str">
        <f aca="false">IF(AND(ISNUMBER(E364),NOT(ISNUMBER(E363))),"F"&amp;ROW()&amp;":G"&amp;X364,"")</f>
        <v/>
      </c>
      <c r="N364" s="30" t="str">
        <f aca="false">IF($E364="","",SUMIFS('Rateio Anexo'!$K$6:$K$600,'Rateio Anexo'!$D$6:$D$600,$B364,'Rateio Anexo'!$B$6:$B$600,"MAT"))</f>
        <v/>
      </c>
      <c r="O364" s="30" t="str">
        <f aca="false">IF($E364="","",SUMIFS('Rateio Anexo'!$K$6:$K$600,'Rateio Anexo'!$D$6:$D$600,$B364,'Rateio Anexo'!$B$6:$B$600,"MO"))</f>
        <v/>
      </c>
      <c r="P364" s="30" t="str">
        <f aca="false">IF($E364="","",IF($N$3=0,0,N364/$N$3*$R$4))</f>
        <v/>
      </c>
      <c r="Q364" s="30" t="str">
        <f aca="false">IF($E364="","",IF($O$3=0,0,O364/$O$3*$T$4))</f>
        <v/>
      </c>
      <c r="R364" s="30" t="str">
        <f aca="false">IF($E364="","",N364+O364+P364+Q364)</f>
        <v/>
      </c>
      <c r="S364" s="30" t="str">
        <f aca="false">IF($E364="","",(N364+P364)*Precificação!$B$19)</f>
        <v/>
      </c>
      <c r="T364" s="30" t="str">
        <f aca="false">IF($E364="","",(O364+Q364)*Precificação!$B$20)</f>
        <v/>
      </c>
      <c r="U364" s="68" t="str">
        <f aca="false">IF($E364="","",IF($E364=INT($E364),0.01,IF($E364*2=INT($E364*2),0.02,0.05)))</f>
        <v/>
      </c>
      <c r="V364" s="30" t="str">
        <f aca="false">IF($E364="","",ROUND(S364/$E364/U364,0)*U364)</f>
        <v/>
      </c>
      <c r="W364" s="30" t="str">
        <f aca="false">IF($E364="","",ROUND(T364/$E364/U364,0)*U364)</f>
        <v/>
      </c>
      <c r="X364" s="14" t="str">
        <f aca="false">IF(NOT(ISNUMBER(E364)),"",IF(NOT(ISNUMBER(E365)),ROW(),X365))</f>
        <v/>
      </c>
    </row>
    <row r="365" customFormat="false" ht="15" hidden="false" customHeight="false" outlineLevel="0" collapsed="false">
      <c r="F365" s="66" t="str">
        <f aca="false">IF($E365="","",V365)</f>
        <v/>
      </c>
      <c r="G365" s="66" t="str">
        <f aca="false">IF($E365="","",ROUND(W365+IF($B365=Precificação!$B$26,$F$3/$E365,0),2))</f>
        <v/>
      </c>
      <c r="H365" s="30" t="str">
        <f aca="false">IF($E365="","",F365+G365)</f>
        <v/>
      </c>
      <c r="I365" s="30" t="str">
        <f aca="false">IF($E365="","",$E365*F365)</f>
        <v/>
      </c>
      <c r="J365" s="30" t="str">
        <f aca="false">IF($E365="","",$E365*G365)</f>
        <v/>
      </c>
      <c r="K365" s="30" t="str">
        <f aca="false">IF($E365="","",I365+J365)</f>
        <v/>
      </c>
      <c r="L365" s="53" t="str">
        <f aca="false">IF($E365="","",IF(R365=0,"SEM CUSTO — falta linha de custo","OK"))</f>
        <v/>
      </c>
      <c r="M365" s="67" t="str">
        <f aca="false">IF(AND(ISNUMBER(E365),NOT(ISNUMBER(E364))),"F"&amp;ROW()&amp;":G"&amp;X365,"")</f>
        <v/>
      </c>
      <c r="N365" s="30" t="str">
        <f aca="false">IF($E365="","",SUMIFS('Rateio Anexo'!$K$6:$K$600,'Rateio Anexo'!$D$6:$D$600,$B365,'Rateio Anexo'!$B$6:$B$600,"MAT"))</f>
        <v/>
      </c>
      <c r="O365" s="30" t="str">
        <f aca="false">IF($E365="","",SUMIFS('Rateio Anexo'!$K$6:$K$600,'Rateio Anexo'!$D$6:$D$600,$B365,'Rateio Anexo'!$B$6:$B$600,"MO"))</f>
        <v/>
      </c>
      <c r="P365" s="30" t="str">
        <f aca="false">IF($E365="","",IF($N$3=0,0,N365/$N$3*$R$4))</f>
        <v/>
      </c>
      <c r="Q365" s="30" t="str">
        <f aca="false">IF($E365="","",IF($O$3=0,0,O365/$O$3*$T$4))</f>
        <v/>
      </c>
      <c r="R365" s="30" t="str">
        <f aca="false">IF($E365="","",N365+O365+P365+Q365)</f>
        <v/>
      </c>
      <c r="S365" s="30" t="str">
        <f aca="false">IF($E365="","",(N365+P365)*Precificação!$B$19)</f>
        <v/>
      </c>
      <c r="T365" s="30" t="str">
        <f aca="false">IF($E365="","",(O365+Q365)*Precificação!$B$20)</f>
        <v/>
      </c>
      <c r="U365" s="68" t="str">
        <f aca="false">IF($E365="","",IF($E365=INT($E365),0.01,IF($E365*2=INT($E365*2),0.02,0.05)))</f>
        <v/>
      </c>
      <c r="V365" s="30" t="str">
        <f aca="false">IF($E365="","",ROUND(S365/$E365/U365,0)*U365)</f>
        <v/>
      </c>
      <c r="W365" s="30" t="str">
        <f aca="false">IF($E365="","",ROUND(T365/$E365/U365,0)*U365)</f>
        <v/>
      </c>
      <c r="X365" s="14" t="str">
        <f aca="false">IF(NOT(ISNUMBER(E365)),"",IF(NOT(ISNUMBER(E366)),ROW(),X366))</f>
        <v/>
      </c>
    </row>
    <row r="366" customFormat="false" ht="15" hidden="false" customHeight="false" outlineLevel="0" collapsed="false">
      <c r="F366" s="66" t="str">
        <f aca="false">IF($E366="","",V366)</f>
        <v/>
      </c>
      <c r="G366" s="66" t="str">
        <f aca="false">IF($E366="","",ROUND(W366+IF($B366=Precificação!$B$26,$F$3/$E366,0),2))</f>
        <v/>
      </c>
      <c r="H366" s="30" t="str">
        <f aca="false">IF($E366="","",F366+G366)</f>
        <v/>
      </c>
      <c r="I366" s="30" t="str">
        <f aca="false">IF($E366="","",$E366*F366)</f>
        <v/>
      </c>
      <c r="J366" s="30" t="str">
        <f aca="false">IF($E366="","",$E366*G366)</f>
        <v/>
      </c>
      <c r="K366" s="30" t="str">
        <f aca="false">IF($E366="","",I366+J366)</f>
        <v/>
      </c>
      <c r="L366" s="53" t="str">
        <f aca="false">IF($E366="","",IF(R366=0,"SEM CUSTO — falta linha de custo","OK"))</f>
        <v/>
      </c>
      <c r="M366" s="67" t="str">
        <f aca="false">IF(AND(ISNUMBER(E366),NOT(ISNUMBER(E365))),"F"&amp;ROW()&amp;":G"&amp;X366,"")</f>
        <v/>
      </c>
      <c r="N366" s="30" t="str">
        <f aca="false">IF($E366="","",SUMIFS('Rateio Anexo'!$K$6:$K$600,'Rateio Anexo'!$D$6:$D$600,$B366,'Rateio Anexo'!$B$6:$B$600,"MAT"))</f>
        <v/>
      </c>
      <c r="O366" s="30" t="str">
        <f aca="false">IF($E366="","",SUMIFS('Rateio Anexo'!$K$6:$K$600,'Rateio Anexo'!$D$6:$D$600,$B366,'Rateio Anexo'!$B$6:$B$600,"MO"))</f>
        <v/>
      </c>
      <c r="P366" s="30" t="str">
        <f aca="false">IF($E366="","",IF($N$3=0,0,N366/$N$3*$R$4))</f>
        <v/>
      </c>
      <c r="Q366" s="30" t="str">
        <f aca="false">IF($E366="","",IF($O$3=0,0,O366/$O$3*$T$4))</f>
        <v/>
      </c>
      <c r="R366" s="30" t="str">
        <f aca="false">IF($E366="","",N366+O366+P366+Q366)</f>
        <v/>
      </c>
      <c r="S366" s="30" t="str">
        <f aca="false">IF($E366="","",(N366+P366)*Precificação!$B$19)</f>
        <v/>
      </c>
      <c r="T366" s="30" t="str">
        <f aca="false">IF($E366="","",(O366+Q366)*Precificação!$B$20)</f>
        <v/>
      </c>
      <c r="U366" s="68" t="str">
        <f aca="false">IF($E366="","",IF($E366=INT($E366),0.01,IF($E366*2=INT($E366*2),0.02,0.05)))</f>
        <v/>
      </c>
      <c r="V366" s="30" t="str">
        <f aca="false">IF($E366="","",ROUND(S366/$E366/U366,0)*U366)</f>
        <v/>
      </c>
      <c r="W366" s="30" t="str">
        <f aca="false">IF($E366="","",ROUND(T366/$E366/U366,0)*U366)</f>
        <v/>
      </c>
      <c r="X366" s="14" t="str">
        <f aca="false">IF(NOT(ISNUMBER(E366)),"",IF(NOT(ISNUMBER(E367)),ROW(),X367))</f>
        <v/>
      </c>
    </row>
    <row r="367" customFormat="false" ht="15" hidden="false" customHeight="false" outlineLevel="0" collapsed="false">
      <c r="F367" s="66" t="str">
        <f aca="false">IF($E367="","",V367)</f>
        <v/>
      </c>
      <c r="G367" s="66" t="str">
        <f aca="false">IF($E367="","",ROUND(W367+IF($B367=Precificação!$B$26,$F$3/$E367,0),2))</f>
        <v/>
      </c>
      <c r="H367" s="30" t="str">
        <f aca="false">IF($E367="","",F367+G367)</f>
        <v/>
      </c>
      <c r="I367" s="30" t="str">
        <f aca="false">IF($E367="","",$E367*F367)</f>
        <v/>
      </c>
      <c r="J367" s="30" t="str">
        <f aca="false">IF($E367="","",$E367*G367)</f>
        <v/>
      </c>
      <c r="K367" s="30" t="str">
        <f aca="false">IF($E367="","",I367+J367)</f>
        <v/>
      </c>
      <c r="L367" s="53" t="str">
        <f aca="false">IF($E367="","",IF(R367=0,"SEM CUSTO — falta linha de custo","OK"))</f>
        <v/>
      </c>
      <c r="M367" s="67" t="str">
        <f aca="false">IF(AND(ISNUMBER(E367),NOT(ISNUMBER(E366))),"F"&amp;ROW()&amp;":G"&amp;X367,"")</f>
        <v/>
      </c>
      <c r="N367" s="30" t="str">
        <f aca="false">IF($E367="","",SUMIFS('Rateio Anexo'!$K$6:$K$600,'Rateio Anexo'!$D$6:$D$600,$B367,'Rateio Anexo'!$B$6:$B$600,"MAT"))</f>
        <v/>
      </c>
      <c r="O367" s="30" t="str">
        <f aca="false">IF($E367="","",SUMIFS('Rateio Anexo'!$K$6:$K$600,'Rateio Anexo'!$D$6:$D$600,$B367,'Rateio Anexo'!$B$6:$B$600,"MO"))</f>
        <v/>
      </c>
      <c r="P367" s="30" t="str">
        <f aca="false">IF($E367="","",IF($N$3=0,0,N367/$N$3*$R$4))</f>
        <v/>
      </c>
      <c r="Q367" s="30" t="str">
        <f aca="false">IF($E367="","",IF($O$3=0,0,O367/$O$3*$T$4))</f>
        <v/>
      </c>
      <c r="R367" s="30" t="str">
        <f aca="false">IF($E367="","",N367+O367+P367+Q367)</f>
        <v/>
      </c>
      <c r="S367" s="30" t="str">
        <f aca="false">IF($E367="","",(N367+P367)*Precificação!$B$19)</f>
        <v/>
      </c>
      <c r="T367" s="30" t="str">
        <f aca="false">IF($E367="","",(O367+Q367)*Precificação!$B$20)</f>
        <v/>
      </c>
      <c r="U367" s="68" t="str">
        <f aca="false">IF($E367="","",IF($E367=INT($E367),0.01,IF($E367*2=INT($E367*2),0.02,0.05)))</f>
        <v/>
      </c>
      <c r="V367" s="30" t="str">
        <f aca="false">IF($E367="","",ROUND(S367/$E367/U367,0)*U367)</f>
        <v/>
      </c>
      <c r="W367" s="30" t="str">
        <f aca="false">IF($E367="","",ROUND(T367/$E367/U367,0)*U367)</f>
        <v/>
      </c>
      <c r="X367" s="14" t="str">
        <f aca="false">IF(NOT(ISNUMBER(E367)),"",IF(NOT(ISNUMBER(E368)),ROW(),X368))</f>
        <v/>
      </c>
    </row>
    <row r="368" customFormat="false" ht="15" hidden="false" customHeight="false" outlineLevel="0" collapsed="false">
      <c r="F368" s="66" t="str">
        <f aca="false">IF($E368="","",V368)</f>
        <v/>
      </c>
      <c r="G368" s="66" t="str">
        <f aca="false">IF($E368="","",ROUND(W368+IF($B368=Precificação!$B$26,$F$3/$E368,0),2))</f>
        <v/>
      </c>
      <c r="H368" s="30" t="str">
        <f aca="false">IF($E368="","",F368+G368)</f>
        <v/>
      </c>
      <c r="I368" s="30" t="str">
        <f aca="false">IF($E368="","",$E368*F368)</f>
        <v/>
      </c>
      <c r="J368" s="30" t="str">
        <f aca="false">IF($E368="","",$E368*G368)</f>
        <v/>
      </c>
      <c r="K368" s="30" t="str">
        <f aca="false">IF($E368="","",I368+J368)</f>
        <v/>
      </c>
      <c r="L368" s="53" t="str">
        <f aca="false">IF($E368="","",IF(R368=0,"SEM CUSTO — falta linha de custo","OK"))</f>
        <v/>
      </c>
      <c r="M368" s="67" t="str">
        <f aca="false">IF(AND(ISNUMBER(E368),NOT(ISNUMBER(E367))),"F"&amp;ROW()&amp;":G"&amp;X368,"")</f>
        <v/>
      </c>
      <c r="N368" s="30" t="str">
        <f aca="false">IF($E368="","",SUMIFS('Rateio Anexo'!$K$6:$K$600,'Rateio Anexo'!$D$6:$D$600,$B368,'Rateio Anexo'!$B$6:$B$600,"MAT"))</f>
        <v/>
      </c>
      <c r="O368" s="30" t="str">
        <f aca="false">IF($E368="","",SUMIFS('Rateio Anexo'!$K$6:$K$600,'Rateio Anexo'!$D$6:$D$600,$B368,'Rateio Anexo'!$B$6:$B$600,"MO"))</f>
        <v/>
      </c>
      <c r="P368" s="30" t="str">
        <f aca="false">IF($E368="","",IF($N$3=0,0,N368/$N$3*$R$4))</f>
        <v/>
      </c>
      <c r="Q368" s="30" t="str">
        <f aca="false">IF($E368="","",IF($O$3=0,0,O368/$O$3*$T$4))</f>
        <v/>
      </c>
      <c r="R368" s="30" t="str">
        <f aca="false">IF($E368="","",N368+O368+P368+Q368)</f>
        <v/>
      </c>
      <c r="S368" s="30" t="str">
        <f aca="false">IF($E368="","",(N368+P368)*Precificação!$B$19)</f>
        <v/>
      </c>
      <c r="T368" s="30" t="str">
        <f aca="false">IF($E368="","",(O368+Q368)*Precificação!$B$20)</f>
        <v/>
      </c>
      <c r="U368" s="68" t="str">
        <f aca="false">IF($E368="","",IF($E368=INT($E368),0.01,IF($E368*2=INT($E368*2),0.02,0.05)))</f>
        <v/>
      </c>
      <c r="V368" s="30" t="str">
        <f aca="false">IF($E368="","",ROUND(S368/$E368/U368,0)*U368)</f>
        <v/>
      </c>
      <c r="W368" s="30" t="str">
        <f aca="false">IF($E368="","",ROUND(T368/$E368/U368,0)*U368)</f>
        <v/>
      </c>
      <c r="X368" s="14" t="str">
        <f aca="false">IF(NOT(ISNUMBER(E368)),"",IF(NOT(ISNUMBER(E369)),ROW(),X369))</f>
        <v/>
      </c>
    </row>
    <row r="369" customFormat="false" ht="15" hidden="false" customHeight="false" outlineLevel="0" collapsed="false">
      <c r="F369" s="66" t="str">
        <f aca="false">IF($E369="","",V369)</f>
        <v/>
      </c>
      <c r="G369" s="66" t="str">
        <f aca="false">IF($E369="","",ROUND(W369+IF($B369=Precificação!$B$26,$F$3/$E369,0),2))</f>
        <v/>
      </c>
      <c r="H369" s="30" t="str">
        <f aca="false">IF($E369="","",F369+G369)</f>
        <v/>
      </c>
      <c r="I369" s="30" t="str">
        <f aca="false">IF($E369="","",$E369*F369)</f>
        <v/>
      </c>
      <c r="J369" s="30" t="str">
        <f aca="false">IF($E369="","",$E369*G369)</f>
        <v/>
      </c>
      <c r="K369" s="30" t="str">
        <f aca="false">IF($E369="","",I369+J369)</f>
        <v/>
      </c>
      <c r="L369" s="53" t="str">
        <f aca="false">IF($E369="","",IF(R369=0,"SEM CUSTO — falta linha de custo","OK"))</f>
        <v/>
      </c>
      <c r="M369" s="67" t="str">
        <f aca="false">IF(AND(ISNUMBER(E369),NOT(ISNUMBER(E368))),"F"&amp;ROW()&amp;":G"&amp;X369,"")</f>
        <v/>
      </c>
      <c r="N369" s="30" t="str">
        <f aca="false">IF($E369="","",SUMIFS('Rateio Anexo'!$K$6:$K$600,'Rateio Anexo'!$D$6:$D$600,$B369,'Rateio Anexo'!$B$6:$B$600,"MAT"))</f>
        <v/>
      </c>
      <c r="O369" s="30" t="str">
        <f aca="false">IF($E369="","",SUMIFS('Rateio Anexo'!$K$6:$K$600,'Rateio Anexo'!$D$6:$D$600,$B369,'Rateio Anexo'!$B$6:$B$600,"MO"))</f>
        <v/>
      </c>
      <c r="P369" s="30" t="str">
        <f aca="false">IF($E369="","",IF($N$3=0,0,N369/$N$3*$R$4))</f>
        <v/>
      </c>
      <c r="Q369" s="30" t="str">
        <f aca="false">IF($E369="","",IF($O$3=0,0,O369/$O$3*$T$4))</f>
        <v/>
      </c>
      <c r="R369" s="30" t="str">
        <f aca="false">IF($E369="","",N369+O369+P369+Q369)</f>
        <v/>
      </c>
      <c r="S369" s="30" t="str">
        <f aca="false">IF($E369="","",(N369+P369)*Precificação!$B$19)</f>
        <v/>
      </c>
      <c r="T369" s="30" t="str">
        <f aca="false">IF($E369="","",(O369+Q369)*Precificação!$B$20)</f>
        <v/>
      </c>
      <c r="U369" s="68" t="str">
        <f aca="false">IF($E369="","",IF($E369=INT($E369),0.01,IF($E369*2=INT($E369*2),0.02,0.05)))</f>
        <v/>
      </c>
      <c r="V369" s="30" t="str">
        <f aca="false">IF($E369="","",ROUND(S369/$E369/U369,0)*U369)</f>
        <v/>
      </c>
      <c r="W369" s="30" t="str">
        <f aca="false">IF($E369="","",ROUND(T369/$E369/U369,0)*U369)</f>
        <v/>
      </c>
      <c r="X369" s="14" t="str">
        <f aca="false">IF(NOT(ISNUMBER(E369)),"",IF(NOT(ISNUMBER(E370)),ROW(),X370))</f>
        <v/>
      </c>
    </row>
    <row r="370" customFormat="false" ht="15" hidden="false" customHeight="false" outlineLevel="0" collapsed="false">
      <c r="F370" s="66" t="str">
        <f aca="false">IF($E370="","",V370)</f>
        <v/>
      </c>
      <c r="G370" s="66" t="str">
        <f aca="false">IF($E370="","",ROUND(W370+IF($B370=Precificação!$B$26,$F$3/$E370,0),2))</f>
        <v/>
      </c>
      <c r="H370" s="30" t="str">
        <f aca="false">IF($E370="","",F370+G370)</f>
        <v/>
      </c>
      <c r="I370" s="30" t="str">
        <f aca="false">IF($E370="","",$E370*F370)</f>
        <v/>
      </c>
      <c r="J370" s="30" t="str">
        <f aca="false">IF($E370="","",$E370*G370)</f>
        <v/>
      </c>
      <c r="K370" s="30" t="str">
        <f aca="false">IF($E370="","",I370+J370)</f>
        <v/>
      </c>
      <c r="L370" s="53" t="str">
        <f aca="false">IF($E370="","",IF(R370=0,"SEM CUSTO — falta linha de custo","OK"))</f>
        <v/>
      </c>
      <c r="M370" s="67" t="str">
        <f aca="false">IF(AND(ISNUMBER(E370),NOT(ISNUMBER(E369))),"F"&amp;ROW()&amp;":G"&amp;X370,"")</f>
        <v/>
      </c>
      <c r="N370" s="30" t="str">
        <f aca="false">IF($E370="","",SUMIFS('Rateio Anexo'!$K$6:$K$600,'Rateio Anexo'!$D$6:$D$600,$B370,'Rateio Anexo'!$B$6:$B$600,"MAT"))</f>
        <v/>
      </c>
      <c r="O370" s="30" t="str">
        <f aca="false">IF($E370="","",SUMIFS('Rateio Anexo'!$K$6:$K$600,'Rateio Anexo'!$D$6:$D$600,$B370,'Rateio Anexo'!$B$6:$B$600,"MO"))</f>
        <v/>
      </c>
      <c r="P370" s="30" t="str">
        <f aca="false">IF($E370="","",IF($N$3=0,0,N370/$N$3*$R$4))</f>
        <v/>
      </c>
      <c r="Q370" s="30" t="str">
        <f aca="false">IF($E370="","",IF($O$3=0,0,O370/$O$3*$T$4))</f>
        <v/>
      </c>
      <c r="R370" s="30" t="str">
        <f aca="false">IF($E370="","",N370+O370+P370+Q370)</f>
        <v/>
      </c>
      <c r="S370" s="30" t="str">
        <f aca="false">IF($E370="","",(N370+P370)*Precificação!$B$19)</f>
        <v/>
      </c>
      <c r="T370" s="30" t="str">
        <f aca="false">IF($E370="","",(O370+Q370)*Precificação!$B$20)</f>
        <v/>
      </c>
      <c r="U370" s="68" t="str">
        <f aca="false">IF($E370="","",IF($E370=INT($E370),0.01,IF($E370*2=INT($E370*2),0.02,0.05)))</f>
        <v/>
      </c>
      <c r="V370" s="30" t="str">
        <f aca="false">IF($E370="","",ROUND(S370/$E370/U370,0)*U370)</f>
        <v/>
      </c>
      <c r="W370" s="30" t="str">
        <f aca="false">IF($E370="","",ROUND(T370/$E370/U370,0)*U370)</f>
        <v/>
      </c>
      <c r="X370" s="14" t="str">
        <f aca="false">IF(NOT(ISNUMBER(E370)),"",IF(NOT(ISNUMBER(E371)),ROW(),X371))</f>
        <v/>
      </c>
    </row>
    <row r="371" customFormat="false" ht="15" hidden="false" customHeight="false" outlineLevel="0" collapsed="false">
      <c r="F371" s="66" t="str">
        <f aca="false">IF($E371="","",V371)</f>
        <v/>
      </c>
      <c r="G371" s="66" t="str">
        <f aca="false">IF($E371="","",ROUND(W371+IF($B371=Precificação!$B$26,$F$3/$E371,0),2))</f>
        <v/>
      </c>
      <c r="H371" s="30" t="str">
        <f aca="false">IF($E371="","",F371+G371)</f>
        <v/>
      </c>
      <c r="I371" s="30" t="str">
        <f aca="false">IF($E371="","",$E371*F371)</f>
        <v/>
      </c>
      <c r="J371" s="30" t="str">
        <f aca="false">IF($E371="","",$E371*G371)</f>
        <v/>
      </c>
      <c r="K371" s="30" t="str">
        <f aca="false">IF($E371="","",I371+J371)</f>
        <v/>
      </c>
      <c r="L371" s="53" t="str">
        <f aca="false">IF($E371="","",IF(R371=0,"SEM CUSTO — falta linha de custo","OK"))</f>
        <v/>
      </c>
      <c r="M371" s="67" t="str">
        <f aca="false">IF(AND(ISNUMBER(E371),NOT(ISNUMBER(E370))),"F"&amp;ROW()&amp;":G"&amp;X371,"")</f>
        <v/>
      </c>
      <c r="N371" s="30" t="str">
        <f aca="false">IF($E371="","",SUMIFS('Rateio Anexo'!$K$6:$K$600,'Rateio Anexo'!$D$6:$D$600,$B371,'Rateio Anexo'!$B$6:$B$600,"MAT"))</f>
        <v/>
      </c>
      <c r="O371" s="30" t="str">
        <f aca="false">IF($E371="","",SUMIFS('Rateio Anexo'!$K$6:$K$600,'Rateio Anexo'!$D$6:$D$600,$B371,'Rateio Anexo'!$B$6:$B$600,"MO"))</f>
        <v/>
      </c>
      <c r="P371" s="30" t="str">
        <f aca="false">IF($E371="","",IF($N$3=0,0,N371/$N$3*$R$4))</f>
        <v/>
      </c>
      <c r="Q371" s="30" t="str">
        <f aca="false">IF($E371="","",IF($O$3=0,0,O371/$O$3*$T$4))</f>
        <v/>
      </c>
      <c r="R371" s="30" t="str">
        <f aca="false">IF($E371="","",N371+O371+P371+Q371)</f>
        <v/>
      </c>
      <c r="S371" s="30" t="str">
        <f aca="false">IF($E371="","",(N371+P371)*Precificação!$B$19)</f>
        <v/>
      </c>
      <c r="T371" s="30" t="str">
        <f aca="false">IF($E371="","",(O371+Q371)*Precificação!$B$20)</f>
        <v/>
      </c>
      <c r="U371" s="68" t="str">
        <f aca="false">IF($E371="","",IF($E371=INT($E371),0.01,IF($E371*2=INT($E371*2),0.02,0.05)))</f>
        <v/>
      </c>
      <c r="V371" s="30" t="str">
        <f aca="false">IF($E371="","",ROUND(S371/$E371/U371,0)*U371)</f>
        <v/>
      </c>
      <c r="W371" s="30" t="str">
        <f aca="false">IF($E371="","",ROUND(T371/$E371/U371,0)*U371)</f>
        <v/>
      </c>
      <c r="X371" s="14" t="str">
        <f aca="false">IF(NOT(ISNUMBER(E371)),"",IF(NOT(ISNUMBER(E372)),ROW(),X372))</f>
        <v/>
      </c>
    </row>
    <row r="372" customFormat="false" ht="15" hidden="false" customHeight="false" outlineLevel="0" collapsed="false">
      <c r="F372" s="66" t="str">
        <f aca="false">IF($E372="","",V372)</f>
        <v/>
      </c>
      <c r="G372" s="66" t="str">
        <f aca="false">IF($E372="","",ROUND(W372+IF($B372=Precificação!$B$26,$F$3/$E372,0),2))</f>
        <v/>
      </c>
      <c r="H372" s="30" t="str">
        <f aca="false">IF($E372="","",F372+G372)</f>
        <v/>
      </c>
      <c r="I372" s="30" t="str">
        <f aca="false">IF($E372="","",$E372*F372)</f>
        <v/>
      </c>
      <c r="J372" s="30" t="str">
        <f aca="false">IF($E372="","",$E372*G372)</f>
        <v/>
      </c>
      <c r="K372" s="30" t="str">
        <f aca="false">IF($E372="","",I372+J372)</f>
        <v/>
      </c>
      <c r="L372" s="53" t="str">
        <f aca="false">IF($E372="","",IF(R372=0,"SEM CUSTO — falta linha de custo","OK"))</f>
        <v/>
      </c>
      <c r="M372" s="67" t="str">
        <f aca="false">IF(AND(ISNUMBER(E372),NOT(ISNUMBER(E371))),"F"&amp;ROW()&amp;":G"&amp;X372,"")</f>
        <v/>
      </c>
      <c r="N372" s="30" t="str">
        <f aca="false">IF($E372="","",SUMIFS('Rateio Anexo'!$K$6:$K$600,'Rateio Anexo'!$D$6:$D$600,$B372,'Rateio Anexo'!$B$6:$B$600,"MAT"))</f>
        <v/>
      </c>
      <c r="O372" s="30" t="str">
        <f aca="false">IF($E372="","",SUMIFS('Rateio Anexo'!$K$6:$K$600,'Rateio Anexo'!$D$6:$D$600,$B372,'Rateio Anexo'!$B$6:$B$600,"MO"))</f>
        <v/>
      </c>
      <c r="P372" s="30" t="str">
        <f aca="false">IF($E372="","",IF($N$3=0,0,N372/$N$3*$R$4))</f>
        <v/>
      </c>
      <c r="Q372" s="30" t="str">
        <f aca="false">IF($E372="","",IF($O$3=0,0,O372/$O$3*$T$4))</f>
        <v/>
      </c>
      <c r="R372" s="30" t="str">
        <f aca="false">IF($E372="","",N372+O372+P372+Q372)</f>
        <v/>
      </c>
      <c r="S372" s="30" t="str">
        <f aca="false">IF($E372="","",(N372+P372)*Precificação!$B$19)</f>
        <v/>
      </c>
      <c r="T372" s="30" t="str">
        <f aca="false">IF($E372="","",(O372+Q372)*Precificação!$B$20)</f>
        <v/>
      </c>
      <c r="U372" s="68" t="str">
        <f aca="false">IF($E372="","",IF($E372=INT($E372),0.01,IF($E372*2=INT($E372*2),0.02,0.05)))</f>
        <v/>
      </c>
      <c r="V372" s="30" t="str">
        <f aca="false">IF($E372="","",ROUND(S372/$E372/U372,0)*U372)</f>
        <v/>
      </c>
      <c r="W372" s="30" t="str">
        <f aca="false">IF($E372="","",ROUND(T372/$E372/U372,0)*U372)</f>
        <v/>
      </c>
      <c r="X372" s="14" t="str">
        <f aca="false">IF(NOT(ISNUMBER(E372)),"",IF(NOT(ISNUMBER(E373)),ROW(),X373))</f>
        <v/>
      </c>
    </row>
    <row r="373" customFormat="false" ht="15" hidden="false" customHeight="false" outlineLevel="0" collapsed="false">
      <c r="F373" s="66" t="str">
        <f aca="false">IF($E373="","",V373)</f>
        <v/>
      </c>
      <c r="G373" s="66" t="str">
        <f aca="false">IF($E373="","",ROUND(W373+IF($B373=Precificação!$B$26,$F$3/$E373,0),2))</f>
        <v/>
      </c>
      <c r="H373" s="30" t="str">
        <f aca="false">IF($E373="","",F373+G373)</f>
        <v/>
      </c>
      <c r="I373" s="30" t="str">
        <f aca="false">IF($E373="","",$E373*F373)</f>
        <v/>
      </c>
      <c r="J373" s="30" t="str">
        <f aca="false">IF($E373="","",$E373*G373)</f>
        <v/>
      </c>
      <c r="K373" s="30" t="str">
        <f aca="false">IF($E373="","",I373+J373)</f>
        <v/>
      </c>
      <c r="L373" s="53" t="str">
        <f aca="false">IF($E373="","",IF(R373=0,"SEM CUSTO — falta linha de custo","OK"))</f>
        <v/>
      </c>
      <c r="M373" s="67" t="str">
        <f aca="false">IF(AND(ISNUMBER(E373),NOT(ISNUMBER(E372))),"F"&amp;ROW()&amp;":G"&amp;X373,"")</f>
        <v/>
      </c>
      <c r="N373" s="30" t="str">
        <f aca="false">IF($E373="","",SUMIFS('Rateio Anexo'!$K$6:$K$600,'Rateio Anexo'!$D$6:$D$600,$B373,'Rateio Anexo'!$B$6:$B$600,"MAT"))</f>
        <v/>
      </c>
      <c r="O373" s="30" t="str">
        <f aca="false">IF($E373="","",SUMIFS('Rateio Anexo'!$K$6:$K$600,'Rateio Anexo'!$D$6:$D$600,$B373,'Rateio Anexo'!$B$6:$B$600,"MO"))</f>
        <v/>
      </c>
      <c r="P373" s="30" t="str">
        <f aca="false">IF($E373="","",IF($N$3=0,0,N373/$N$3*$R$4))</f>
        <v/>
      </c>
      <c r="Q373" s="30" t="str">
        <f aca="false">IF($E373="","",IF($O$3=0,0,O373/$O$3*$T$4))</f>
        <v/>
      </c>
      <c r="R373" s="30" t="str">
        <f aca="false">IF($E373="","",N373+O373+P373+Q373)</f>
        <v/>
      </c>
      <c r="S373" s="30" t="str">
        <f aca="false">IF($E373="","",(N373+P373)*Precificação!$B$19)</f>
        <v/>
      </c>
      <c r="T373" s="30" t="str">
        <f aca="false">IF($E373="","",(O373+Q373)*Precificação!$B$20)</f>
        <v/>
      </c>
      <c r="U373" s="68" t="str">
        <f aca="false">IF($E373="","",IF($E373=INT($E373),0.01,IF($E373*2=INT($E373*2),0.02,0.05)))</f>
        <v/>
      </c>
      <c r="V373" s="30" t="str">
        <f aca="false">IF($E373="","",ROUND(S373/$E373/U373,0)*U373)</f>
        <v/>
      </c>
      <c r="W373" s="30" t="str">
        <f aca="false">IF($E373="","",ROUND(T373/$E373/U373,0)*U373)</f>
        <v/>
      </c>
      <c r="X373" s="14" t="str">
        <f aca="false">IF(NOT(ISNUMBER(E373)),"",IF(NOT(ISNUMBER(E374)),ROW(),X374))</f>
        <v/>
      </c>
    </row>
    <row r="374" customFormat="false" ht="15" hidden="false" customHeight="false" outlineLevel="0" collapsed="false">
      <c r="F374" s="66" t="str">
        <f aca="false">IF($E374="","",V374)</f>
        <v/>
      </c>
      <c r="G374" s="66" t="str">
        <f aca="false">IF($E374="","",ROUND(W374+IF($B374=Precificação!$B$26,$F$3/$E374,0),2))</f>
        <v/>
      </c>
      <c r="H374" s="30" t="str">
        <f aca="false">IF($E374="","",F374+G374)</f>
        <v/>
      </c>
      <c r="I374" s="30" t="str">
        <f aca="false">IF($E374="","",$E374*F374)</f>
        <v/>
      </c>
      <c r="J374" s="30" t="str">
        <f aca="false">IF($E374="","",$E374*G374)</f>
        <v/>
      </c>
      <c r="K374" s="30" t="str">
        <f aca="false">IF($E374="","",I374+J374)</f>
        <v/>
      </c>
      <c r="L374" s="53" t="str">
        <f aca="false">IF($E374="","",IF(R374=0,"SEM CUSTO — falta linha de custo","OK"))</f>
        <v/>
      </c>
      <c r="M374" s="67" t="str">
        <f aca="false">IF(AND(ISNUMBER(E374),NOT(ISNUMBER(E373))),"F"&amp;ROW()&amp;":G"&amp;X374,"")</f>
        <v/>
      </c>
      <c r="N374" s="30" t="str">
        <f aca="false">IF($E374="","",SUMIFS('Rateio Anexo'!$K$6:$K$600,'Rateio Anexo'!$D$6:$D$600,$B374,'Rateio Anexo'!$B$6:$B$600,"MAT"))</f>
        <v/>
      </c>
      <c r="O374" s="30" t="str">
        <f aca="false">IF($E374="","",SUMIFS('Rateio Anexo'!$K$6:$K$600,'Rateio Anexo'!$D$6:$D$600,$B374,'Rateio Anexo'!$B$6:$B$600,"MO"))</f>
        <v/>
      </c>
      <c r="P374" s="30" t="str">
        <f aca="false">IF($E374="","",IF($N$3=0,0,N374/$N$3*$R$4))</f>
        <v/>
      </c>
      <c r="Q374" s="30" t="str">
        <f aca="false">IF($E374="","",IF($O$3=0,0,O374/$O$3*$T$4))</f>
        <v/>
      </c>
      <c r="R374" s="30" t="str">
        <f aca="false">IF($E374="","",N374+O374+P374+Q374)</f>
        <v/>
      </c>
      <c r="S374" s="30" t="str">
        <f aca="false">IF($E374="","",(N374+P374)*Precificação!$B$19)</f>
        <v/>
      </c>
      <c r="T374" s="30" t="str">
        <f aca="false">IF($E374="","",(O374+Q374)*Precificação!$B$20)</f>
        <v/>
      </c>
      <c r="U374" s="68" t="str">
        <f aca="false">IF($E374="","",IF($E374=INT($E374),0.01,IF($E374*2=INT($E374*2),0.02,0.05)))</f>
        <v/>
      </c>
      <c r="V374" s="30" t="str">
        <f aca="false">IF($E374="","",ROUND(S374/$E374/U374,0)*U374)</f>
        <v/>
      </c>
      <c r="W374" s="30" t="str">
        <f aca="false">IF($E374="","",ROUND(T374/$E374/U374,0)*U374)</f>
        <v/>
      </c>
      <c r="X374" s="14" t="str">
        <f aca="false">IF(NOT(ISNUMBER(E374)),"",IF(NOT(ISNUMBER(E375)),ROW(),X375))</f>
        <v/>
      </c>
    </row>
    <row r="375" customFormat="false" ht="15" hidden="false" customHeight="false" outlineLevel="0" collapsed="false">
      <c r="F375" s="66" t="str">
        <f aca="false">IF($E375="","",V375)</f>
        <v/>
      </c>
      <c r="G375" s="66" t="str">
        <f aca="false">IF($E375="","",ROUND(W375+IF($B375=Precificação!$B$26,$F$3/$E375,0),2))</f>
        <v/>
      </c>
      <c r="H375" s="30" t="str">
        <f aca="false">IF($E375="","",F375+G375)</f>
        <v/>
      </c>
      <c r="I375" s="30" t="str">
        <f aca="false">IF($E375="","",$E375*F375)</f>
        <v/>
      </c>
      <c r="J375" s="30" t="str">
        <f aca="false">IF($E375="","",$E375*G375)</f>
        <v/>
      </c>
      <c r="K375" s="30" t="str">
        <f aca="false">IF($E375="","",I375+J375)</f>
        <v/>
      </c>
      <c r="L375" s="53" t="str">
        <f aca="false">IF($E375="","",IF(R375=0,"SEM CUSTO — falta linha de custo","OK"))</f>
        <v/>
      </c>
      <c r="M375" s="67" t="str">
        <f aca="false">IF(AND(ISNUMBER(E375),NOT(ISNUMBER(E374))),"F"&amp;ROW()&amp;":G"&amp;X375,"")</f>
        <v/>
      </c>
      <c r="N375" s="30" t="str">
        <f aca="false">IF($E375="","",SUMIFS('Rateio Anexo'!$K$6:$K$600,'Rateio Anexo'!$D$6:$D$600,$B375,'Rateio Anexo'!$B$6:$B$600,"MAT"))</f>
        <v/>
      </c>
      <c r="O375" s="30" t="str">
        <f aca="false">IF($E375="","",SUMIFS('Rateio Anexo'!$K$6:$K$600,'Rateio Anexo'!$D$6:$D$600,$B375,'Rateio Anexo'!$B$6:$B$600,"MO"))</f>
        <v/>
      </c>
      <c r="P375" s="30" t="str">
        <f aca="false">IF($E375="","",IF($N$3=0,0,N375/$N$3*$R$4))</f>
        <v/>
      </c>
      <c r="Q375" s="30" t="str">
        <f aca="false">IF($E375="","",IF($O$3=0,0,O375/$O$3*$T$4))</f>
        <v/>
      </c>
      <c r="R375" s="30" t="str">
        <f aca="false">IF($E375="","",N375+O375+P375+Q375)</f>
        <v/>
      </c>
      <c r="S375" s="30" t="str">
        <f aca="false">IF($E375="","",(N375+P375)*Precificação!$B$19)</f>
        <v/>
      </c>
      <c r="T375" s="30" t="str">
        <f aca="false">IF($E375="","",(O375+Q375)*Precificação!$B$20)</f>
        <v/>
      </c>
      <c r="U375" s="68" t="str">
        <f aca="false">IF($E375="","",IF($E375=INT($E375),0.01,IF($E375*2=INT($E375*2),0.02,0.05)))</f>
        <v/>
      </c>
      <c r="V375" s="30" t="str">
        <f aca="false">IF($E375="","",ROUND(S375/$E375/U375,0)*U375)</f>
        <v/>
      </c>
      <c r="W375" s="30" t="str">
        <f aca="false">IF($E375="","",ROUND(T375/$E375/U375,0)*U375)</f>
        <v/>
      </c>
      <c r="X375" s="14" t="str">
        <f aca="false">IF(NOT(ISNUMBER(E375)),"",IF(NOT(ISNUMBER(E376)),ROW(),X376))</f>
        <v/>
      </c>
    </row>
    <row r="376" customFormat="false" ht="15" hidden="false" customHeight="false" outlineLevel="0" collapsed="false">
      <c r="F376" s="66" t="str">
        <f aca="false">IF($E376="","",V376)</f>
        <v/>
      </c>
      <c r="G376" s="66" t="str">
        <f aca="false">IF($E376="","",ROUND(W376+IF($B376=Precificação!$B$26,$F$3/$E376,0),2))</f>
        <v/>
      </c>
      <c r="H376" s="30" t="str">
        <f aca="false">IF($E376="","",F376+G376)</f>
        <v/>
      </c>
      <c r="I376" s="30" t="str">
        <f aca="false">IF($E376="","",$E376*F376)</f>
        <v/>
      </c>
      <c r="J376" s="30" t="str">
        <f aca="false">IF($E376="","",$E376*G376)</f>
        <v/>
      </c>
      <c r="K376" s="30" t="str">
        <f aca="false">IF($E376="","",I376+J376)</f>
        <v/>
      </c>
      <c r="L376" s="53" t="str">
        <f aca="false">IF($E376="","",IF(R376=0,"SEM CUSTO — falta linha de custo","OK"))</f>
        <v/>
      </c>
      <c r="M376" s="67" t="str">
        <f aca="false">IF(AND(ISNUMBER(E376),NOT(ISNUMBER(E375))),"F"&amp;ROW()&amp;":G"&amp;X376,"")</f>
        <v/>
      </c>
      <c r="N376" s="30" t="str">
        <f aca="false">IF($E376="","",SUMIFS('Rateio Anexo'!$K$6:$K$600,'Rateio Anexo'!$D$6:$D$600,$B376,'Rateio Anexo'!$B$6:$B$600,"MAT"))</f>
        <v/>
      </c>
      <c r="O376" s="30" t="str">
        <f aca="false">IF($E376="","",SUMIFS('Rateio Anexo'!$K$6:$K$600,'Rateio Anexo'!$D$6:$D$600,$B376,'Rateio Anexo'!$B$6:$B$600,"MO"))</f>
        <v/>
      </c>
      <c r="P376" s="30" t="str">
        <f aca="false">IF($E376="","",IF($N$3=0,0,N376/$N$3*$R$4))</f>
        <v/>
      </c>
      <c r="Q376" s="30" t="str">
        <f aca="false">IF($E376="","",IF($O$3=0,0,O376/$O$3*$T$4))</f>
        <v/>
      </c>
      <c r="R376" s="30" t="str">
        <f aca="false">IF($E376="","",N376+O376+P376+Q376)</f>
        <v/>
      </c>
      <c r="S376" s="30" t="str">
        <f aca="false">IF($E376="","",(N376+P376)*Precificação!$B$19)</f>
        <v/>
      </c>
      <c r="T376" s="30" t="str">
        <f aca="false">IF($E376="","",(O376+Q376)*Precificação!$B$20)</f>
        <v/>
      </c>
      <c r="U376" s="68" t="str">
        <f aca="false">IF($E376="","",IF($E376=INT($E376),0.01,IF($E376*2=INT($E376*2),0.02,0.05)))</f>
        <v/>
      </c>
      <c r="V376" s="30" t="str">
        <f aca="false">IF($E376="","",ROUND(S376/$E376/U376,0)*U376)</f>
        <v/>
      </c>
      <c r="W376" s="30" t="str">
        <f aca="false">IF($E376="","",ROUND(T376/$E376/U376,0)*U376)</f>
        <v/>
      </c>
      <c r="X376" s="14" t="str">
        <f aca="false">IF(NOT(ISNUMBER(E376)),"",IF(NOT(ISNUMBER(E377)),ROW(),X377))</f>
        <v/>
      </c>
    </row>
    <row r="377" customFormat="false" ht="15" hidden="false" customHeight="false" outlineLevel="0" collapsed="false">
      <c r="F377" s="66" t="str">
        <f aca="false">IF($E377="","",V377)</f>
        <v/>
      </c>
      <c r="G377" s="66" t="str">
        <f aca="false">IF($E377="","",ROUND(W377+IF($B377=Precificação!$B$26,$F$3/$E377,0),2))</f>
        <v/>
      </c>
      <c r="H377" s="30" t="str">
        <f aca="false">IF($E377="","",F377+G377)</f>
        <v/>
      </c>
      <c r="I377" s="30" t="str">
        <f aca="false">IF($E377="","",$E377*F377)</f>
        <v/>
      </c>
      <c r="J377" s="30" t="str">
        <f aca="false">IF($E377="","",$E377*G377)</f>
        <v/>
      </c>
      <c r="K377" s="30" t="str">
        <f aca="false">IF($E377="","",I377+J377)</f>
        <v/>
      </c>
      <c r="L377" s="53" t="str">
        <f aca="false">IF($E377="","",IF(R377=0,"SEM CUSTO — falta linha de custo","OK"))</f>
        <v/>
      </c>
      <c r="M377" s="67" t="str">
        <f aca="false">IF(AND(ISNUMBER(E377),NOT(ISNUMBER(E376))),"F"&amp;ROW()&amp;":G"&amp;X377,"")</f>
        <v/>
      </c>
      <c r="N377" s="30" t="str">
        <f aca="false">IF($E377="","",SUMIFS('Rateio Anexo'!$K$6:$K$600,'Rateio Anexo'!$D$6:$D$600,$B377,'Rateio Anexo'!$B$6:$B$600,"MAT"))</f>
        <v/>
      </c>
      <c r="O377" s="30" t="str">
        <f aca="false">IF($E377="","",SUMIFS('Rateio Anexo'!$K$6:$K$600,'Rateio Anexo'!$D$6:$D$600,$B377,'Rateio Anexo'!$B$6:$B$600,"MO"))</f>
        <v/>
      </c>
      <c r="P377" s="30" t="str">
        <f aca="false">IF($E377="","",IF($N$3=0,0,N377/$N$3*$R$4))</f>
        <v/>
      </c>
      <c r="Q377" s="30" t="str">
        <f aca="false">IF($E377="","",IF($O$3=0,0,O377/$O$3*$T$4))</f>
        <v/>
      </c>
      <c r="R377" s="30" t="str">
        <f aca="false">IF($E377="","",N377+O377+P377+Q377)</f>
        <v/>
      </c>
      <c r="S377" s="30" t="str">
        <f aca="false">IF($E377="","",(N377+P377)*Precificação!$B$19)</f>
        <v/>
      </c>
      <c r="T377" s="30" t="str">
        <f aca="false">IF($E377="","",(O377+Q377)*Precificação!$B$20)</f>
        <v/>
      </c>
      <c r="U377" s="68" t="str">
        <f aca="false">IF($E377="","",IF($E377=INT($E377),0.01,IF($E377*2=INT($E377*2),0.02,0.05)))</f>
        <v/>
      </c>
      <c r="V377" s="30" t="str">
        <f aca="false">IF($E377="","",ROUND(S377/$E377/U377,0)*U377)</f>
        <v/>
      </c>
      <c r="W377" s="30" t="str">
        <f aca="false">IF($E377="","",ROUND(T377/$E377/U377,0)*U377)</f>
        <v/>
      </c>
      <c r="X377" s="14" t="str">
        <f aca="false">IF(NOT(ISNUMBER(E377)),"",IF(NOT(ISNUMBER(E378)),ROW(),X378))</f>
        <v/>
      </c>
    </row>
    <row r="378" customFormat="false" ht="15" hidden="false" customHeight="false" outlineLevel="0" collapsed="false">
      <c r="F378" s="66" t="str">
        <f aca="false">IF($E378="","",V378)</f>
        <v/>
      </c>
      <c r="G378" s="66" t="str">
        <f aca="false">IF($E378="","",ROUND(W378+IF($B378=Precificação!$B$26,$F$3/$E378,0),2))</f>
        <v/>
      </c>
      <c r="H378" s="30" t="str">
        <f aca="false">IF($E378="","",F378+G378)</f>
        <v/>
      </c>
      <c r="I378" s="30" t="str">
        <f aca="false">IF($E378="","",$E378*F378)</f>
        <v/>
      </c>
      <c r="J378" s="30" t="str">
        <f aca="false">IF($E378="","",$E378*G378)</f>
        <v/>
      </c>
      <c r="K378" s="30" t="str">
        <f aca="false">IF($E378="","",I378+J378)</f>
        <v/>
      </c>
      <c r="L378" s="53" t="str">
        <f aca="false">IF($E378="","",IF(R378=0,"SEM CUSTO — falta linha de custo","OK"))</f>
        <v/>
      </c>
      <c r="M378" s="67" t="str">
        <f aca="false">IF(AND(ISNUMBER(E378),NOT(ISNUMBER(E377))),"F"&amp;ROW()&amp;":G"&amp;X378,"")</f>
        <v/>
      </c>
      <c r="N378" s="30" t="str">
        <f aca="false">IF($E378="","",SUMIFS('Rateio Anexo'!$K$6:$K$600,'Rateio Anexo'!$D$6:$D$600,$B378,'Rateio Anexo'!$B$6:$B$600,"MAT"))</f>
        <v/>
      </c>
      <c r="O378" s="30" t="str">
        <f aca="false">IF($E378="","",SUMIFS('Rateio Anexo'!$K$6:$K$600,'Rateio Anexo'!$D$6:$D$600,$B378,'Rateio Anexo'!$B$6:$B$600,"MO"))</f>
        <v/>
      </c>
      <c r="P378" s="30" t="str">
        <f aca="false">IF($E378="","",IF($N$3=0,0,N378/$N$3*$R$4))</f>
        <v/>
      </c>
      <c r="Q378" s="30" t="str">
        <f aca="false">IF($E378="","",IF($O$3=0,0,O378/$O$3*$T$4))</f>
        <v/>
      </c>
      <c r="R378" s="30" t="str">
        <f aca="false">IF($E378="","",N378+O378+P378+Q378)</f>
        <v/>
      </c>
      <c r="S378" s="30" t="str">
        <f aca="false">IF($E378="","",(N378+P378)*Precificação!$B$19)</f>
        <v/>
      </c>
      <c r="T378" s="30" t="str">
        <f aca="false">IF($E378="","",(O378+Q378)*Precificação!$B$20)</f>
        <v/>
      </c>
      <c r="U378" s="68" t="str">
        <f aca="false">IF($E378="","",IF($E378=INT($E378),0.01,IF($E378*2=INT($E378*2),0.02,0.05)))</f>
        <v/>
      </c>
      <c r="V378" s="30" t="str">
        <f aca="false">IF($E378="","",ROUND(S378/$E378/U378,0)*U378)</f>
        <v/>
      </c>
      <c r="W378" s="30" t="str">
        <f aca="false">IF($E378="","",ROUND(T378/$E378/U378,0)*U378)</f>
        <v/>
      </c>
      <c r="X378" s="14" t="str">
        <f aca="false">IF(NOT(ISNUMBER(E378)),"",IF(NOT(ISNUMBER(E379)),ROW(),X379))</f>
        <v/>
      </c>
    </row>
    <row r="379" customFormat="false" ht="15" hidden="false" customHeight="false" outlineLevel="0" collapsed="false">
      <c r="F379" s="66" t="str">
        <f aca="false">IF($E379="","",V379)</f>
        <v/>
      </c>
      <c r="G379" s="66" t="str">
        <f aca="false">IF($E379="","",ROUND(W379+IF($B379=Precificação!$B$26,$F$3/$E379,0),2))</f>
        <v/>
      </c>
      <c r="H379" s="30" t="str">
        <f aca="false">IF($E379="","",F379+G379)</f>
        <v/>
      </c>
      <c r="I379" s="30" t="str">
        <f aca="false">IF($E379="","",$E379*F379)</f>
        <v/>
      </c>
      <c r="J379" s="30" t="str">
        <f aca="false">IF($E379="","",$E379*G379)</f>
        <v/>
      </c>
      <c r="K379" s="30" t="str">
        <f aca="false">IF($E379="","",I379+J379)</f>
        <v/>
      </c>
      <c r="L379" s="53" t="str">
        <f aca="false">IF($E379="","",IF(R379=0,"SEM CUSTO — falta linha de custo","OK"))</f>
        <v/>
      </c>
      <c r="M379" s="67" t="str">
        <f aca="false">IF(AND(ISNUMBER(E379),NOT(ISNUMBER(E378))),"F"&amp;ROW()&amp;":G"&amp;X379,"")</f>
        <v/>
      </c>
      <c r="N379" s="30" t="str">
        <f aca="false">IF($E379="","",SUMIFS('Rateio Anexo'!$K$6:$K$600,'Rateio Anexo'!$D$6:$D$600,$B379,'Rateio Anexo'!$B$6:$B$600,"MAT"))</f>
        <v/>
      </c>
      <c r="O379" s="30" t="str">
        <f aca="false">IF($E379="","",SUMIFS('Rateio Anexo'!$K$6:$K$600,'Rateio Anexo'!$D$6:$D$600,$B379,'Rateio Anexo'!$B$6:$B$600,"MO"))</f>
        <v/>
      </c>
      <c r="P379" s="30" t="str">
        <f aca="false">IF($E379="","",IF($N$3=0,0,N379/$N$3*$R$4))</f>
        <v/>
      </c>
      <c r="Q379" s="30" t="str">
        <f aca="false">IF($E379="","",IF($O$3=0,0,O379/$O$3*$T$4))</f>
        <v/>
      </c>
      <c r="R379" s="30" t="str">
        <f aca="false">IF($E379="","",N379+O379+P379+Q379)</f>
        <v/>
      </c>
      <c r="S379" s="30" t="str">
        <f aca="false">IF($E379="","",(N379+P379)*Precificação!$B$19)</f>
        <v/>
      </c>
      <c r="T379" s="30" t="str">
        <f aca="false">IF($E379="","",(O379+Q379)*Precificação!$B$20)</f>
        <v/>
      </c>
      <c r="U379" s="68" t="str">
        <f aca="false">IF($E379="","",IF($E379=INT($E379),0.01,IF($E379*2=INT($E379*2),0.02,0.05)))</f>
        <v/>
      </c>
      <c r="V379" s="30" t="str">
        <f aca="false">IF($E379="","",ROUND(S379/$E379/U379,0)*U379)</f>
        <v/>
      </c>
      <c r="W379" s="30" t="str">
        <f aca="false">IF($E379="","",ROUND(T379/$E379/U379,0)*U379)</f>
        <v/>
      </c>
      <c r="X379" s="14" t="str">
        <f aca="false">IF(NOT(ISNUMBER(E379)),"",IF(NOT(ISNUMBER(E380)),ROW(),X380))</f>
        <v/>
      </c>
    </row>
    <row r="380" customFormat="false" ht="15" hidden="false" customHeight="false" outlineLevel="0" collapsed="false">
      <c r="F380" s="66" t="str">
        <f aca="false">IF($E380="","",V380)</f>
        <v/>
      </c>
      <c r="G380" s="66" t="str">
        <f aca="false">IF($E380="","",ROUND(W380+IF($B380=Precificação!$B$26,$F$3/$E380,0),2))</f>
        <v/>
      </c>
      <c r="H380" s="30" t="str">
        <f aca="false">IF($E380="","",F380+G380)</f>
        <v/>
      </c>
      <c r="I380" s="30" t="str">
        <f aca="false">IF($E380="","",$E380*F380)</f>
        <v/>
      </c>
      <c r="J380" s="30" t="str">
        <f aca="false">IF($E380="","",$E380*G380)</f>
        <v/>
      </c>
      <c r="K380" s="30" t="str">
        <f aca="false">IF($E380="","",I380+J380)</f>
        <v/>
      </c>
      <c r="L380" s="53" t="str">
        <f aca="false">IF($E380="","",IF(R380=0,"SEM CUSTO — falta linha de custo","OK"))</f>
        <v/>
      </c>
      <c r="M380" s="67" t="str">
        <f aca="false">IF(AND(ISNUMBER(E380),NOT(ISNUMBER(E379))),"F"&amp;ROW()&amp;":G"&amp;X380,"")</f>
        <v/>
      </c>
      <c r="N380" s="30" t="str">
        <f aca="false">IF($E380="","",SUMIFS('Rateio Anexo'!$K$6:$K$600,'Rateio Anexo'!$D$6:$D$600,$B380,'Rateio Anexo'!$B$6:$B$600,"MAT"))</f>
        <v/>
      </c>
      <c r="O380" s="30" t="str">
        <f aca="false">IF($E380="","",SUMIFS('Rateio Anexo'!$K$6:$K$600,'Rateio Anexo'!$D$6:$D$600,$B380,'Rateio Anexo'!$B$6:$B$600,"MO"))</f>
        <v/>
      </c>
      <c r="P380" s="30" t="str">
        <f aca="false">IF($E380="","",IF($N$3=0,0,N380/$N$3*$R$4))</f>
        <v/>
      </c>
      <c r="Q380" s="30" t="str">
        <f aca="false">IF($E380="","",IF($O$3=0,0,O380/$O$3*$T$4))</f>
        <v/>
      </c>
      <c r="R380" s="30" t="str">
        <f aca="false">IF($E380="","",N380+O380+P380+Q380)</f>
        <v/>
      </c>
      <c r="S380" s="30" t="str">
        <f aca="false">IF($E380="","",(N380+P380)*Precificação!$B$19)</f>
        <v/>
      </c>
      <c r="T380" s="30" t="str">
        <f aca="false">IF($E380="","",(O380+Q380)*Precificação!$B$20)</f>
        <v/>
      </c>
      <c r="U380" s="68" t="str">
        <f aca="false">IF($E380="","",IF($E380=INT($E380),0.01,IF($E380*2=INT($E380*2),0.02,0.05)))</f>
        <v/>
      </c>
      <c r="V380" s="30" t="str">
        <f aca="false">IF($E380="","",ROUND(S380/$E380/U380,0)*U380)</f>
        <v/>
      </c>
      <c r="W380" s="30" t="str">
        <f aca="false">IF($E380="","",ROUND(T380/$E380/U380,0)*U380)</f>
        <v/>
      </c>
      <c r="X380" s="14" t="str">
        <f aca="false">IF(NOT(ISNUMBER(E380)),"",IF(NOT(ISNUMBER(E381)),ROW(),X381))</f>
        <v/>
      </c>
    </row>
    <row r="381" customFormat="false" ht="15" hidden="false" customHeight="false" outlineLevel="0" collapsed="false">
      <c r="F381" s="66" t="str">
        <f aca="false">IF($E381="","",V381)</f>
        <v/>
      </c>
      <c r="G381" s="66" t="str">
        <f aca="false">IF($E381="","",ROUND(W381+IF($B381=Precificação!$B$26,$F$3/$E381,0),2))</f>
        <v/>
      </c>
      <c r="H381" s="30" t="str">
        <f aca="false">IF($E381="","",F381+G381)</f>
        <v/>
      </c>
      <c r="I381" s="30" t="str">
        <f aca="false">IF($E381="","",$E381*F381)</f>
        <v/>
      </c>
      <c r="J381" s="30" t="str">
        <f aca="false">IF($E381="","",$E381*G381)</f>
        <v/>
      </c>
      <c r="K381" s="30" t="str">
        <f aca="false">IF($E381="","",I381+J381)</f>
        <v/>
      </c>
      <c r="L381" s="53" t="str">
        <f aca="false">IF($E381="","",IF(R381=0,"SEM CUSTO — falta linha de custo","OK"))</f>
        <v/>
      </c>
      <c r="M381" s="67" t="str">
        <f aca="false">IF(AND(ISNUMBER(E381),NOT(ISNUMBER(E380))),"F"&amp;ROW()&amp;":G"&amp;X381,"")</f>
        <v/>
      </c>
      <c r="N381" s="30" t="str">
        <f aca="false">IF($E381="","",SUMIFS('Rateio Anexo'!$K$6:$K$600,'Rateio Anexo'!$D$6:$D$600,$B381,'Rateio Anexo'!$B$6:$B$600,"MAT"))</f>
        <v/>
      </c>
      <c r="O381" s="30" t="str">
        <f aca="false">IF($E381="","",SUMIFS('Rateio Anexo'!$K$6:$K$600,'Rateio Anexo'!$D$6:$D$600,$B381,'Rateio Anexo'!$B$6:$B$600,"MO"))</f>
        <v/>
      </c>
      <c r="P381" s="30" t="str">
        <f aca="false">IF($E381="","",IF($N$3=0,0,N381/$N$3*$R$4))</f>
        <v/>
      </c>
      <c r="Q381" s="30" t="str">
        <f aca="false">IF($E381="","",IF($O$3=0,0,O381/$O$3*$T$4))</f>
        <v/>
      </c>
      <c r="R381" s="30" t="str">
        <f aca="false">IF($E381="","",N381+O381+P381+Q381)</f>
        <v/>
      </c>
      <c r="S381" s="30" t="str">
        <f aca="false">IF($E381="","",(N381+P381)*Precificação!$B$19)</f>
        <v/>
      </c>
      <c r="T381" s="30" t="str">
        <f aca="false">IF($E381="","",(O381+Q381)*Precificação!$B$20)</f>
        <v/>
      </c>
      <c r="U381" s="68" t="str">
        <f aca="false">IF($E381="","",IF($E381=INT($E381),0.01,IF($E381*2=INT($E381*2),0.02,0.05)))</f>
        <v/>
      </c>
      <c r="V381" s="30" t="str">
        <f aca="false">IF($E381="","",ROUND(S381/$E381/U381,0)*U381)</f>
        <v/>
      </c>
      <c r="W381" s="30" t="str">
        <f aca="false">IF($E381="","",ROUND(T381/$E381/U381,0)*U381)</f>
        <v/>
      </c>
      <c r="X381" s="14" t="str">
        <f aca="false">IF(NOT(ISNUMBER(E381)),"",IF(NOT(ISNUMBER(E382)),ROW(),X382))</f>
        <v/>
      </c>
    </row>
    <row r="382" customFormat="false" ht="15" hidden="false" customHeight="false" outlineLevel="0" collapsed="false">
      <c r="F382" s="66" t="str">
        <f aca="false">IF($E382="","",V382)</f>
        <v/>
      </c>
      <c r="G382" s="66" t="str">
        <f aca="false">IF($E382="","",ROUND(W382+IF($B382=Precificação!$B$26,$F$3/$E382,0),2))</f>
        <v/>
      </c>
      <c r="H382" s="30" t="str">
        <f aca="false">IF($E382="","",F382+G382)</f>
        <v/>
      </c>
      <c r="I382" s="30" t="str">
        <f aca="false">IF($E382="","",$E382*F382)</f>
        <v/>
      </c>
      <c r="J382" s="30" t="str">
        <f aca="false">IF($E382="","",$E382*G382)</f>
        <v/>
      </c>
      <c r="K382" s="30" t="str">
        <f aca="false">IF($E382="","",I382+J382)</f>
        <v/>
      </c>
      <c r="L382" s="53" t="str">
        <f aca="false">IF($E382="","",IF(R382=0,"SEM CUSTO — falta linha de custo","OK"))</f>
        <v/>
      </c>
      <c r="M382" s="67" t="str">
        <f aca="false">IF(AND(ISNUMBER(E382),NOT(ISNUMBER(E381))),"F"&amp;ROW()&amp;":G"&amp;X382,"")</f>
        <v/>
      </c>
      <c r="N382" s="30" t="str">
        <f aca="false">IF($E382="","",SUMIFS('Rateio Anexo'!$K$6:$K$600,'Rateio Anexo'!$D$6:$D$600,$B382,'Rateio Anexo'!$B$6:$B$600,"MAT"))</f>
        <v/>
      </c>
      <c r="O382" s="30" t="str">
        <f aca="false">IF($E382="","",SUMIFS('Rateio Anexo'!$K$6:$K$600,'Rateio Anexo'!$D$6:$D$600,$B382,'Rateio Anexo'!$B$6:$B$600,"MO"))</f>
        <v/>
      </c>
      <c r="P382" s="30" t="str">
        <f aca="false">IF($E382="","",IF($N$3=0,0,N382/$N$3*$R$4))</f>
        <v/>
      </c>
      <c r="Q382" s="30" t="str">
        <f aca="false">IF($E382="","",IF($O$3=0,0,O382/$O$3*$T$4))</f>
        <v/>
      </c>
      <c r="R382" s="30" t="str">
        <f aca="false">IF($E382="","",N382+O382+P382+Q382)</f>
        <v/>
      </c>
      <c r="S382" s="30" t="str">
        <f aca="false">IF($E382="","",(N382+P382)*Precificação!$B$19)</f>
        <v/>
      </c>
      <c r="T382" s="30" t="str">
        <f aca="false">IF($E382="","",(O382+Q382)*Precificação!$B$20)</f>
        <v/>
      </c>
      <c r="U382" s="68" t="str">
        <f aca="false">IF($E382="","",IF($E382=INT($E382),0.01,IF($E382*2=INT($E382*2),0.02,0.05)))</f>
        <v/>
      </c>
      <c r="V382" s="30" t="str">
        <f aca="false">IF($E382="","",ROUND(S382/$E382/U382,0)*U382)</f>
        <v/>
      </c>
      <c r="W382" s="30" t="str">
        <f aca="false">IF($E382="","",ROUND(T382/$E382/U382,0)*U382)</f>
        <v/>
      </c>
      <c r="X382" s="14" t="str">
        <f aca="false">IF(NOT(ISNUMBER(E382)),"",IF(NOT(ISNUMBER(E383)),ROW(),X383))</f>
        <v/>
      </c>
    </row>
    <row r="383" customFormat="false" ht="15" hidden="false" customHeight="false" outlineLevel="0" collapsed="false">
      <c r="F383" s="66" t="str">
        <f aca="false">IF($E383="","",V383)</f>
        <v/>
      </c>
      <c r="G383" s="66" t="str">
        <f aca="false">IF($E383="","",ROUND(W383+IF($B383=Precificação!$B$26,$F$3/$E383,0),2))</f>
        <v/>
      </c>
      <c r="H383" s="30" t="str">
        <f aca="false">IF($E383="","",F383+G383)</f>
        <v/>
      </c>
      <c r="I383" s="30" t="str">
        <f aca="false">IF($E383="","",$E383*F383)</f>
        <v/>
      </c>
      <c r="J383" s="30" t="str">
        <f aca="false">IF($E383="","",$E383*G383)</f>
        <v/>
      </c>
      <c r="K383" s="30" t="str">
        <f aca="false">IF($E383="","",I383+J383)</f>
        <v/>
      </c>
      <c r="L383" s="53" t="str">
        <f aca="false">IF($E383="","",IF(R383=0,"SEM CUSTO — falta linha de custo","OK"))</f>
        <v/>
      </c>
      <c r="M383" s="67" t="str">
        <f aca="false">IF(AND(ISNUMBER(E383),NOT(ISNUMBER(E382))),"F"&amp;ROW()&amp;":G"&amp;X383,"")</f>
        <v/>
      </c>
      <c r="N383" s="30" t="str">
        <f aca="false">IF($E383="","",SUMIFS('Rateio Anexo'!$K$6:$K$600,'Rateio Anexo'!$D$6:$D$600,$B383,'Rateio Anexo'!$B$6:$B$600,"MAT"))</f>
        <v/>
      </c>
      <c r="O383" s="30" t="str">
        <f aca="false">IF($E383="","",SUMIFS('Rateio Anexo'!$K$6:$K$600,'Rateio Anexo'!$D$6:$D$600,$B383,'Rateio Anexo'!$B$6:$B$600,"MO"))</f>
        <v/>
      </c>
      <c r="P383" s="30" t="str">
        <f aca="false">IF($E383="","",IF($N$3=0,0,N383/$N$3*$R$4))</f>
        <v/>
      </c>
      <c r="Q383" s="30" t="str">
        <f aca="false">IF($E383="","",IF($O$3=0,0,O383/$O$3*$T$4))</f>
        <v/>
      </c>
      <c r="R383" s="30" t="str">
        <f aca="false">IF($E383="","",N383+O383+P383+Q383)</f>
        <v/>
      </c>
      <c r="S383" s="30" t="str">
        <f aca="false">IF($E383="","",(N383+P383)*Precificação!$B$19)</f>
        <v/>
      </c>
      <c r="T383" s="30" t="str">
        <f aca="false">IF($E383="","",(O383+Q383)*Precificação!$B$20)</f>
        <v/>
      </c>
      <c r="U383" s="68" t="str">
        <f aca="false">IF($E383="","",IF($E383=INT($E383),0.01,IF($E383*2=INT($E383*2),0.02,0.05)))</f>
        <v/>
      </c>
      <c r="V383" s="30" t="str">
        <f aca="false">IF($E383="","",ROUND(S383/$E383/U383,0)*U383)</f>
        <v/>
      </c>
      <c r="W383" s="30" t="str">
        <f aca="false">IF($E383="","",ROUND(T383/$E383/U383,0)*U383)</f>
        <v/>
      </c>
      <c r="X383" s="14" t="str">
        <f aca="false">IF(NOT(ISNUMBER(E383)),"",IF(NOT(ISNUMBER(E384)),ROW(),X384))</f>
        <v/>
      </c>
    </row>
    <row r="384" customFormat="false" ht="15" hidden="false" customHeight="false" outlineLevel="0" collapsed="false">
      <c r="F384" s="66" t="str">
        <f aca="false">IF($E384="","",V384)</f>
        <v/>
      </c>
      <c r="G384" s="66" t="str">
        <f aca="false">IF($E384="","",ROUND(W384+IF($B384=Precificação!$B$26,$F$3/$E384,0),2))</f>
        <v/>
      </c>
      <c r="H384" s="30" t="str">
        <f aca="false">IF($E384="","",F384+G384)</f>
        <v/>
      </c>
      <c r="I384" s="30" t="str">
        <f aca="false">IF($E384="","",$E384*F384)</f>
        <v/>
      </c>
      <c r="J384" s="30" t="str">
        <f aca="false">IF($E384="","",$E384*G384)</f>
        <v/>
      </c>
      <c r="K384" s="30" t="str">
        <f aca="false">IF($E384="","",I384+J384)</f>
        <v/>
      </c>
      <c r="L384" s="53" t="str">
        <f aca="false">IF($E384="","",IF(R384=0,"SEM CUSTO — falta linha de custo","OK"))</f>
        <v/>
      </c>
      <c r="M384" s="67" t="str">
        <f aca="false">IF(AND(ISNUMBER(E384),NOT(ISNUMBER(E383))),"F"&amp;ROW()&amp;":G"&amp;X384,"")</f>
        <v/>
      </c>
      <c r="N384" s="30" t="str">
        <f aca="false">IF($E384="","",SUMIFS('Rateio Anexo'!$K$6:$K$600,'Rateio Anexo'!$D$6:$D$600,$B384,'Rateio Anexo'!$B$6:$B$600,"MAT"))</f>
        <v/>
      </c>
      <c r="O384" s="30" t="str">
        <f aca="false">IF($E384="","",SUMIFS('Rateio Anexo'!$K$6:$K$600,'Rateio Anexo'!$D$6:$D$600,$B384,'Rateio Anexo'!$B$6:$B$600,"MO"))</f>
        <v/>
      </c>
      <c r="P384" s="30" t="str">
        <f aca="false">IF($E384="","",IF($N$3=0,0,N384/$N$3*$R$4))</f>
        <v/>
      </c>
      <c r="Q384" s="30" t="str">
        <f aca="false">IF($E384="","",IF($O$3=0,0,O384/$O$3*$T$4))</f>
        <v/>
      </c>
      <c r="R384" s="30" t="str">
        <f aca="false">IF($E384="","",N384+O384+P384+Q384)</f>
        <v/>
      </c>
      <c r="S384" s="30" t="str">
        <f aca="false">IF($E384="","",(N384+P384)*Precificação!$B$19)</f>
        <v/>
      </c>
      <c r="T384" s="30" t="str">
        <f aca="false">IF($E384="","",(O384+Q384)*Precificação!$B$20)</f>
        <v/>
      </c>
      <c r="U384" s="68" t="str">
        <f aca="false">IF($E384="","",IF($E384=INT($E384),0.01,IF($E384*2=INT($E384*2),0.02,0.05)))</f>
        <v/>
      </c>
      <c r="V384" s="30" t="str">
        <f aca="false">IF($E384="","",ROUND(S384/$E384/U384,0)*U384)</f>
        <v/>
      </c>
      <c r="W384" s="30" t="str">
        <f aca="false">IF($E384="","",ROUND(T384/$E384/U384,0)*U384)</f>
        <v/>
      </c>
      <c r="X384" s="14" t="str">
        <f aca="false">IF(NOT(ISNUMBER(E384)),"",IF(NOT(ISNUMBER(E385)),ROW(),X385))</f>
        <v/>
      </c>
    </row>
    <row r="385" customFormat="false" ht="15" hidden="false" customHeight="false" outlineLevel="0" collapsed="false">
      <c r="F385" s="66" t="str">
        <f aca="false">IF($E385="","",V385)</f>
        <v/>
      </c>
      <c r="G385" s="66" t="str">
        <f aca="false">IF($E385="","",ROUND(W385+IF($B385=Precificação!$B$26,$F$3/$E385,0),2))</f>
        <v/>
      </c>
      <c r="H385" s="30" t="str">
        <f aca="false">IF($E385="","",F385+G385)</f>
        <v/>
      </c>
      <c r="I385" s="30" t="str">
        <f aca="false">IF($E385="","",$E385*F385)</f>
        <v/>
      </c>
      <c r="J385" s="30" t="str">
        <f aca="false">IF($E385="","",$E385*G385)</f>
        <v/>
      </c>
      <c r="K385" s="30" t="str">
        <f aca="false">IF($E385="","",I385+J385)</f>
        <v/>
      </c>
      <c r="L385" s="53" t="str">
        <f aca="false">IF($E385="","",IF(R385=0,"SEM CUSTO — falta linha de custo","OK"))</f>
        <v/>
      </c>
      <c r="M385" s="67" t="str">
        <f aca="false">IF(AND(ISNUMBER(E385),NOT(ISNUMBER(E384))),"F"&amp;ROW()&amp;":G"&amp;X385,"")</f>
        <v/>
      </c>
      <c r="N385" s="30" t="str">
        <f aca="false">IF($E385="","",SUMIFS('Rateio Anexo'!$K$6:$K$600,'Rateio Anexo'!$D$6:$D$600,$B385,'Rateio Anexo'!$B$6:$B$600,"MAT"))</f>
        <v/>
      </c>
      <c r="O385" s="30" t="str">
        <f aca="false">IF($E385="","",SUMIFS('Rateio Anexo'!$K$6:$K$600,'Rateio Anexo'!$D$6:$D$600,$B385,'Rateio Anexo'!$B$6:$B$600,"MO"))</f>
        <v/>
      </c>
      <c r="P385" s="30" t="str">
        <f aca="false">IF($E385="","",IF($N$3=0,0,N385/$N$3*$R$4))</f>
        <v/>
      </c>
      <c r="Q385" s="30" t="str">
        <f aca="false">IF($E385="","",IF($O$3=0,0,O385/$O$3*$T$4))</f>
        <v/>
      </c>
      <c r="R385" s="30" t="str">
        <f aca="false">IF($E385="","",N385+O385+P385+Q385)</f>
        <v/>
      </c>
      <c r="S385" s="30" t="str">
        <f aca="false">IF($E385="","",(N385+P385)*Precificação!$B$19)</f>
        <v/>
      </c>
      <c r="T385" s="30" t="str">
        <f aca="false">IF($E385="","",(O385+Q385)*Precificação!$B$20)</f>
        <v/>
      </c>
      <c r="U385" s="68" t="str">
        <f aca="false">IF($E385="","",IF($E385=INT($E385),0.01,IF($E385*2=INT($E385*2),0.02,0.05)))</f>
        <v/>
      </c>
      <c r="V385" s="30" t="str">
        <f aca="false">IF($E385="","",ROUND(S385/$E385/U385,0)*U385)</f>
        <v/>
      </c>
      <c r="W385" s="30" t="str">
        <f aca="false">IF($E385="","",ROUND(T385/$E385/U385,0)*U385)</f>
        <v/>
      </c>
      <c r="X385" s="14" t="str">
        <f aca="false">IF(NOT(ISNUMBER(E385)),"",IF(NOT(ISNUMBER(E386)),ROW(),X386))</f>
        <v/>
      </c>
    </row>
    <row r="386" customFormat="false" ht="15" hidden="false" customHeight="false" outlineLevel="0" collapsed="false">
      <c r="F386" s="66" t="str">
        <f aca="false">IF($E386="","",V386)</f>
        <v/>
      </c>
      <c r="G386" s="66" t="str">
        <f aca="false">IF($E386="","",ROUND(W386+IF($B386=Precificação!$B$26,$F$3/$E386,0),2))</f>
        <v/>
      </c>
      <c r="H386" s="30" t="str">
        <f aca="false">IF($E386="","",F386+G386)</f>
        <v/>
      </c>
      <c r="I386" s="30" t="str">
        <f aca="false">IF($E386="","",$E386*F386)</f>
        <v/>
      </c>
      <c r="J386" s="30" t="str">
        <f aca="false">IF($E386="","",$E386*G386)</f>
        <v/>
      </c>
      <c r="K386" s="30" t="str">
        <f aca="false">IF($E386="","",I386+J386)</f>
        <v/>
      </c>
      <c r="L386" s="53" t="str">
        <f aca="false">IF($E386="","",IF(R386=0,"SEM CUSTO — falta linha de custo","OK"))</f>
        <v/>
      </c>
      <c r="M386" s="67" t="str">
        <f aca="false">IF(AND(ISNUMBER(E386),NOT(ISNUMBER(E385))),"F"&amp;ROW()&amp;":G"&amp;X386,"")</f>
        <v/>
      </c>
      <c r="N386" s="30" t="str">
        <f aca="false">IF($E386="","",SUMIFS('Rateio Anexo'!$K$6:$K$600,'Rateio Anexo'!$D$6:$D$600,$B386,'Rateio Anexo'!$B$6:$B$600,"MAT"))</f>
        <v/>
      </c>
      <c r="O386" s="30" t="str">
        <f aca="false">IF($E386="","",SUMIFS('Rateio Anexo'!$K$6:$K$600,'Rateio Anexo'!$D$6:$D$600,$B386,'Rateio Anexo'!$B$6:$B$600,"MO"))</f>
        <v/>
      </c>
      <c r="P386" s="30" t="str">
        <f aca="false">IF($E386="","",IF($N$3=0,0,N386/$N$3*$R$4))</f>
        <v/>
      </c>
      <c r="Q386" s="30" t="str">
        <f aca="false">IF($E386="","",IF($O$3=0,0,O386/$O$3*$T$4))</f>
        <v/>
      </c>
      <c r="R386" s="30" t="str">
        <f aca="false">IF($E386="","",N386+O386+P386+Q386)</f>
        <v/>
      </c>
      <c r="S386" s="30" t="str">
        <f aca="false">IF($E386="","",(N386+P386)*Precificação!$B$19)</f>
        <v/>
      </c>
      <c r="T386" s="30" t="str">
        <f aca="false">IF($E386="","",(O386+Q386)*Precificação!$B$20)</f>
        <v/>
      </c>
      <c r="U386" s="68" t="str">
        <f aca="false">IF($E386="","",IF($E386=INT($E386),0.01,IF($E386*2=INT($E386*2),0.02,0.05)))</f>
        <v/>
      </c>
      <c r="V386" s="30" t="str">
        <f aca="false">IF($E386="","",ROUND(S386/$E386/U386,0)*U386)</f>
        <v/>
      </c>
      <c r="W386" s="30" t="str">
        <f aca="false">IF($E386="","",ROUND(T386/$E386/U386,0)*U386)</f>
        <v/>
      </c>
      <c r="X386" s="14" t="str">
        <f aca="false">IF(NOT(ISNUMBER(E386)),"",IF(NOT(ISNUMBER(E387)),ROW(),X387))</f>
        <v/>
      </c>
    </row>
    <row r="387" customFormat="false" ht="15" hidden="false" customHeight="false" outlineLevel="0" collapsed="false">
      <c r="F387" s="66" t="str">
        <f aca="false">IF($E387="","",V387)</f>
        <v/>
      </c>
      <c r="G387" s="66" t="str">
        <f aca="false">IF($E387="","",ROUND(W387+IF($B387=Precificação!$B$26,$F$3/$E387,0),2))</f>
        <v/>
      </c>
      <c r="H387" s="30" t="str">
        <f aca="false">IF($E387="","",F387+G387)</f>
        <v/>
      </c>
      <c r="I387" s="30" t="str">
        <f aca="false">IF($E387="","",$E387*F387)</f>
        <v/>
      </c>
      <c r="J387" s="30" t="str">
        <f aca="false">IF($E387="","",$E387*G387)</f>
        <v/>
      </c>
      <c r="K387" s="30" t="str">
        <f aca="false">IF($E387="","",I387+J387)</f>
        <v/>
      </c>
      <c r="L387" s="53" t="str">
        <f aca="false">IF($E387="","",IF(R387=0,"SEM CUSTO — falta linha de custo","OK"))</f>
        <v/>
      </c>
      <c r="M387" s="67" t="str">
        <f aca="false">IF(AND(ISNUMBER(E387),NOT(ISNUMBER(E386))),"F"&amp;ROW()&amp;":G"&amp;X387,"")</f>
        <v/>
      </c>
      <c r="N387" s="30" t="str">
        <f aca="false">IF($E387="","",SUMIFS('Rateio Anexo'!$K$6:$K$600,'Rateio Anexo'!$D$6:$D$600,$B387,'Rateio Anexo'!$B$6:$B$600,"MAT"))</f>
        <v/>
      </c>
      <c r="O387" s="30" t="str">
        <f aca="false">IF($E387="","",SUMIFS('Rateio Anexo'!$K$6:$K$600,'Rateio Anexo'!$D$6:$D$600,$B387,'Rateio Anexo'!$B$6:$B$600,"MO"))</f>
        <v/>
      </c>
      <c r="P387" s="30" t="str">
        <f aca="false">IF($E387="","",IF($N$3=0,0,N387/$N$3*$R$4))</f>
        <v/>
      </c>
      <c r="Q387" s="30" t="str">
        <f aca="false">IF($E387="","",IF($O$3=0,0,O387/$O$3*$T$4))</f>
        <v/>
      </c>
      <c r="R387" s="30" t="str">
        <f aca="false">IF($E387="","",N387+O387+P387+Q387)</f>
        <v/>
      </c>
      <c r="S387" s="30" t="str">
        <f aca="false">IF($E387="","",(N387+P387)*Precificação!$B$19)</f>
        <v/>
      </c>
      <c r="T387" s="30" t="str">
        <f aca="false">IF($E387="","",(O387+Q387)*Precificação!$B$20)</f>
        <v/>
      </c>
      <c r="U387" s="68" t="str">
        <f aca="false">IF($E387="","",IF($E387=INT($E387),0.01,IF($E387*2=INT($E387*2),0.02,0.05)))</f>
        <v/>
      </c>
      <c r="V387" s="30" t="str">
        <f aca="false">IF($E387="","",ROUND(S387/$E387/U387,0)*U387)</f>
        <v/>
      </c>
      <c r="W387" s="30" t="str">
        <f aca="false">IF($E387="","",ROUND(T387/$E387/U387,0)*U387)</f>
        <v/>
      </c>
      <c r="X387" s="14" t="str">
        <f aca="false">IF(NOT(ISNUMBER(E387)),"",IF(NOT(ISNUMBER(E388)),ROW(),X388))</f>
        <v/>
      </c>
    </row>
    <row r="388" customFormat="false" ht="15" hidden="false" customHeight="false" outlineLevel="0" collapsed="false">
      <c r="F388" s="66" t="str">
        <f aca="false">IF($E388="","",V388)</f>
        <v/>
      </c>
      <c r="G388" s="66" t="str">
        <f aca="false">IF($E388="","",ROUND(W388+IF($B388=Precificação!$B$26,$F$3/$E388,0),2))</f>
        <v/>
      </c>
      <c r="H388" s="30" t="str">
        <f aca="false">IF($E388="","",F388+G388)</f>
        <v/>
      </c>
      <c r="I388" s="30" t="str">
        <f aca="false">IF($E388="","",$E388*F388)</f>
        <v/>
      </c>
      <c r="J388" s="30" t="str">
        <f aca="false">IF($E388="","",$E388*G388)</f>
        <v/>
      </c>
      <c r="K388" s="30" t="str">
        <f aca="false">IF($E388="","",I388+J388)</f>
        <v/>
      </c>
      <c r="L388" s="53" t="str">
        <f aca="false">IF($E388="","",IF(R388=0,"SEM CUSTO — falta linha de custo","OK"))</f>
        <v/>
      </c>
      <c r="M388" s="67" t="str">
        <f aca="false">IF(AND(ISNUMBER(E388),NOT(ISNUMBER(E387))),"F"&amp;ROW()&amp;":G"&amp;X388,"")</f>
        <v/>
      </c>
      <c r="N388" s="30" t="str">
        <f aca="false">IF($E388="","",SUMIFS('Rateio Anexo'!$K$6:$K$600,'Rateio Anexo'!$D$6:$D$600,$B388,'Rateio Anexo'!$B$6:$B$600,"MAT"))</f>
        <v/>
      </c>
      <c r="O388" s="30" t="str">
        <f aca="false">IF($E388="","",SUMIFS('Rateio Anexo'!$K$6:$K$600,'Rateio Anexo'!$D$6:$D$600,$B388,'Rateio Anexo'!$B$6:$B$600,"MO"))</f>
        <v/>
      </c>
      <c r="P388" s="30" t="str">
        <f aca="false">IF($E388="","",IF($N$3=0,0,N388/$N$3*$R$4))</f>
        <v/>
      </c>
      <c r="Q388" s="30" t="str">
        <f aca="false">IF($E388="","",IF($O$3=0,0,O388/$O$3*$T$4))</f>
        <v/>
      </c>
      <c r="R388" s="30" t="str">
        <f aca="false">IF($E388="","",N388+O388+P388+Q388)</f>
        <v/>
      </c>
      <c r="S388" s="30" t="str">
        <f aca="false">IF($E388="","",(N388+P388)*Precificação!$B$19)</f>
        <v/>
      </c>
      <c r="T388" s="30" t="str">
        <f aca="false">IF($E388="","",(O388+Q388)*Precificação!$B$20)</f>
        <v/>
      </c>
      <c r="U388" s="68" t="str">
        <f aca="false">IF($E388="","",IF($E388=INT($E388),0.01,IF($E388*2=INT($E388*2),0.02,0.05)))</f>
        <v/>
      </c>
      <c r="V388" s="30" t="str">
        <f aca="false">IF($E388="","",ROUND(S388/$E388/U388,0)*U388)</f>
        <v/>
      </c>
      <c r="W388" s="30" t="str">
        <f aca="false">IF($E388="","",ROUND(T388/$E388/U388,0)*U388)</f>
        <v/>
      </c>
      <c r="X388" s="14" t="str">
        <f aca="false">IF(NOT(ISNUMBER(E388)),"",IF(NOT(ISNUMBER(E389)),ROW(),X389))</f>
        <v/>
      </c>
    </row>
    <row r="389" customFormat="false" ht="15" hidden="false" customHeight="false" outlineLevel="0" collapsed="false">
      <c r="F389" s="66" t="str">
        <f aca="false">IF($E389="","",V389)</f>
        <v/>
      </c>
      <c r="G389" s="66" t="str">
        <f aca="false">IF($E389="","",ROUND(W389+IF($B389=Precificação!$B$26,$F$3/$E389,0),2))</f>
        <v/>
      </c>
      <c r="H389" s="30" t="str">
        <f aca="false">IF($E389="","",F389+G389)</f>
        <v/>
      </c>
      <c r="I389" s="30" t="str">
        <f aca="false">IF($E389="","",$E389*F389)</f>
        <v/>
      </c>
      <c r="J389" s="30" t="str">
        <f aca="false">IF($E389="","",$E389*G389)</f>
        <v/>
      </c>
      <c r="K389" s="30" t="str">
        <f aca="false">IF($E389="","",I389+J389)</f>
        <v/>
      </c>
      <c r="L389" s="53" t="str">
        <f aca="false">IF($E389="","",IF(R389=0,"SEM CUSTO — falta linha de custo","OK"))</f>
        <v/>
      </c>
      <c r="M389" s="67" t="str">
        <f aca="false">IF(AND(ISNUMBER(E389),NOT(ISNUMBER(E388))),"F"&amp;ROW()&amp;":G"&amp;X389,"")</f>
        <v/>
      </c>
      <c r="N389" s="30" t="str">
        <f aca="false">IF($E389="","",SUMIFS('Rateio Anexo'!$K$6:$K$600,'Rateio Anexo'!$D$6:$D$600,$B389,'Rateio Anexo'!$B$6:$B$600,"MAT"))</f>
        <v/>
      </c>
      <c r="O389" s="30" t="str">
        <f aca="false">IF($E389="","",SUMIFS('Rateio Anexo'!$K$6:$K$600,'Rateio Anexo'!$D$6:$D$600,$B389,'Rateio Anexo'!$B$6:$B$600,"MO"))</f>
        <v/>
      </c>
      <c r="P389" s="30" t="str">
        <f aca="false">IF($E389="","",IF($N$3=0,0,N389/$N$3*$R$4))</f>
        <v/>
      </c>
      <c r="Q389" s="30" t="str">
        <f aca="false">IF($E389="","",IF($O$3=0,0,O389/$O$3*$T$4))</f>
        <v/>
      </c>
      <c r="R389" s="30" t="str">
        <f aca="false">IF($E389="","",N389+O389+P389+Q389)</f>
        <v/>
      </c>
      <c r="S389" s="30" t="str">
        <f aca="false">IF($E389="","",(N389+P389)*Precificação!$B$19)</f>
        <v/>
      </c>
      <c r="T389" s="30" t="str">
        <f aca="false">IF($E389="","",(O389+Q389)*Precificação!$B$20)</f>
        <v/>
      </c>
      <c r="U389" s="68" t="str">
        <f aca="false">IF($E389="","",IF($E389=INT($E389),0.01,IF($E389*2=INT($E389*2),0.02,0.05)))</f>
        <v/>
      </c>
      <c r="V389" s="30" t="str">
        <f aca="false">IF($E389="","",ROUND(S389/$E389/U389,0)*U389)</f>
        <v/>
      </c>
      <c r="W389" s="30" t="str">
        <f aca="false">IF($E389="","",ROUND(T389/$E389/U389,0)*U389)</f>
        <v/>
      </c>
      <c r="X389" s="14" t="str">
        <f aca="false">IF(NOT(ISNUMBER(E389)),"",IF(NOT(ISNUMBER(E390)),ROW(),X390))</f>
        <v/>
      </c>
    </row>
    <row r="390" customFormat="false" ht="15" hidden="false" customHeight="false" outlineLevel="0" collapsed="false">
      <c r="F390" s="66" t="str">
        <f aca="false">IF($E390="","",V390)</f>
        <v/>
      </c>
      <c r="G390" s="66" t="str">
        <f aca="false">IF($E390="","",ROUND(W390+IF($B390=Precificação!$B$26,$F$3/$E390,0),2))</f>
        <v/>
      </c>
      <c r="H390" s="30" t="str">
        <f aca="false">IF($E390="","",F390+G390)</f>
        <v/>
      </c>
      <c r="I390" s="30" t="str">
        <f aca="false">IF($E390="","",$E390*F390)</f>
        <v/>
      </c>
      <c r="J390" s="30" t="str">
        <f aca="false">IF($E390="","",$E390*G390)</f>
        <v/>
      </c>
      <c r="K390" s="30" t="str">
        <f aca="false">IF($E390="","",I390+J390)</f>
        <v/>
      </c>
      <c r="L390" s="53" t="str">
        <f aca="false">IF($E390="","",IF(R390=0,"SEM CUSTO — falta linha de custo","OK"))</f>
        <v/>
      </c>
      <c r="M390" s="67" t="str">
        <f aca="false">IF(AND(ISNUMBER(E390),NOT(ISNUMBER(E389))),"F"&amp;ROW()&amp;":G"&amp;X390,"")</f>
        <v/>
      </c>
      <c r="N390" s="30" t="str">
        <f aca="false">IF($E390="","",SUMIFS('Rateio Anexo'!$K$6:$K$600,'Rateio Anexo'!$D$6:$D$600,$B390,'Rateio Anexo'!$B$6:$B$600,"MAT"))</f>
        <v/>
      </c>
      <c r="O390" s="30" t="str">
        <f aca="false">IF($E390="","",SUMIFS('Rateio Anexo'!$K$6:$K$600,'Rateio Anexo'!$D$6:$D$600,$B390,'Rateio Anexo'!$B$6:$B$600,"MO"))</f>
        <v/>
      </c>
      <c r="P390" s="30" t="str">
        <f aca="false">IF($E390="","",IF($N$3=0,0,N390/$N$3*$R$4))</f>
        <v/>
      </c>
      <c r="Q390" s="30" t="str">
        <f aca="false">IF($E390="","",IF($O$3=0,0,O390/$O$3*$T$4))</f>
        <v/>
      </c>
      <c r="R390" s="30" t="str">
        <f aca="false">IF($E390="","",N390+O390+P390+Q390)</f>
        <v/>
      </c>
      <c r="S390" s="30" t="str">
        <f aca="false">IF($E390="","",(N390+P390)*Precificação!$B$19)</f>
        <v/>
      </c>
      <c r="T390" s="30" t="str">
        <f aca="false">IF($E390="","",(O390+Q390)*Precificação!$B$20)</f>
        <v/>
      </c>
      <c r="U390" s="68" t="str">
        <f aca="false">IF($E390="","",IF($E390=INT($E390),0.01,IF($E390*2=INT($E390*2),0.02,0.05)))</f>
        <v/>
      </c>
      <c r="V390" s="30" t="str">
        <f aca="false">IF($E390="","",ROUND(S390/$E390/U390,0)*U390)</f>
        <v/>
      </c>
      <c r="W390" s="30" t="str">
        <f aca="false">IF($E390="","",ROUND(T390/$E390/U390,0)*U390)</f>
        <v/>
      </c>
      <c r="X390" s="14" t="str">
        <f aca="false">IF(NOT(ISNUMBER(E390)),"",IF(NOT(ISNUMBER(E391)),ROW(),X391))</f>
        <v/>
      </c>
    </row>
    <row r="391" customFormat="false" ht="15" hidden="false" customHeight="false" outlineLevel="0" collapsed="false">
      <c r="F391" s="66" t="str">
        <f aca="false">IF($E391="","",V391)</f>
        <v/>
      </c>
      <c r="G391" s="66" t="str">
        <f aca="false">IF($E391="","",ROUND(W391+IF($B391=Precificação!$B$26,$F$3/$E391,0),2))</f>
        <v/>
      </c>
      <c r="H391" s="30" t="str">
        <f aca="false">IF($E391="","",F391+G391)</f>
        <v/>
      </c>
      <c r="I391" s="30" t="str">
        <f aca="false">IF($E391="","",$E391*F391)</f>
        <v/>
      </c>
      <c r="J391" s="30" t="str">
        <f aca="false">IF($E391="","",$E391*G391)</f>
        <v/>
      </c>
      <c r="K391" s="30" t="str">
        <f aca="false">IF($E391="","",I391+J391)</f>
        <v/>
      </c>
      <c r="L391" s="53" t="str">
        <f aca="false">IF($E391="","",IF(R391=0,"SEM CUSTO — falta linha de custo","OK"))</f>
        <v/>
      </c>
      <c r="M391" s="67" t="str">
        <f aca="false">IF(AND(ISNUMBER(E391),NOT(ISNUMBER(E390))),"F"&amp;ROW()&amp;":G"&amp;X391,"")</f>
        <v/>
      </c>
      <c r="N391" s="30" t="str">
        <f aca="false">IF($E391="","",SUMIFS('Rateio Anexo'!$K$6:$K$600,'Rateio Anexo'!$D$6:$D$600,$B391,'Rateio Anexo'!$B$6:$B$600,"MAT"))</f>
        <v/>
      </c>
      <c r="O391" s="30" t="str">
        <f aca="false">IF($E391="","",SUMIFS('Rateio Anexo'!$K$6:$K$600,'Rateio Anexo'!$D$6:$D$600,$B391,'Rateio Anexo'!$B$6:$B$600,"MO"))</f>
        <v/>
      </c>
      <c r="P391" s="30" t="str">
        <f aca="false">IF($E391="","",IF($N$3=0,0,N391/$N$3*$R$4))</f>
        <v/>
      </c>
      <c r="Q391" s="30" t="str">
        <f aca="false">IF($E391="","",IF($O$3=0,0,O391/$O$3*$T$4))</f>
        <v/>
      </c>
      <c r="R391" s="30" t="str">
        <f aca="false">IF($E391="","",N391+O391+P391+Q391)</f>
        <v/>
      </c>
      <c r="S391" s="30" t="str">
        <f aca="false">IF($E391="","",(N391+P391)*Precificação!$B$19)</f>
        <v/>
      </c>
      <c r="T391" s="30" t="str">
        <f aca="false">IF($E391="","",(O391+Q391)*Precificação!$B$20)</f>
        <v/>
      </c>
      <c r="U391" s="68" t="str">
        <f aca="false">IF($E391="","",IF($E391=INT($E391),0.01,IF($E391*2=INT($E391*2),0.02,0.05)))</f>
        <v/>
      </c>
      <c r="V391" s="30" t="str">
        <f aca="false">IF($E391="","",ROUND(S391/$E391/U391,0)*U391)</f>
        <v/>
      </c>
      <c r="W391" s="30" t="str">
        <f aca="false">IF($E391="","",ROUND(T391/$E391/U391,0)*U391)</f>
        <v/>
      </c>
      <c r="X391" s="14" t="str">
        <f aca="false">IF(NOT(ISNUMBER(E391)),"",IF(NOT(ISNUMBER(E392)),ROW(),X392))</f>
        <v/>
      </c>
    </row>
    <row r="392" customFormat="false" ht="15" hidden="false" customHeight="false" outlineLevel="0" collapsed="false">
      <c r="F392" s="66" t="str">
        <f aca="false">IF($E392="","",V392)</f>
        <v/>
      </c>
      <c r="G392" s="66" t="str">
        <f aca="false">IF($E392="","",ROUND(W392+IF($B392=Precificação!$B$26,$F$3/$E392,0),2))</f>
        <v/>
      </c>
      <c r="H392" s="30" t="str">
        <f aca="false">IF($E392="","",F392+G392)</f>
        <v/>
      </c>
      <c r="I392" s="30" t="str">
        <f aca="false">IF($E392="","",$E392*F392)</f>
        <v/>
      </c>
      <c r="J392" s="30" t="str">
        <f aca="false">IF($E392="","",$E392*G392)</f>
        <v/>
      </c>
      <c r="K392" s="30" t="str">
        <f aca="false">IF($E392="","",I392+J392)</f>
        <v/>
      </c>
      <c r="L392" s="53" t="str">
        <f aca="false">IF($E392="","",IF(R392=0,"SEM CUSTO — falta linha de custo","OK"))</f>
        <v/>
      </c>
      <c r="M392" s="67" t="str">
        <f aca="false">IF(AND(ISNUMBER(E392),NOT(ISNUMBER(E391))),"F"&amp;ROW()&amp;":G"&amp;X392,"")</f>
        <v/>
      </c>
      <c r="N392" s="30" t="str">
        <f aca="false">IF($E392="","",SUMIFS('Rateio Anexo'!$K$6:$K$600,'Rateio Anexo'!$D$6:$D$600,$B392,'Rateio Anexo'!$B$6:$B$600,"MAT"))</f>
        <v/>
      </c>
      <c r="O392" s="30" t="str">
        <f aca="false">IF($E392="","",SUMIFS('Rateio Anexo'!$K$6:$K$600,'Rateio Anexo'!$D$6:$D$600,$B392,'Rateio Anexo'!$B$6:$B$600,"MO"))</f>
        <v/>
      </c>
      <c r="P392" s="30" t="str">
        <f aca="false">IF($E392="","",IF($N$3=0,0,N392/$N$3*$R$4))</f>
        <v/>
      </c>
      <c r="Q392" s="30" t="str">
        <f aca="false">IF($E392="","",IF($O$3=0,0,O392/$O$3*$T$4))</f>
        <v/>
      </c>
      <c r="R392" s="30" t="str">
        <f aca="false">IF($E392="","",N392+O392+P392+Q392)</f>
        <v/>
      </c>
      <c r="S392" s="30" t="str">
        <f aca="false">IF($E392="","",(N392+P392)*Precificação!$B$19)</f>
        <v/>
      </c>
      <c r="T392" s="30" t="str">
        <f aca="false">IF($E392="","",(O392+Q392)*Precificação!$B$20)</f>
        <v/>
      </c>
      <c r="U392" s="68" t="str">
        <f aca="false">IF($E392="","",IF($E392=INT($E392),0.01,IF($E392*2=INT($E392*2),0.02,0.05)))</f>
        <v/>
      </c>
      <c r="V392" s="30" t="str">
        <f aca="false">IF($E392="","",ROUND(S392/$E392/U392,0)*U392)</f>
        <v/>
      </c>
      <c r="W392" s="30" t="str">
        <f aca="false">IF($E392="","",ROUND(T392/$E392/U392,0)*U392)</f>
        <v/>
      </c>
      <c r="X392" s="14" t="str">
        <f aca="false">IF(NOT(ISNUMBER(E392)),"",IF(NOT(ISNUMBER(E393)),ROW(),X393))</f>
        <v/>
      </c>
    </row>
    <row r="393" customFormat="false" ht="15" hidden="false" customHeight="false" outlineLevel="0" collapsed="false">
      <c r="F393" s="66" t="str">
        <f aca="false">IF($E393="","",V393)</f>
        <v/>
      </c>
      <c r="G393" s="66" t="str">
        <f aca="false">IF($E393="","",ROUND(W393+IF($B393=Precificação!$B$26,$F$3/$E393,0),2))</f>
        <v/>
      </c>
      <c r="H393" s="30" t="str">
        <f aca="false">IF($E393="","",F393+G393)</f>
        <v/>
      </c>
      <c r="I393" s="30" t="str">
        <f aca="false">IF($E393="","",$E393*F393)</f>
        <v/>
      </c>
      <c r="J393" s="30" t="str">
        <f aca="false">IF($E393="","",$E393*G393)</f>
        <v/>
      </c>
      <c r="K393" s="30" t="str">
        <f aca="false">IF($E393="","",I393+J393)</f>
        <v/>
      </c>
      <c r="L393" s="53" t="str">
        <f aca="false">IF($E393="","",IF(R393=0,"SEM CUSTO — falta linha de custo","OK"))</f>
        <v/>
      </c>
      <c r="M393" s="67" t="str">
        <f aca="false">IF(AND(ISNUMBER(E393),NOT(ISNUMBER(E392))),"F"&amp;ROW()&amp;":G"&amp;X393,"")</f>
        <v/>
      </c>
      <c r="N393" s="30" t="str">
        <f aca="false">IF($E393="","",SUMIFS('Rateio Anexo'!$K$6:$K$600,'Rateio Anexo'!$D$6:$D$600,$B393,'Rateio Anexo'!$B$6:$B$600,"MAT"))</f>
        <v/>
      </c>
      <c r="O393" s="30" t="str">
        <f aca="false">IF($E393="","",SUMIFS('Rateio Anexo'!$K$6:$K$600,'Rateio Anexo'!$D$6:$D$600,$B393,'Rateio Anexo'!$B$6:$B$600,"MO"))</f>
        <v/>
      </c>
      <c r="P393" s="30" t="str">
        <f aca="false">IF($E393="","",IF($N$3=0,0,N393/$N$3*$R$4))</f>
        <v/>
      </c>
      <c r="Q393" s="30" t="str">
        <f aca="false">IF($E393="","",IF($O$3=0,0,O393/$O$3*$T$4))</f>
        <v/>
      </c>
      <c r="R393" s="30" t="str">
        <f aca="false">IF($E393="","",N393+O393+P393+Q393)</f>
        <v/>
      </c>
      <c r="S393" s="30" t="str">
        <f aca="false">IF($E393="","",(N393+P393)*Precificação!$B$19)</f>
        <v/>
      </c>
      <c r="T393" s="30" t="str">
        <f aca="false">IF($E393="","",(O393+Q393)*Precificação!$B$20)</f>
        <v/>
      </c>
      <c r="U393" s="68" t="str">
        <f aca="false">IF($E393="","",IF($E393=INT($E393),0.01,IF($E393*2=INT($E393*2),0.02,0.05)))</f>
        <v/>
      </c>
      <c r="V393" s="30" t="str">
        <f aca="false">IF($E393="","",ROUND(S393/$E393/U393,0)*U393)</f>
        <v/>
      </c>
      <c r="W393" s="30" t="str">
        <f aca="false">IF($E393="","",ROUND(T393/$E393/U393,0)*U393)</f>
        <v/>
      </c>
      <c r="X393" s="14" t="str">
        <f aca="false">IF(NOT(ISNUMBER(E393)),"",IF(NOT(ISNUMBER(E394)),ROW(),X394))</f>
        <v/>
      </c>
    </row>
    <row r="394" customFormat="false" ht="15" hidden="false" customHeight="false" outlineLevel="0" collapsed="false">
      <c r="F394" s="66" t="str">
        <f aca="false">IF($E394="","",V394)</f>
        <v/>
      </c>
      <c r="G394" s="66" t="str">
        <f aca="false">IF($E394="","",ROUND(W394+IF($B394=Precificação!$B$26,$F$3/$E394,0),2))</f>
        <v/>
      </c>
      <c r="H394" s="30" t="str">
        <f aca="false">IF($E394="","",F394+G394)</f>
        <v/>
      </c>
      <c r="I394" s="30" t="str">
        <f aca="false">IF($E394="","",$E394*F394)</f>
        <v/>
      </c>
      <c r="J394" s="30" t="str">
        <f aca="false">IF($E394="","",$E394*G394)</f>
        <v/>
      </c>
      <c r="K394" s="30" t="str">
        <f aca="false">IF($E394="","",I394+J394)</f>
        <v/>
      </c>
      <c r="L394" s="53" t="str">
        <f aca="false">IF($E394="","",IF(R394=0,"SEM CUSTO — falta linha de custo","OK"))</f>
        <v/>
      </c>
      <c r="M394" s="67" t="str">
        <f aca="false">IF(AND(ISNUMBER(E394),NOT(ISNUMBER(E393))),"F"&amp;ROW()&amp;":G"&amp;X394,"")</f>
        <v/>
      </c>
      <c r="N394" s="30" t="str">
        <f aca="false">IF($E394="","",SUMIFS('Rateio Anexo'!$K$6:$K$600,'Rateio Anexo'!$D$6:$D$600,$B394,'Rateio Anexo'!$B$6:$B$600,"MAT"))</f>
        <v/>
      </c>
      <c r="O394" s="30" t="str">
        <f aca="false">IF($E394="","",SUMIFS('Rateio Anexo'!$K$6:$K$600,'Rateio Anexo'!$D$6:$D$600,$B394,'Rateio Anexo'!$B$6:$B$600,"MO"))</f>
        <v/>
      </c>
      <c r="P394" s="30" t="str">
        <f aca="false">IF($E394="","",IF($N$3=0,0,N394/$N$3*$R$4))</f>
        <v/>
      </c>
      <c r="Q394" s="30" t="str">
        <f aca="false">IF($E394="","",IF($O$3=0,0,O394/$O$3*$T$4))</f>
        <v/>
      </c>
      <c r="R394" s="30" t="str">
        <f aca="false">IF($E394="","",N394+O394+P394+Q394)</f>
        <v/>
      </c>
      <c r="S394" s="30" t="str">
        <f aca="false">IF($E394="","",(N394+P394)*Precificação!$B$19)</f>
        <v/>
      </c>
      <c r="T394" s="30" t="str">
        <f aca="false">IF($E394="","",(O394+Q394)*Precificação!$B$20)</f>
        <v/>
      </c>
      <c r="U394" s="68" t="str">
        <f aca="false">IF($E394="","",IF($E394=INT($E394),0.01,IF($E394*2=INT($E394*2),0.02,0.05)))</f>
        <v/>
      </c>
      <c r="V394" s="30" t="str">
        <f aca="false">IF($E394="","",ROUND(S394/$E394/U394,0)*U394)</f>
        <v/>
      </c>
      <c r="W394" s="30" t="str">
        <f aca="false">IF($E394="","",ROUND(T394/$E394/U394,0)*U394)</f>
        <v/>
      </c>
      <c r="X394" s="14" t="str">
        <f aca="false">IF(NOT(ISNUMBER(E394)),"",IF(NOT(ISNUMBER(E395)),ROW(),X395))</f>
        <v/>
      </c>
    </row>
    <row r="395" customFormat="false" ht="15" hidden="false" customHeight="false" outlineLevel="0" collapsed="false">
      <c r="F395" s="66" t="str">
        <f aca="false">IF($E395="","",V395)</f>
        <v/>
      </c>
      <c r="G395" s="66" t="str">
        <f aca="false">IF($E395="","",ROUND(W395+IF($B395=Precificação!$B$26,$F$3/$E395,0),2))</f>
        <v/>
      </c>
      <c r="H395" s="30" t="str">
        <f aca="false">IF($E395="","",F395+G395)</f>
        <v/>
      </c>
      <c r="I395" s="30" t="str">
        <f aca="false">IF($E395="","",$E395*F395)</f>
        <v/>
      </c>
      <c r="J395" s="30" t="str">
        <f aca="false">IF($E395="","",$E395*G395)</f>
        <v/>
      </c>
      <c r="K395" s="30" t="str">
        <f aca="false">IF($E395="","",I395+J395)</f>
        <v/>
      </c>
      <c r="L395" s="53" t="str">
        <f aca="false">IF($E395="","",IF(R395=0,"SEM CUSTO — falta linha de custo","OK"))</f>
        <v/>
      </c>
      <c r="M395" s="67" t="str">
        <f aca="false">IF(AND(ISNUMBER(E395),NOT(ISNUMBER(E394))),"F"&amp;ROW()&amp;":G"&amp;X395,"")</f>
        <v/>
      </c>
      <c r="N395" s="30" t="str">
        <f aca="false">IF($E395="","",SUMIFS('Rateio Anexo'!$K$6:$K$600,'Rateio Anexo'!$D$6:$D$600,$B395,'Rateio Anexo'!$B$6:$B$600,"MAT"))</f>
        <v/>
      </c>
      <c r="O395" s="30" t="str">
        <f aca="false">IF($E395="","",SUMIFS('Rateio Anexo'!$K$6:$K$600,'Rateio Anexo'!$D$6:$D$600,$B395,'Rateio Anexo'!$B$6:$B$600,"MO"))</f>
        <v/>
      </c>
      <c r="P395" s="30" t="str">
        <f aca="false">IF($E395="","",IF($N$3=0,0,N395/$N$3*$R$4))</f>
        <v/>
      </c>
      <c r="Q395" s="30" t="str">
        <f aca="false">IF($E395="","",IF($O$3=0,0,O395/$O$3*$T$4))</f>
        <v/>
      </c>
      <c r="R395" s="30" t="str">
        <f aca="false">IF($E395="","",N395+O395+P395+Q395)</f>
        <v/>
      </c>
      <c r="S395" s="30" t="str">
        <f aca="false">IF($E395="","",(N395+P395)*Precificação!$B$19)</f>
        <v/>
      </c>
      <c r="T395" s="30" t="str">
        <f aca="false">IF($E395="","",(O395+Q395)*Precificação!$B$20)</f>
        <v/>
      </c>
      <c r="U395" s="68" t="str">
        <f aca="false">IF($E395="","",IF($E395=INT($E395),0.01,IF($E395*2=INT($E395*2),0.02,0.05)))</f>
        <v/>
      </c>
      <c r="V395" s="30" t="str">
        <f aca="false">IF($E395="","",ROUND(S395/$E395/U395,0)*U395)</f>
        <v/>
      </c>
      <c r="W395" s="30" t="str">
        <f aca="false">IF($E395="","",ROUND(T395/$E395/U395,0)*U395)</f>
        <v/>
      </c>
      <c r="X395" s="14" t="str">
        <f aca="false">IF(NOT(ISNUMBER(E395)),"",IF(NOT(ISNUMBER(E396)),ROW(),X396))</f>
        <v/>
      </c>
    </row>
    <row r="396" customFormat="false" ht="15" hidden="false" customHeight="false" outlineLevel="0" collapsed="false">
      <c r="F396" s="66" t="str">
        <f aca="false">IF($E396="","",V396)</f>
        <v/>
      </c>
      <c r="G396" s="66" t="str">
        <f aca="false">IF($E396="","",ROUND(W396+IF($B396=Precificação!$B$26,$F$3/$E396,0),2))</f>
        <v/>
      </c>
      <c r="H396" s="30" t="str">
        <f aca="false">IF($E396="","",F396+G396)</f>
        <v/>
      </c>
      <c r="I396" s="30" t="str">
        <f aca="false">IF($E396="","",$E396*F396)</f>
        <v/>
      </c>
      <c r="J396" s="30" t="str">
        <f aca="false">IF($E396="","",$E396*G396)</f>
        <v/>
      </c>
      <c r="K396" s="30" t="str">
        <f aca="false">IF($E396="","",I396+J396)</f>
        <v/>
      </c>
      <c r="L396" s="53" t="str">
        <f aca="false">IF($E396="","",IF(R396=0,"SEM CUSTO — falta linha de custo","OK"))</f>
        <v/>
      </c>
      <c r="M396" s="67" t="str">
        <f aca="false">IF(AND(ISNUMBER(E396),NOT(ISNUMBER(E395))),"F"&amp;ROW()&amp;":G"&amp;X396,"")</f>
        <v/>
      </c>
      <c r="N396" s="30" t="str">
        <f aca="false">IF($E396="","",SUMIFS('Rateio Anexo'!$K$6:$K$600,'Rateio Anexo'!$D$6:$D$600,$B396,'Rateio Anexo'!$B$6:$B$600,"MAT"))</f>
        <v/>
      </c>
      <c r="O396" s="30" t="str">
        <f aca="false">IF($E396="","",SUMIFS('Rateio Anexo'!$K$6:$K$600,'Rateio Anexo'!$D$6:$D$600,$B396,'Rateio Anexo'!$B$6:$B$600,"MO"))</f>
        <v/>
      </c>
      <c r="P396" s="30" t="str">
        <f aca="false">IF($E396="","",IF($N$3=0,0,N396/$N$3*$R$4))</f>
        <v/>
      </c>
      <c r="Q396" s="30" t="str">
        <f aca="false">IF($E396="","",IF($O$3=0,0,O396/$O$3*$T$4))</f>
        <v/>
      </c>
      <c r="R396" s="30" t="str">
        <f aca="false">IF($E396="","",N396+O396+P396+Q396)</f>
        <v/>
      </c>
      <c r="S396" s="30" t="str">
        <f aca="false">IF($E396="","",(N396+P396)*Precificação!$B$19)</f>
        <v/>
      </c>
      <c r="T396" s="30" t="str">
        <f aca="false">IF($E396="","",(O396+Q396)*Precificação!$B$20)</f>
        <v/>
      </c>
      <c r="U396" s="68" t="str">
        <f aca="false">IF($E396="","",IF($E396=INT($E396),0.01,IF($E396*2=INT($E396*2),0.02,0.05)))</f>
        <v/>
      </c>
      <c r="V396" s="30" t="str">
        <f aca="false">IF($E396="","",ROUND(S396/$E396/U396,0)*U396)</f>
        <v/>
      </c>
      <c r="W396" s="30" t="str">
        <f aca="false">IF($E396="","",ROUND(T396/$E396/U396,0)*U396)</f>
        <v/>
      </c>
      <c r="X396" s="14" t="str">
        <f aca="false">IF(NOT(ISNUMBER(E396)),"",IF(NOT(ISNUMBER(E397)),ROW(),X397))</f>
        <v/>
      </c>
    </row>
    <row r="397" customFormat="false" ht="15" hidden="false" customHeight="false" outlineLevel="0" collapsed="false">
      <c r="F397" s="66" t="str">
        <f aca="false">IF($E397="","",V397)</f>
        <v/>
      </c>
      <c r="G397" s="66" t="str">
        <f aca="false">IF($E397="","",ROUND(W397+IF($B397=Precificação!$B$26,$F$3/$E397,0),2))</f>
        <v/>
      </c>
      <c r="H397" s="30" t="str">
        <f aca="false">IF($E397="","",F397+G397)</f>
        <v/>
      </c>
      <c r="I397" s="30" t="str">
        <f aca="false">IF($E397="","",$E397*F397)</f>
        <v/>
      </c>
      <c r="J397" s="30" t="str">
        <f aca="false">IF($E397="","",$E397*G397)</f>
        <v/>
      </c>
      <c r="K397" s="30" t="str">
        <f aca="false">IF($E397="","",I397+J397)</f>
        <v/>
      </c>
      <c r="L397" s="53" t="str">
        <f aca="false">IF($E397="","",IF(R397=0,"SEM CUSTO — falta linha de custo","OK"))</f>
        <v/>
      </c>
      <c r="M397" s="67" t="str">
        <f aca="false">IF(AND(ISNUMBER(E397),NOT(ISNUMBER(E396))),"F"&amp;ROW()&amp;":G"&amp;X397,"")</f>
        <v/>
      </c>
      <c r="N397" s="30" t="str">
        <f aca="false">IF($E397="","",SUMIFS('Rateio Anexo'!$K$6:$K$600,'Rateio Anexo'!$D$6:$D$600,$B397,'Rateio Anexo'!$B$6:$B$600,"MAT"))</f>
        <v/>
      </c>
      <c r="O397" s="30" t="str">
        <f aca="false">IF($E397="","",SUMIFS('Rateio Anexo'!$K$6:$K$600,'Rateio Anexo'!$D$6:$D$600,$B397,'Rateio Anexo'!$B$6:$B$600,"MO"))</f>
        <v/>
      </c>
      <c r="P397" s="30" t="str">
        <f aca="false">IF($E397="","",IF($N$3=0,0,N397/$N$3*$R$4))</f>
        <v/>
      </c>
      <c r="Q397" s="30" t="str">
        <f aca="false">IF($E397="","",IF($O$3=0,0,O397/$O$3*$T$4))</f>
        <v/>
      </c>
      <c r="R397" s="30" t="str">
        <f aca="false">IF($E397="","",N397+O397+P397+Q397)</f>
        <v/>
      </c>
      <c r="S397" s="30" t="str">
        <f aca="false">IF($E397="","",(N397+P397)*Precificação!$B$19)</f>
        <v/>
      </c>
      <c r="T397" s="30" t="str">
        <f aca="false">IF($E397="","",(O397+Q397)*Precificação!$B$20)</f>
        <v/>
      </c>
      <c r="U397" s="68" t="str">
        <f aca="false">IF($E397="","",IF($E397=INT($E397),0.01,IF($E397*2=INT($E397*2),0.02,0.05)))</f>
        <v/>
      </c>
      <c r="V397" s="30" t="str">
        <f aca="false">IF($E397="","",ROUND(S397/$E397/U397,0)*U397)</f>
        <v/>
      </c>
      <c r="W397" s="30" t="str">
        <f aca="false">IF($E397="","",ROUND(T397/$E397/U397,0)*U397)</f>
        <v/>
      </c>
      <c r="X397" s="14" t="str">
        <f aca="false">IF(NOT(ISNUMBER(E397)),"",IF(NOT(ISNUMBER(E398)),ROW(),X398))</f>
        <v/>
      </c>
    </row>
    <row r="398" customFormat="false" ht="15" hidden="false" customHeight="false" outlineLevel="0" collapsed="false">
      <c r="F398" s="66" t="str">
        <f aca="false">IF($E398="","",V398)</f>
        <v/>
      </c>
      <c r="G398" s="66" t="str">
        <f aca="false">IF($E398="","",ROUND(W398+IF($B398=Precificação!$B$26,$F$3/$E398,0),2))</f>
        <v/>
      </c>
      <c r="H398" s="30" t="str">
        <f aca="false">IF($E398="","",F398+G398)</f>
        <v/>
      </c>
      <c r="I398" s="30" t="str">
        <f aca="false">IF($E398="","",$E398*F398)</f>
        <v/>
      </c>
      <c r="J398" s="30" t="str">
        <f aca="false">IF($E398="","",$E398*G398)</f>
        <v/>
      </c>
      <c r="K398" s="30" t="str">
        <f aca="false">IF($E398="","",I398+J398)</f>
        <v/>
      </c>
      <c r="L398" s="53" t="str">
        <f aca="false">IF($E398="","",IF(R398=0,"SEM CUSTO — falta linha de custo","OK"))</f>
        <v/>
      </c>
      <c r="M398" s="67" t="str">
        <f aca="false">IF(AND(ISNUMBER(E398),NOT(ISNUMBER(E397))),"F"&amp;ROW()&amp;":G"&amp;X398,"")</f>
        <v/>
      </c>
      <c r="N398" s="30" t="str">
        <f aca="false">IF($E398="","",SUMIFS('Rateio Anexo'!$K$6:$K$600,'Rateio Anexo'!$D$6:$D$600,$B398,'Rateio Anexo'!$B$6:$B$600,"MAT"))</f>
        <v/>
      </c>
      <c r="O398" s="30" t="str">
        <f aca="false">IF($E398="","",SUMIFS('Rateio Anexo'!$K$6:$K$600,'Rateio Anexo'!$D$6:$D$600,$B398,'Rateio Anexo'!$B$6:$B$600,"MO"))</f>
        <v/>
      </c>
      <c r="P398" s="30" t="str">
        <f aca="false">IF($E398="","",IF($N$3=0,0,N398/$N$3*$R$4))</f>
        <v/>
      </c>
      <c r="Q398" s="30" t="str">
        <f aca="false">IF($E398="","",IF($O$3=0,0,O398/$O$3*$T$4))</f>
        <v/>
      </c>
      <c r="R398" s="30" t="str">
        <f aca="false">IF($E398="","",N398+O398+P398+Q398)</f>
        <v/>
      </c>
      <c r="S398" s="30" t="str">
        <f aca="false">IF($E398="","",(N398+P398)*Precificação!$B$19)</f>
        <v/>
      </c>
      <c r="T398" s="30" t="str">
        <f aca="false">IF($E398="","",(O398+Q398)*Precificação!$B$20)</f>
        <v/>
      </c>
      <c r="U398" s="68" t="str">
        <f aca="false">IF($E398="","",IF($E398=INT($E398),0.01,IF($E398*2=INT($E398*2),0.02,0.05)))</f>
        <v/>
      </c>
      <c r="V398" s="30" t="str">
        <f aca="false">IF($E398="","",ROUND(S398/$E398/U398,0)*U398)</f>
        <v/>
      </c>
      <c r="W398" s="30" t="str">
        <f aca="false">IF($E398="","",ROUND(T398/$E398/U398,0)*U398)</f>
        <v/>
      </c>
      <c r="X398" s="14" t="str">
        <f aca="false">IF(NOT(ISNUMBER(E398)),"",IF(NOT(ISNUMBER(E399)),ROW(),X399))</f>
        <v/>
      </c>
    </row>
    <row r="399" customFormat="false" ht="15" hidden="false" customHeight="false" outlineLevel="0" collapsed="false">
      <c r="F399" s="66" t="str">
        <f aca="false">IF($E399="","",V399)</f>
        <v/>
      </c>
      <c r="G399" s="66" t="str">
        <f aca="false">IF($E399="","",ROUND(W399+IF($B399=Precificação!$B$26,$F$3/$E399,0),2))</f>
        <v/>
      </c>
      <c r="H399" s="30" t="str">
        <f aca="false">IF($E399="","",F399+G399)</f>
        <v/>
      </c>
      <c r="I399" s="30" t="str">
        <f aca="false">IF($E399="","",$E399*F399)</f>
        <v/>
      </c>
      <c r="J399" s="30" t="str">
        <f aca="false">IF($E399="","",$E399*G399)</f>
        <v/>
      </c>
      <c r="K399" s="30" t="str">
        <f aca="false">IF($E399="","",I399+J399)</f>
        <v/>
      </c>
      <c r="L399" s="53" t="str">
        <f aca="false">IF($E399="","",IF(R399=0,"SEM CUSTO — falta linha de custo","OK"))</f>
        <v/>
      </c>
      <c r="M399" s="67" t="str">
        <f aca="false">IF(AND(ISNUMBER(E399),NOT(ISNUMBER(E398))),"F"&amp;ROW()&amp;":G"&amp;X399,"")</f>
        <v/>
      </c>
      <c r="N399" s="30" t="str">
        <f aca="false">IF($E399="","",SUMIFS('Rateio Anexo'!$K$6:$K$600,'Rateio Anexo'!$D$6:$D$600,$B399,'Rateio Anexo'!$B$6:$B$600,"MAT"))</f>
        <v/>
      </c>
      <c r="O399" s="30" t="str">
        <f aca="false">IF($E399="","",SUMIFS('Rateio Anexo'!$K$6:$K$600,'Rateio Anexo'!$D$6:$D$600,$B399,'Rateio Anexo'!$B$6:$B$600,"MO"))</f>
        <v/>
      </c>
      <c r="P399" s="30" t="str">
        <f aca="false">IF($E399="","",IF($N$3=0,0,N399/$N$3*$R$4))</f>
        <v/>
      </c>
      <c r="Q399" s="30" t="str">
        <f aca="false">IF($E399="","",IF($O$3=0,0,O399/$O$3*$T$4))</f>
        <v/>
      </c>
      <c r="R399" s="30" t="str">
        <f aca="false">IF($E399="","",N399+O399+P399+Q399)</f>
        <v/>
      </c>
      <c r="S399" s="30" t="str">
        <f aca="false">IF($E399="","",(N399+P399)*Precificação!$B$19)</f>
        <v/>
      </c>
      <c r="T399" s="30" t="str">
        <f aca="false">IF($E399="","",(O399+Q399)*Precificação!$B$20)</f>
        <v/>
      </c>
      <c r="U399" s="68" t="str">
        <f aca="false">IF($E399="","",IF($E399=INT($E399),0.01,IF($E399*2=INT($E399*2),0.02,0.05)))</f>
        <v/>
      </c>
      <c r="V399" s="30" t="str">
        <f aca="false">IF($E399="","",ROUND(S399/$E399/U399,0)*U399)</f>
        <v/>
      </c>
      <c r="W399" s="30" t="str">
        <f aca="false">IF($E399="","",ROUND(T399/$E399/U399,0)*U399)</f>
        <v/>
      </c>
      <c r="X399" s="14" t="str">
        <f aca="false">IF(NOT(ISNUMBER(E399)),"",IF(NOT(ISNUMBER(E400)),ROW(),X400))</f>
        <v/>
      </c>
    </row>
    <row r="400" customFormat="false" ht="15" hidden="false" customHeight="false" outlineLevel="0" collapsed="false">
      <c r="F400" s="66" t="str">
        <f aca="false">IF($E400="","",V400)</f>
        <v/>
      </c>
      <c r="G400" s="66" t="str">
        <f aca="false">IF($E400="","",ROUND(W400+IF($B400=Precificação!$B$26,$F$3/$E400,0),2))</f>
        <v/>
      </c>
      <c r="H400" s="30" t="str">
        <f aca="false">IF($E400="","",F400+G400)</f>
        <v/>
      </c>
      <c r="I400" s="30" t="str">
        <f aca="false">IF($E400="","",$E400*F400)</f>
        <v/>
      </c>
      <c r="J400" s="30" t="str">
        <f aca="false">IF($E400="","",$E400*G400)</f>
        <v/>
      </c>
      <c r="K400" s="30" t="str">
        <f aca="false">IF($E400="","",I400+J400)</f>
        <v/>
      </c>
      <c r="L400" s="53" t="str">
        <f aca="false">IF($E400="","",IF(R400=0,"SEM CUSTO — falta linha de custo","OK"))</f>
        <v/>
      </c>
      <c r="M400" s="67" t="str">
        <f aca="false">IF(AND(ISNUMBER(E400),NOT(ISNUMBER(E399))),"F"&amp;ROW()&amp;":G"&amp;X400,"")</f>
        <v/>
      </c>
      <c r="N400" s="30" t="str">
        <f aca="false">IF($E400="","",SUMIFS('Rateio Anexo'!$K$6:$K$600,'Rateio Anexo'!$D$6:$D$600,$B400,'Rateio Anexo'!$B$6:$B$600,"MAT"))</f>
        <v/>
      </c>
      <c r="O400" s="30" t="str">
        <f aca="false">IF($E400="","",SUMIFS('Rateio Anexo'!$K$6:$K$600,'Rateio Anexo'!$D$6:$D$600,$B400,'Rateio Anexo'!$B$6:$B$600,"MO"))</f>
        <v/>
      </c>
      <c r="P400" s="30" t="str">
        <f aca="false">IF($E400="","",IF($N$3=0,0,N400/$N$3*$R$4))</f>
        <v/>
      </c>
      <c r="Q400" s="30" t="str">
        <f aca="false">IF($E400="","",IF($O$3=0,0,O400/$O$3*$T$4))</f>
        <v/>
      </c>
      <c r="R400" s="30" t="str">
        <f aca="false">IF($E400="","",N400+O400+P400+Q400)</f>
        <v/>
      </c>
      <c r="S400" s="30" t="str">
        <f aca="false">IF($E400="","",(N400+P400)*Precificação!$B$19)</f>
        <v/>
      </c>
      <c r="T400" s="30" t="str">
        <f aca="false">IF($E400="","",(O400+Q400)*Precificação!$B$20)</f>
        <v/>
      </c>
      <c r="U400" s="68" t="str">
        <f aca="false">IF($E400="","",IF($E400=INT($E400),0.01,IF($E400*2=INT($E400*2),0.02,0.05)))</f>
        <v/>
      </c>
      <c r="V400" s="30" t="str">
        <f aca="false">IF($E400="","",ROUND(S400/$E400/U400,0)*U400)</f>
        <v/>
      </c>
      <c r="W400" s="30" t="str">
        <f aca="false">IF($E400="","",ROUND(T400/$E400/U400,0)*U400)</f>
        <v/>
      </c>
      <c r="X400" s="14" t="str">
        <f aca="false">IF(NOT(ISNUMBER(E400)),"",IF(NOT(ISNUMBER(E401)),ROW(),X401))</f>
        <v/>
      </c>
    </row>
  </sheetData>
  <conditionalFormatting sqref="L3">
    <cfRule type="cellIs" priority="2" operator="equal" aboveAverage="0" equalAverage="0" bottom="0" percent="0" rank="0" text="" dxfId="0">
      <formula>"FECHA NO PREÇO"</formula>
    </cfRule>
    <cfRule type="cellIs" priority="3" operator="notEqual" aboveAverage="0" equalAverage="0" bottom="0" percent="0" rank="0" text="" dxfId="1">
      <formula>"FECHA NO PREÇO"</formula>
    </cfRule>
  </conditionalFormatting>
  <conditionalFormatting sqref="L8:L400">
    <cfRule type="expression" priority="4" aboveAverage="0" equalAverage="0" bottom="0" percent="0" rank="0" text="" dxfId="1">
      <formula>LEFT($L8,9)="SEM CUSTO"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37"/>
    <col collapsed="false" customWidth="true" hidden="false" outlineLevel="0" max="3" min="3" style="1" width="47"/>
    <col collapsed="false" customWidth="true" hidden="false" outlineLevel="0" max="4" min="4" style="1" width="50"/>
    <col collapsed="false" customWidth="true" hidden="false" outlineLevel="0" max="5" min="5" style="1" width="19"/>
  </cols>
  <sheetData>
    <row r="1" customFormat="false" ht="18.75" hidden="false" customHeight="true" outlineLevel="0" collapsed="false">
      <c r="A1" s="2" t="s">
        <v>622</v>
      </c>
    </row>
    <row r="3" customFormat="false" ht="15" hidden="false" customHeight="true" outlineLevel="0" collapsed="false">
      <c r="A3" s="7" t="s">
        <v>113</v>
      </c>
      <c r="B3" s="6" t="s">
        <v>89</v>
      </c>
      <c r="C3" s="7" t="s">
        <v>623</v>
      </c>
      <c r="D3" s="6" t="s">
        <v>624</v>
      </c>
      <c r="E3" s="7" t="s">
        <v>625</v>
      </c>
    </row>
    <row r="4" customFormat="false" ht="15" hidden="false" customHeight="true" outlineLevel="0" collapsed="false">
      <c r="A4" s="36" t="s">
        <v>626</v>
      </c>
      <c r="B4" s="10" t="s">
        <v>99</v>
      </c>
      <c r="C4" s="36" t="n">
        <f aca="false">COUNTIF('Cotação de Materiais'!B4:B44, B4)</f>
        <v>4</v>
      </c>
      <c r="D4" s="39" t="n">
        <f aca="false">SUMIF('Cotação de Materiais'!B4:B44, B4, 'Cotação de Materiais'!H4:H44)</f>
        <v>21347.26</v>
      </c>
      <c r="E4" s="69" t="n">
        <f aca="false">D4/$D$13</f>
        <v>0.271820220542821</v>
      </c>
    </row>
    <row r="5" customFormat="false" ht="15" hidden="false" customHeight="true" outlineLevel="0" collapsed="false">
      <c r="A5" s="36" t="s">
        <v>627</v>
      </c>
      <c r="B5" s="10" t="s">
        <v>100</v>
      </c>
      <c r="C5" s="36" t="n">
        <f aca="false">COUNTIF('Cotação de Materiais'!B4:B44, B5)</f>
        <v>6</v>
      </c>
      <c r="D5" s="39" t="n">
        <f aca="false">SUMIF('Cotação de Materiais'!B4:B44, B5, 'Cotação de Materiais'!H4:H44)</f>
        <v>6546.25</v>
      </c>
      <c r="E5" s="69" t="n">
        <f aca="false">D5/$D$13</f>
        <v>0.0833551059353022</v>
      </c>
    </row>
    <row r="6" customFormat="false" ht="15" hidden="false" customHeight="true" outlineLevel="0" collapsed="false">
      <c r="A6" s="36" t="s">
        <v>628</v>
      </c>
      <c r="B6" s="10" t="s">
        <v>101</v>
      </c>
      <c r="C6" s="36" t="n">
        <f aca="false">COUNTIF('Cotação de Materiais'!B4:B44, B6)</f>
        <v>8</v>
      </c>
      <c r="D6" s="39" t="n">
        <f aca="false">SUMIF('Cotação de Materiais'!B4:B44, B6, 'Cotação de Materiais'!H4:H44)</f>
        <v>9176.262</v>
      </c>
      <c r="E6" s="69" t="n">
        <f aca="false">D6/$D$13</f>
        <v>0.116843733603221</v>
      </c>
    </row>
    <row r="7" customFormat="false" ht="15" hidden="false" customHeight="true" outlineLevel="0" collapsed="false">
      <c r="A7" s="36" t="s">
        <v>629</v>
      </c>
      <c r="B7" s="10" t="s">
        <v>102</v>
      </c>
      <c r="C7" s="36" t="n">
        <f aca="false">COUNTIF('Cotação de Materiais'!B4:B44, B7)</f>
        <v>3</v>
      </c>
      <c r="D7" s="39" t="n">
        <f aca="false">SUMIF('Cotação de Materiais'!B4:B44, B7, 'Cotação de Materiais'!H4:H44)</f>
        <v>6741.02</v>
      </c>
      <c r="E7" s="69" t="n">
        <f aca="false">D7/$D$13</f>
        <v>0.0858351630646539</v>
      </c>
    </row>
    <row r="8" customFormat="false" ht="15" hidden="false" customHeight="true" outlineLevel="0" collapsed="false">
      <c r="A8" s="36" t="s">
        <v>630</v>
      </c>
      <c r="B8" s="10" t="s">
        <v>103</v>
      </c>
      <c r="C8" s="36" t="n">
        <f aca="false">COUNTIF('Cotação de Materiais'!B4:B44, B8)</f>
        <v>1</v>
      </c>
      <c r="D8" s="39" t="n">
        <f aca="false">SUMIF('Cotação de Materiais'!B4:B44, B8, 'Cotação de Materiais'!H4:H44)</f>
        <v>1376.71</v>
      </c>
      <c r="E8" s="69" t="n">
        <f aca="false">D8/$D$13</f>
        <v>0.0175300069340752</v>
      </c>
    </row>
    <row r="9" customFormat="false" ht="15" hidden="false" customHeight="true" outlineLevel="0" collapsed="false">
      <c r="A9" s="36" t="s">
        <v>631</v>
      </c>
      <c r="B9" s="10" t="s">
        <v>104</v>
      </c>
      <c r="C9" s="36" t="n">
        <f aca="false">COUNTIF('Cotação de Materiais'!B4:B44, B9)</f>
        <v>3</v>
      </c>
      <c r="D9" s="39" t="n">
        <f aca="false">SUMIF('Cotação de Materiais'!B4:B44, B9, 'Cotação de Materiais'!H4:H44)</f>
        <v>13681.4592</v>
      </c>
      <c r="E9" s="69" t="n">
        <f aca="false">D9/$D$13</f>
        <v>0.174209582732941</v>
      </c>
    </row>
    <row r="10" customFormat="false" ht="15" hidden="false" customHeight="true" outlineLevel="0" collapsed="false">
      <c r="A10" s="36" t="s">
        <v>632</v>
      </c>
      <c r="B10" s="10" t="s">
        <v>105</v>
      </c>
      <c r="C10" s="36" t="n">
        <f aca="false">COUNTIF('Cotação de Materiais'!B4:B44, B10)</f>
        <v>5</v>
      </c>
      <c r="D10" s="39" t="n">
        <f aca="false">SUMIF('Cotação de Materiais'!B4:B44, B10, 'Cotação de Materiais'!H4:H44)</f>
        <v>10636.92</v>
      </c>
      <c r="E10" s="69" t="n">
        <f aca="false">D10/$D$13</f>
        <v>0.135442672281892</v>
      </c>
    </row>
    <row r="11" customFormat="false" ht="15" hidden="false" customHeight="true" outlineLevel="0" collapsed="false">
      <c r="A11" s="36" t="s">
        <v>633</v>
      </c>
      <c r="B11" s="10" t="s">
        <v>106</v>
      </c>
      <c r="C11" s="36" t="n">
        <f aca="false">COUNTIF('Cotação de Materiais'!B4:B44, B11)</f>
        <v>4</v>
      </c>
      <c r="D11" s="39" t="n">
        <f aca="false">SUMIF('Cotação de Materiais'!B4:B44, B11, 'Cotação de Materiais'!H4:H44)</f>
        <v>7048.6</v>
      </c>
      <c r="E11" s="69" t="n">
        <f aca="false">D11/$D$13</f>
        <v>0.0897516593004501</v>
      </c>
    </row>
    <row r="12" customFormat="false" ht="15" hidden="false" customHeight="true" outlineLevel="0" collapsed="false">
      <c r="A12" s="36" t="s">
        <v>634</v>
      </c>
      <c r="B12" s="10" t="s">
        <v>107</v>
      </c>
      <c r="C12" s="36" t="n">
        <f aca="false">COUNTIF('Cotação de Materiais'!B4:B44, B12)</f>
        <v>5</v>
      </c>
      <c r="D12" s="39" t="n">
        <f aca="false">SUMIF('Cotação de Materiais'!B4:B44, B12, 'Cotação de Materiais'!H4:H44)</f>
        <v>1980</v>
      </c>
      <c r="E12" s="69" t="n">
        <f aca="false">D12/$D$13</f>
        <v>0.0252118556046436</v>
      </c>
    </row>
    <row r="13" customFormat="false" ht="15" hidden="false" customHeight="true" outlineLevel="0" collapsed="false">
      <c r="A13" s="70" t="s">
        <v>110</v>
      </c>
      <c r="B13" s="70" t="s">
        <v>635</v>
      </c>
      <c r="C13" s="71" t="n">
        <f aca="false">SUM(C4:C12)</f>
        <v>39</v>
      </c>
      <c r="D13" s="72" t="n">
        <f aca="false">SUM(D4:D12)</f>
        <v>78534.4812</v>
      </c>
      <c r="E13" s="73" t="n">
        <f aca="false">SUM(E4:E12)</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7"/>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4" min="2" style="1" width="12"/>
    <col collapsed="false" customWidth="true" hidden="false" outlineLevel="0" max="5" min="5" style="1" width="3"/>
    <col collapsed="false" customWidth="true" hidden="false" outlineLevel="0" max="8" min="6" style="1" width="12"/>
    <col collapsed="false" customWidth="true" hidden="false" outlineLevel="0" max="9" min="9" style="1" width="3"/>
    <col collapsed="false" customWidth="true" hidden="false" outlineLevel="0" max="12" min="10" style="1" width="12"/>
    <col collapsed="false" customWidth="true" hidden="false" outlineLevel="0" max="13" min="13" style="1" width="3"/>
    <col collapsed="false" customWidth="true" hidden="false" outlineLevel="0" max="16" min="14" style="1" width="12"/>
    <col collapsed="false" customWidth="true" hidden="false" outlineLevel="0" max="18" min="18" style="1" width="28"/>
    <col collapsed="false" customWidth="true" hidden="false" outlineLevel="0" max="19" min="19" style="1" width="16"/>
    <col collapsed="false" customWidth="true" hidden="false" outlineLevel="0" max="21" min="21" style="1" width="24"/>
    <col collapsed="false" customWidth="true" hidden="false" outlineLevel="0" max="22" min="22" style="1" width="16"/>
  </cols>
  <sheetData>
    <row r="1" customFormat="false" ht="27.75" hidden="false" customHeight="true" outlineLevel="0" collapsed="false">
      <c r="A1" s="74" t="s">
        <v>636</v>
      </c>
      <c r="B1" s="74"/>
      <c r="C1" s="74"/>
      <c r="D1" s="74"/>
      <c r="E1" s="74"/>
      <c r="F1" s="74"/>
      <c r="G1" s="74"/>
      <c r="H1" s="74"/>
      <c r="I1" s="74"/>
      <c r="J1" s="74"/>
      <c r="K1" s="74"/>
      <c r="L1" s="74"/>
      <c r="M1" s="74"/>
      <c r="N1" s="74"/>
      <c r="O1" s="74"/>
      <c r="P1" s="74"/>
    </row>
    <row r="2" customFormat="false" ht="27.75" hidden="false" customHeight="true" outlineLevel="0" collapsed="false">
      <c r="A2" s="74"/>
      <c r="B2" s="74"/>
      <c r="C2" s="74"/>
      <c r="D2" s="74"/>
      <c r="E2" s="74"/>
      <c r="F2" s="74"/>
      <c r="G2" s="74"/>
      <c r="H2" s="74"/>
      <c r="I2" s="74"/>
      <c r="J2" s="74"/>
      <c r="K2" s="74"/>
      <c r="L2" s="74"/>
      <c r="M2" s="74"/>
      <c r="N2" s="74"/>
      <c r="O2" s="74"/>
      <c r="P2" s="74"/>
      <c r="R2" s="75" t="s">
        <v>89</v>
      </c>
      <c r="S2" s="75" t="s">
        <v>42</v>
      </c>
      <c r="U2" s="1" t="s">
        <v>637</v>
      </c>
      <c r="V2" s="1" t="s">
        <v>42</v>
      </c>
    </row>
    <row r="3" customFormat="false" ht="21.75" hidden="false" customHeight="true" outlineLevel="0" collapsed="false">
      <c r="A3" s="76" t="s">
        <v>638</v>
      </c>
      <c r="B3" s="76"/>
      <c r="C3" s="76"/>
      <c r="D3" s="76"/>
      <c r="E3" s="76"/>
      <c r="F3" s="76"/>
      <c r="G3" s="76"/>
      <c r="H3" s="76"/>
      <c r="I3" s="76"/>
      <c r="J3" s="76"/>
      <c r="K3" s="76"/>
      <c r="L3" s="76"/>
      <c r="M3" s="76"/>
      <c r="N3" s="76"/>
      <c r="O3" s="76"/>
      <c r="P3" s="76"/>
      <c r="R3" s="75" t="s">
        <v>99</v>
      </c>
      <c r="S3" s="77" t="n">
        <f aca="false">'Resumo por Disciplina'!D4</f>
        <v>21347.26</v>
      </c>
      <c r="U3" s="1" t="s">
        <v>639</v>
      </c>
      <c r="V3" s="77" t="n">
        <f aca="false">'Cotação de Materiais'!H45</f>
        <v>78534.4812</v>
      </c>
    </row>
    <row r="4" customFormat="false" ht="15" hidden="false" customHeight="true" outlineLevel="0" collapsed="false">
      <c r="R4" s="75" t="s">
        <v>100</v>
      </c>
      <c r="S4" s="77" t="n">
        <f aca="false">'Resumo por Disciplina'!D5</f>
        <v>6546.25</v>
      </c>
      <c r="U4" s="1" t="s">
        <v>640</v>
      </c>
      <c r="V4" s="77" t="n">
        <f aca="false">'Mão de Obra e Serviços'!G21</f>
        <v>118562</v>
      </c>
    </row>
    <row r="5" customFormat="false" ht="15" hidden="false" customHeight="true" outlineLevel="0" collapsed="false">
      <c r="A5" s="78" t="s">
        <v>641</v>
      </c>
      <c r="B5" s="78"/>
      <c r="C5" s="78"/>
      <c r="D5" s="78"/>
      <c r="F5" s="79" t="s">
        <v>642</v>
      </c>
      <c r="G5" s="79"/>
      <c r="H5" s="79"/>
      <c r="J5" s="80" t="s">
        <v>643</v>
      </c>
      <c r="K5" s="80"/>
      <c r="L5" s="80"/>
      <c r="N5" s="80" t="s">
        <v>644</v>
      </c>
      <c r="O5" s="80"/>
      <c r="P5" s="80"/>
      <c r="R5" s="75" t="s">
        <v>101</v>
      </c>
      <c r="S5" s="77" t="n">
        <f aca="false">'Resumo por Disciplina'!D6</f>
        <v>9176.262</v>
      </c>
    </row>
    <row r="6" customFormat="false" ht="15" hidden="false" customHeight="true" outlineLevel="0" collapsed="false">
      <c r="A6" s="78"/>
      <c r="B6" s="78"/>
      <c r="C6" s="78"/>
      <c r="D6" s="78"/>
      <c r="F6" s="79"/>
      <c r="G6" s="79"/>
      <c r="H6" s="79"/>
      <c r="J6" s="80"/>
      <c r="K6" s="80"/>
      <c r="L6" s="80"/>
      <c r="N6" s="80"/>
      <c r="O6" s="80"/>
      <c r="P6" s="80"/>
      <c r="R6" s="75" t="s">
        <v>102</v>
      </c>
      <c r="S6" s="77" t="n">
        <f aca="false">'Resumo por Disciplina'!D7</f>
        <v>6741.02</v>
      </c>
    </row>
    <row r="7" customFormat="false" ht="15" hidden="false" customHeight="true" outlineLevel="0" collapsed="false">
      <c r="A7" s="81" t="str">
        <f aca="false">"R$ "&amp;TEXT('Instruções e Resumo'!B16,"#,##0.00")</f>
        <v>R$ 197,096.48</v>
      </c>
      <c r="B7" s="81"/>
      <c r="C7" s="81"/>
      <c r="D7" s="81"/>
      <c r="F7" s="82" t="str">
        <f aca="false">"R$ "&amp;TEXT('Cotação de Materiais'!H45,"#,##0.00")</f>
        <v>R$ 78,534.48</v>
      </c>
      <c r="G7" s="82"/>
      <c r="H7" s="82"/>
      <c r="J7" s="83" t="str">
        <f aca="false">"R$ "&amp;TEXT('Mão de Obra e Serviços'!G21,"#,##0.00")</f>
        <v>R$ 118,562.00</v>
      </c>
      <c r="K7" s="83"/>
      <c r="L7" s="83"/>
      <c r="N7" s="84" t="n">
        <f aca="false">COUNTIF('Cotação de Materiais'!I4:I44,"PENDENTE")+COUNTIF('Mão de Obra e Serviços'!H4:H20,"PENDENTE")</f>
        <v>6</v>
      </c>
      <c r="O7" s="84"/>
      <c r="P7" s="84"/>
      <c r="R7" s="75" t="s">
        <v>103</v>
      </c>
      <c r="S7" s="77" t="n">
        <f aca="false">'Resumo por Disciplina'!D8</f>
        <v>1376.71</v>
      </c>
    </row>
    <row r="8" customFormat="false" ht="15" hidden="false" customHeight="true" outlineLevel="0" collapsed="false">
      <c r="A8" s="81"/>
      <c r="B8" s="81"/>
      <c r="C8" s="81"/>
      <c r="D8" s="81"/>
      <c r="F8" s="82"/>
      <c r="G8" s="82"/>
      <c r="H8" s="82"/>
      <c r="J8" s="83"/>
      <c r="K8" s="83"/>
      <c r="L8" s="83"/>
      <c r="N8" s="84"/>
      <c r="O8" s="84"/>
      <c r="P8" s="84"/>
      <c r="R8" s="75" t="s">
        <v>104</v>
      </c>
      <c r="S8" s="77" t="n">
        <f aca="false">'Resumo por Disciplina'!D9</f>
        <v>13681.4592</v>
      </c>
    </row>
    <row r="9" customFormat="false" ht="15" hidden="false" customHeight="true" outlineLevel="0" collapsed="false">
      <c r="R9" s="75" t="s">
        <v>105</v>
      </c>
      <c r="S9" s="77" t="n">
        <f aca="false">'Resumo por Disciplina'!D10</f>
        <v>10636.92</v>
      </c>
    </row>
    <row r="10" customFormat="false" ht="15" hidden="false" customHeight="true" outlineLevel="0" collapsed="false">
      <c r="A10" s="85" t="s">
        <v>645</v>
      </c>
      <c r="B10" s="85"/>
      <c r="C10" s="85"/>
      <c r="D10" s="85"/>
      <c r="F10" s="85" t="s">
        <v>646</v>
      </c>
      <c r="G10" s="85"/>
      <c r="H10" s="85"/>
      <c r="J10" s="86" t="s">
        <v>647</v>
      </c>
      <c r="K10" s="86"/>
      <c r="L10" s="86"/>
      <c r="N10" s="86" t="s">
        <v>648</v>
      </c>
      <c r="O10" s="86"/>
      <c r="P10" s="86"/>
      <c r="R10" s="75" t="s">
        <v>106</v>
      </c>
      <c r="S10" s="77" t="n">
        <f aca="false">'Resumo por Disciplina'!D11</f>
        <v>7048.6</v>
      </c>
    </row>
    <row r="11" customFormat="false" ht="15" hidden="false" customHeight="true" outlineLevel="0" collapsed="false">
      <c r="A11" s="85"/>
      <c r="B11" s="85"/>
      <c r="C11" s="85"/>
      <c r="D11" s="85"/>
      <c r="F11" s="85"/>
      <c r="G11" s="85"/>
      <c r="H11" s="85"/>
      <c r="J11" s="86"/>
      <c r="K11" s="86"/>
      <c r="L11" s="86"/>
      <c r="N11" s="86"/>
      <c r="O11" s="86"/>
      <c r="P11" s="86"/>
      <c r="R11" s="75" t="s">
        <v>107</v>
      </c>
      <c r="S11" s="77" t="n">
        <f aca="false">'Resumo por Disciplina'!D12</f>
        <v>1980</v>
      </c>
    </row>
    <row r="12" customFormat="false" ht="15" hidden="false" customHeight="true" outlineLevel="0" collapsed="false">
      <c r="A12" s="87" t="n">
        <f aca="false">4</f>
        <v>4</v>
      </c>
      <c r="B12" s="87"/>
      <c r="C12" s="87"/>
      <c r="D12" s="87"/>
      <c r="F12" s="88" t="n">
        <f aca="false">5</f>
        <v>5</v>
      </c>
      <c r="G12" s="88"/>
      <c r="H12" s="88"/>
      <c r="J12" s="89" t="n">
        <f aca="false">8</f>
        <v>8</v>
      </c>
      <c r="K12" s="89"/>
      <c r="L12" s="89"/>
      <c r="N12" s="90" t="n">
        <f aca="false">1</f>
        <v>1</v>
      </c>
      <c r="O12" s="90"/>
      <c r="P12" s="90"/>
    </row>
    <row r="13" customFormat="false" ht="15" hidden="false" customHeight="true" outlineLevel="0" collapsed="false">
      <c r="A13" s="87"/>
      <c r="B13" s="87"/>
      <c r="C13" s="87"/>
      <c r="D13" s="87"/>
      <c r="F13" s="88"/>
      <c r="G13" s="88"/>
      <c r="H13" s="88"/>
      <c r="J13" s="89"/>
      <c r="K13" s="89"/>
      <c r="L13" s="89"/>
      <c r="N13" s="90"/>
      <c r="O13" s="90"/>
      <c r="P13" s="90"/>
    </row>
    <row r="15" customFormat="false" ht="15" hidden="false" customHeight="true" outlineLevel="0" collapsed="false">
      <c r="A15" s="91" t="s">
        <v>649</v>
      </c>
      <c r="B15" s="91"/>
      <c r="C15" s="91"/>
      <c r="D15" s="91"/>
      <c r="E15" s="91"/>
      <c r="F15" s="91"/>
      <c r="G15" s="91"/>
      <c r="H15" s="91"/>
      <c r="J15" s="91" t="s">
        <v>650</v>
      </c>
      <c r="K15" s="91"/>
      <c r="L15" s="91"/>
      <c r="M15" s="91"/>
      <c r="N15" s="91"/>
      <c r="O15" s="91"/>
      <c r="P15" s="91"/>
    </row>
    <row r="34" customFormat="false" ht="15" hidden="false" customHeight="true" outlineLevel="0" collapsed="false">
      <c r="A34" s="91" t="s">
        <v>651</v>
      </c>
      <c r="B34" s="91"/>
      <c r="C34" s="91"/>
      <c r="D34" s="91"/>
      <c r="E34" s="91"/>
      <c r="F34" s="91"/>
      <c r="G34" s="91"/>
      <c r="H34" s="91"/>
      <c r="I34" s="91"/>
      <c r="J34" s="91"/>
      <c r="K34" s="91"/>
      <c r="L34" s="91"/>
      <c r="M34" s="91"/>
      <c r="N34" s="91"/>
      <c r="O34" s="91"/>
      <c r="P34" s="91"/>
    </row>
    <row r="35" customFormat="false" ht="24" hidden="false" customHeight="true" outlineLevel="0" collapsed="false">
      <c r="A35" s="92" t="s">
        <v>652</v>
      </c>
      <c r="B35" s="92"/>
      <c r="C35" s="92"/>
      <c r="D35" s="92" t="s">
        <v>653</v>
      </c>
      <c r="E35" s="92"/>
      <c r="F35" s="92" t="s">
        <v>654</v>
      </c>
      <c r="G35" s="92"/>
      <c r="H35" s="92"/>
      <c r="I35" s="92" t="s">
        <v>655</v>
      </c>
      <c r="J35" s="92"/>
      <c r="K35" s="92"/>
      <c r="L35" s="92"/>
      <c r="M35" s="92"/>
      <c r="N35" s="92"/>
      <c r="O35" s="92"/>
      <c r="P35" s="92"/>
    </row>
    <row r="36" customFormat="false" ht="31.5" hidden="false" customHeight="true" outlineLevel="0" collapsed="false">
      <c r="A36" s="93" t="s">
        <v>656</v>
      </c>
      <c r="B36" s="93"/>
      <c r="C36" s="93"/>
      <c r="D36" s="94" t="s">
        <v>657</v>
      </c>
      <c r="E36" s="94"/>
      <c r="F36" s="95" t="s">
        <v>658</v>
      </c>
      <c r="G36" s="95"/>
      <c r="H36" s="95"/>
      <c r="I36" s="96" t="s">
        <v>659</v>
      </c>
      <c r="J36" s="96"/>
      <c r="K36" s="96"/>
      <c r="L36" s="96"/>
      <c r="M36" s="96"/>
      <c r="N36" s="96"/>
      <c r="O36" s="96"/>
      <c r="P36" s="96"/>
    </row>
    <row r="37" customFormat="false" ht="31.5" hidden="false" customHeight="true" outlineLevel="0" collapsed="false">
      <c r="A37" s="93" t="s">
        <v>660</v>
      </c>
      <c r="B37" s="93"/>
      <c r="C37" s="93"/>
      <c r="D37" s="94" t="s">
        <v>661</v>
      </c>
      <c r="E37" s="94"/>
      <c r="F37" s="95" t="s">
        <v>662</v>
      </c>
      <c r="G37" s="95"/>
      <c r="H37" s="95"/>
      <c r="I37" s="96" t="s">
        <v>663</v>
      </c>
      <c r="J37" s="96"/>
      <c r="K37" s="96"/>
      <c r="L37" s="96"/>
      <c r="M37" s="96"/>
      <c r="N37" s="96"/>
      <c r="O37" s="96"/>
      <c r="P37" s="96"/>
    </row>
    <row r="38" customFormat="false" ht="31.5" hidden="false" customHeight="true" outlineLevel="0" collapsed="false">
      <c r="A38" s="93" t="s">
        <v>664</v>
      </c>
      <c r="B38" s="93"/>
      <c r="C38" s="93"/>
      <c r="D38" s="94" t="s">
        <v>665</v>
      </c>
      <c r="E38" s="94"/>
      <c r="F38" s="95" t="s">
        <v>666</v>
      </c>
      <c r="G38" s="95"/>
      <c r="H38" s="95"/>
      <c r="I38" s="96" t="s">
        <v>667</v>
      </c>
      <c r="J38" s="96"/>
      <c r="K38" s="96"/>
      <c r="L38" s="96"/>
      <c r="M38" s="96"/>
      <c r="N38" s="96"/>
      <c r="O38" s="96"/>
      <c r="P38" s="96"/>
    </row>
    <row r="39" customFormat="false" ht="31.5" hidden="false" customHeight="true" outlineLevel="0" collapsed="false">
      <c r="A39" s="93" t="s">
        <v>668</v>
      </c>
      <c r="B39" s="93"/>
      <c r="C39" s="93"/>
      <c r="D39" s="94" t="s">
        <v>669</v>
      </c>
      <c r="E39" s="94"/>
      <c r="F39" s="95" t="s">
        <v>670</v>
      </c>
      <c r="G39" s="95"/>
      <c r="H39" s="95"/>
      <c r="I39" s="96" t="s">
        <v>671</v>
      </c>
      <c r="J39" s="96"/>
      <c r="K39" s="96"/>
      <c r="L39" s="96"/>
      <c r="M39" s="96"/>
      <c r="N39" s="96"/>
      <c r="O39" s="96"/>
      <c r="P39" s="96"/>
    </row>
    <row r="40" customFormat="false" ht="31.5" hidden="false" customHeight="true" outlineLevel="0" collapsed="false">
      <c r="A40" s="93" t="s">
        <v>672</v>
      </c>
      <c r="B40" s="93"/>
      <c r="C40" s="93"/>
      <c r="D40" s="94" t="s">
        <v>673</v>
      </c>
      <c r="E40" s="94"/>
      <c r="F40" s="95" t="s">
        <v>674</v>
      </c>
      <c r="G40" s="95"/>
      <c r="H40" s="95"/>
      <c r="I40" s="96" t="s">
        <v>675</v>
      </c>
      <c r="J40" s="96"/>
      <c r="K40" s="96"/>
      <c r="L40" s="96"/>
      <c r="M40" s="96"/>
      <c r="N40" s="96"/>
      <c r="O40" s="96"/>
      <c r="P40" s="96"/>
    </row>
    <row r="41" customFormat="false" ht="31.5" hidden="false" customHeight="true" outlineLevel="0" collapsed="false">
      <c r="A41" s="93" t="s">
        <v>676</v>
      </c>
      <c r="B41" s="93"/>
      <c r="C41" s="93"/>
      <c r="D41" s="94" t="s">
        <v>677</v>
      </c>
      <c r="E41" s="94"/>
      <c r="F41" s="95" t="s">
        <v>678</v>
      </c>
      <c r="G41" s="95"/>
      <c r="H41" s="95"/>
      <c r="I41" s="96" t="s">
        <v>679</v>
      </c>
      <c r="J41" s="96"/>
      <c r="K41" s="96"/>
      <c r="L41" s="96"/>
      <c r="M41" s="96"/>
      <c r="N41" s="96"/>
      <c r="O41" s="96"/>
      <c r="P41" s="96"/>
    </row>
    <row r="42" customFormat="false" ht="31.5" hidden="false" customHeight="true" outlineLevel="0" collapsed="false">
      <c r="A42" s="93" t="s">
        <v>680</v>
      </c>
      <c r="B42" s="93"/>
      <c r="C42" s="93"/>
      <c r="D42" s="94" t="s">
        <v>681</v>
      </c>
      <c r="E42" s="94"/>
      <c r="F42" s="95" t="s">
        <v>682</v>
      </c>
      <c r="G42" s="95"/>
      <c r="H42" s="95"/>
      <c r="I42" s="96" t="s">
        <v>683</v>
      </c>
      <c r="J42" s="96"/>
      <c r="K42" s="96"/>
      <c r="L42" s="96"/>
      <c r="M42" s="96"/>
      <c r="N42" s="96"/>
      <c r="O42" s="96"/>
      <c r="P42" s="96"/>
    </row>
    <row r="43" customFormat="false" ht="31.5" hidden="false" customHeight="true" outlineLevel="0" collapsed="false">
      <c r="A43" s="93" t="s">
        <v>684</v>
      </c>
      <c r="B43" s="93"/>
      <c r="C43" s="93"/>
      <c r="D43" s="94" t="s">
        <v>685</v>
      </c>
      <c r="E43" s="94"/>
      <c r="F43" s="95" t="s">
        <v>686</v>
      </c>
      <c r="G43" s="95"/>
      <c r="H43" s="95"/>
      <c r="I43" s="96" t="s">
        <v>687</v>
      </c>
      <c r="J43" s="96"/>
      <c r="K43" s="96"/>
      <c r="L43" s="96"/>
      <c r="M43" s="96"/>
      <c r="N43" s="96"/>
      <c r="O43" s="96"/>
      <c r="P43" s="96"/>
    </row>
    <row r="45" customFormat="false" ht="15" hidden="false" customHeight="true" outlineLevel="0" collapsed="false">
      <c r="A45" s="91" t="s">
        <v>688</v>
      </c>
      <c r="B45" s="91"/>
      <c r="C45" s="91"/>
      <c r="D45" s="91"/>
      <c r="E45" s="91"/>
      <c r="F45" s="91"/>
      <c r="G45" s="91"/>
      <c r="H45" s="91"/>
      <c r="J45" s="91" t="s">
        <v>689</v>
      </c>
      <c r="K45" s="91"/>
      <c r="L45" s="91"/>
      <c r="M45" s="91"/>
      <c r="N45" s="91"/>
      <c r="O45" s="91"/>
      <c r="P45" s="91"/>
    </row>
    <row r="46" customFormat="false" ht="24" hidden="false" customHeight="true" outlineLevel="0" collapsed="false">
      <c r="A46" s="97" t="s">
        <v>113</v>
      </c>
      <c r="B46" s="92" t="s">
        <v>690</v>
      </c>
      <c r="C46" s="92"/>
      <c r="D46" s="92"/>
      <c r="E46" s="92" t="s">
        <v>89</v>
      </c>
      <c r="F46" s="92"/>
      <c r="G46" s="92" t="s">
        <v>691</v>
      </c>
      <c r="H46" s="92"/>
      <c r="J46" s="92" t="s">
        <v>18</v>
      </c>
      <c r="K46" s="92"/>
      <c r="L46" s="92"/>
      <c r="M46" s="92" t="s">
        <v>116</v>
      </c>
      <c r="N46" s="92"/>
      <c r="O46" s="92"/>
      <c r="P46" s="92"/>
    </row>
    <row r="47" customFormat="false" ht="24" hidden="false" customHeight="true" outlineLevel="0" collapsed="false">
      <c r="A47" s="98" t="str">
        <f aca="false">'Cotação de Materiais'!A31</f>
        <v>SEG-01</v>
      </c>
      <c r="B47" s="96" t="str">
        <f aca="false">'Cotação de Materiais'!C31</f>
        <v>Retardante de Chamas CKC-2020</v>
      </c>
      <c r="C47" s="96"/>
      <c r="D47" s="96"/>
      <c r="E47" s="96" t="str">
        <f aca="false">'Cotação de Materiais'!B31</f>
        <v>Segurança Contra Incêndio</v>
      </c>
      <c r="F47" s="96"/>
      <c r="G47" s="99" t="str">
        <f aca="false">"R$ "&amp;TEXT('Cotação de Materiais'!H31,"#,##0.00")</f>
        <v>R$ 8,760.00</v>
      </c>
      <c r="H47" s="99"/>
      <c r="J47" s="100" t="s">
        <v>24</v>
      </c>
      <c r="K47" s="100"/>
      <c r="L47" s="100"/>
      <c r="M47" s="101" t="n">
        <f aca="false">COUNTIF('Cotação de Materiais'!I4:I44,"PENDENTE")+COUNTIF('Mão de Obra e Serviços'!H4:H20,"PENDENTE")</f>
        <v>6</v>
      </c>
      <c r="N47" s="101"/>
      <c r="O47" s="101"/>
      <c r="P47" s="101"/>
    </row>
    <row r="48" customFormat="false" ht="24" hidden="false" customHeight="true" outlineLevel="0" collapsed="false">
      <c r="A48" s="98" t="str">
        <f aca="false">'Cotação de Materiais'!A4</f>
        <v>MAT-01</v>
      </c>
      <c r="B48" s="96" t="str">
        <f aca="false">'Cotação de Materiais'!C4</f>
        <v>Chapas de MDF Comum 18mm</v>
      </c>
      <c r="C48" s="96"/>
      <c r="D48" s="96"/>
      <c r="E48" s="96" t="str">
        <f aca="false">'Cotação de Materiais'!B4</f>
        <v>Marcenaria e Cenotecnia</v>
      </c>
      <c r="F48" s="96"/>
      <c r="G48" s="99" t="str">
        <f aca="false">"R$ "&amp;TEXT('Cotação de Materiais'!H4,"#,##0.00")</f>
        <v>R$ 15,607.36</v>
      </c>
      <c r="H48" s="99"/>
      <c r="J48" s="102" t="s">
        <v>28</v>
      </c>
      <c r="K48" s="102"/>
      <c r="L48" s="102"/>
      <c r="M48" s="103" t="n">
        <f aca="false">COUNTIF('Cotação de Materiais'!I4:I44,"FECHADO")+COUNTIF('Mão de Obra e Serviços'!H4:H20,"FECHADO")</f>
        <v>6</v>
      </c>
      <c r="N48" s="103"/>
      <c r="O48" s="103"/>
      <c r="P48" s="103"/>
    </row>
    <row r="49" customFormat="false" ht="24" hidden="false" customHeight="true" outlineLevel="0" collapsed="false">
      <c r="A49" s="98" t="str">
        <f aca="false">'Cotação de Materiais'!A25</f>
        <v>VID-01</v>
      </c>
      <c r="B49" s="96" t="str">
        <f aca="false">'Cotação de Materiais'!C25</f>
        <v>Vidro Laminado M01</v>
      </c>
      <c r="C49" s="96"/>
      <c r="D49" s="96"/>
      <c r="E49" s="96" t="str">
        <f aca="false">'Cotação de Materiais'!B25</f>
        <v>Vidros e Acrílicos</v>
      </c>
      <c r="F49" s="96"/>
      <c r="G49" s="99" t="str">
        <f aca="false">"R$ "&amp;TEXT('Cotação de Materiais'!H25,"#,##0.00")</f>
        <v>R$ 1,376.71</v>
      </c>
      <c r="H49" s="99"/>
      <c r="J49" s="104" t="s">
        <v>20</v>
      </c>
      <c r="K49" s="104"/>
      <c r="L49" s="104"/>
      <c r="M49" s="105" t="n">
        <f aca="false">COUNTIF('Cotação de Materiais'!I4:I44,"EXPLÍCITO")+COUNTIF('Mão de Obra e Serviços'!H4:H20,"EXPLÍCITO")</f>
        <v>28</v>
      </c>
      <c r="N49" s="105"/>
      <c r="O49" s="105"/>
      <c r="P49" s="105"/>
    </row>
    <row r="50" customFormat="false" ht="24" hidden="false" customHeight="true" outlineLevel="0" collapsed="false">
      <c r="A50" s="98" t="str">
        <f aca="false">'Cotação de Materiais'!A28</f>
        <v>CV-01</v>
      </c>
      <c r="B50" s="96" t="str">
        <f aca="false">'Cotação de Materiais'!C28</f>
        <v>Aplicação de Película Refl. Prata-Bronze 05</v>
      </c>
      <c r="C50" s="96"/>
      <c r="D50" s="96"/>
      <c r="E50" s="96" t="str">
        <f aca="false">'Cotação de Materiais'!B28</f>
        <v>Comunicação Visual</v>
      </c>
      <c r="F50" s="96"/>
      <c r="G50" s="99" t="str">
        <f aca="false">"R$ "&amp;TEXT('Cotação de Materiais'!H28,"#,##0.00")</f>
        <v>R$ 8,209.46</v>
      </c>
      <c r="H50" s="99"/>
      <c r="J50" s="106" t="s">
        <v>22</v>
      </c>
      <c r="K50" s="106"/>
      <c r="L50" s="106"/>
      <c r="M50" s="107" t="n">
        <f aca="false">COUNTIF('Cotação de Materiais'!I4:I44,"DERIVADO")+COUNTIF('Mão de Obra e Serviços'!H4:H20,"DERIVADO")</f>
        <v>11</v>
      </c>
      <c r="N50" s="107"/>
      <c r="O50" s="107"/>
      <c r="P50" s="107"/>
    </row>
    <row r="51" customFormat="false" ht="24" hidden="false" customHeight="true" outlineLevel="0" collapsed="false">
      <c r="A51" s="98" t="str">
        <f aca="false">'Cotação de Materiais'!A39</f>
        <v>FER-04</v>
      </c>
      <c r="B51" s="96" t="str">
        <f aca="false">'Cotação de Materiais'!C39</f>
        <v>Lastros de Estabilização</v>
      </c>
      <c r="C51" s="96"/>
      <c r="D51" s="96"/>
      <c r="E51" s="96" t="str">
        <f aca="false">'Cotação de Materiais'!B39</f>
        <v>Ferragens e Ancoragens</v>
      </c>
      <c r="F51" s="96"/>
      <c r="G51" s="99" t="str">
        <f aca="false">"R$ "&amp;TEXT('Cotação de Materiais'!H39,"#,##0.00")</f>
        <v>R$ 4,800.00</v>
      </c>
      <c r="H51" s="99"/>
      <c r="J51" s="108" t="s">
        <v>30</v>
      </c>
      <c r="K51" s="108"/>
      <c r="L51" s="108"/>
      <c r="M51" s="109" t="n">
        <f aca="false">COUNTIF('Cotação de Materiais'!I4:I44,"REFORMADO")+COUNTIF('Mão de Obra e Serviços'!H4:H20,"REFORMADO")</f>
        <v>5</v>
      </c>
      <c r="N51" s="109"/>
      <c r="O51" s="109"/>
      <c r="P51" s="109"/>
    </row>
    <row r="52" customFormat="false" ht="24" hidden="false" customHeight="true" outlineLevel="0" collapsed="false">
      <c r="A52" s="98" t="str">
        <f aca="false">'Cotação de Materiais'!A17</f>
        <v>ELE-04</v>
      </c>
      <c r="B52" s="96" t="str">
        <f aca="false">'Cotação de Materiais'!C17</f>
        <v>Cabos PP Antichama</v>
      </c>
      <c r="C52" s="96"/>
      <c r="D52" s="96"/>
      <c r="E52" s="96" t="str">
        <f aca="false">'Cotação de Materiais'!B17</f>
        <v>Elétrica e Iluminação</v>
      </c>
      <c r="F52" s="96"/>
      <c r="G52" s="99" t="str">
        <f aca="false">"R$ "&amp;TEXT('Cotação de Materiais'!H17,"#,##0.00")</f>
        <v>R$ 3,987.50</v>
      </c>
      <c r="H52" s="99"/>
    </row>
    <row r="53" customFormat="false" ht="36" hidden="false" customHeight="true" outlineLevel="0" collapsed="false">
      <c r="A53" s="98" t="str">
        <f aca="false">'Cotação de Materiais'!A24</f>
        <v>TIN-03</v>
      </c>
      <c r="B53" s="96" t="str">
        <f aca="false">'Cotação de Materiais'!C24</f>
        <v>Tinta Acrílica Branca</v>
      </c>
      <c r="C53" s="96"/>
      <c r="D53" s="96"/>
      <c r="E53" s="96" t="str">
        <f aca="false">'Cotação de Materiais'!B24</f>
        <v>Pintura e Acabamentos</v>
      </c>
      <c r="F53" s="96"/>
      <c r="G53" s="99" t="str">
        <f aca="false">"R$ "&amp;TEXT('Cotação de Materiais'!H24,"#,##0.00")</f>
        <v>R$ 3,695.52</v>
      </c>
      <c r="H53" s="99"/>
      <c r="J53" s="110" t="s">
        <v>692</v>
      </c>
      <c r="K53" s="110"/>
      <c r="L53" s="110"/>
      <c r="M53" s="110"/>
      <c r="N53" s="110"/>
      <c r="O53" s="110"/>
      <c r="P53" s="110"/>
    </row>
    <row r="54" customFormat="false" ht="36" hidden="false" customHeight="true" outlineLevel="0" collapsed="false">
      <c r="A54" s="98" t="str">
        <f aca="false">'Cotação de Materiais'!A29</f>
        <v>CV-02</v>
      </c>
      <c r="B54" s="96" t="str">
        <f aca="false">'Cotação de Materiais'!C29</f>
        <v>Remoção de Película Anterior</v>
      </c>
      <c r="C54" s="96"/>
      <c r="D54" s="96"/>
      <c r="E54" s="96" t="str">
        <f aca="false">'Cotação de Materiais'!B29</f>
        <v>Comunicação Visual</v>
      </c>
      <c r="F54" s="96"/>
      <c r="G54" s="99" t="str">
        <f aca="false">"R$ "&amp;TEXT('Cotação de Materiais'!H29,"#,##0.00")</f>
        <v>R$ 3,429.12</v>
      </c>
      <c r="H54" s="99"/>
      <c r="J54" s="110"/>
      <c r="K54" s="110"/>
      <c r="L54" s="110"/>
      <c r="M54" s="110"/>
      <c r="N54" s="110"/>
      <c r="O54" s="110"/>
      <c r="P54" s="110"/>
    </row>
    <row r="56" customFormat="false" ht="15" hidden="false" customHeight="true" outlineLevel="0" collapsed="false">
      <c r="A56" s="111" t="s">
        <v>693</v>
      </c>
      <c r="B56" s="111"/>
      <c r="C56" s="111"/>
      <c r="D56" s="111"/>
      <c r="E56" s="111"/>
      <c r="F56" s="111"/>
      <c r="G56" s="111"/>
      <c r="H56" s="111"/>
      <c r="I56" s="111"/>
      <c r="J56" s="111"/>
      <c r="K56" s="111"/>
      <c r="L56" s="111"/>
      <c r="M56" s="111"/>
      <c r="N56" s="111"/>
      <c r="O56" s="111"/>
      <c r="P56" s="111"/>
    </row>
    <row r="57" customFormat="false" ht="15" hidden="false" customHeight="true" outlineLevel="0" collapsed="false">
      <c r="A57" s="111"/>
      <c r="B57" s="111"/>
      <c r="C57" s="111"/>
      <c r="D57" s="111"/>
      <c r="E57" s="111"/>
      <c r="F57" s="111"/>
      <c r="G57" s="111"/>
      <c r="H57" s="111"/>
      <c r="I57" s="111"/>
      <c r="J57" s="111"/>
      <c r="K57" s="111"/>
      <c r="L57" s="111"/>
      <c r="M57" s="111"/>
      <c r="N57" s="111"/>
      <c r="O57" s="111"/>
      <c r="P57" s="111"/>
    </row>
  </sheetData>
  <mergeCells count="100">
    <mergeCell ref="A1:P2"/>
    <mergeCell ref="A3:P3"/>
    <mergeCell ref="A5:D6"/>
    <mergeCell ref="F5:H6"/>
    <mergeCell ref="J5:L6"/>
    <mergeCell ref="N5:P6"/>
    <mergeCell ref="A7:D8"/>
    <mergeCell ref="F7:H8"/>
    <mergeCell ref="J7:L8"/>
    <mergeCell ref="N7:P8"/>
    <mergeCell ref="A10:D11"/>
    <mergeCell ref="F10:H11"/>
    <mergeCell ref="J10:L11"/>
    <mergeCell ref="N10:P11"/>
    <mergeCell ref="A12:D13"/>
    <mergeCell ref="F12:H13"/>
    <mergeCell ref="J12:L13"/>
    <mergeCell ref="N12:P13"/>
    <mergeCell ref="A15:H15"/>
    <mergeCell ref="J15:P15"/>
    <mergeCell ref="A34:P34"/>
    <mergeCell ref="A35:C35"/>
    <mergeCell ref="D35:E35"/>
    <mergeCell ref="F35:H35"/>
    <mergeCell ref="I35:P35"/>
    <mergeCell ref="A36:C36"/>
    <mergeCell ref="D36:E36"/>
    <mergeCell ref="F36:H36"/>
    <mergeCell ref="I36:P36"/>
    <mergeCell ref="A37:C37"/>
    <mergeCell ref="D37:E37"/>
    <mergeCell ref="F37:H37"/>
    <mergeCell ref="I37:P37"/>
    <mergeCell ref="A38:C38"/>
    <mergeCell ref="D38:E38"/>
    <mergeCell ref="F38:H38"/>
    <mergeCell ref="I38:P38"/>
    <mergeCell ref="A39:C39"/>
    <mergeCell ref="D39:E39"/>
    <mergeCell ref="F39:H39"/>
    <mergeCell ref="I39:P39"/>
    <mergeCell ref="A40:C40"/>
    <mergeCell ref="D40:E40"/>
    <mergeCell ref="F40:H40"/>
    <mergeCell ref="I40:P40"/>
    <mergeCell ref="A41:C41"/>
    <mergeCell ref="D41:E41"/>
    <mergeCell ref="F41:H41"/>
    <mergeCell ref="I41:P41"/>
    <mergeCell ref="A42:C42"/>
    <mergeCell ref="D42:E42"/>
    <mergeCell ref="F42:H42"/>
    <mergeCell ref="I42:P42"/>
    <mergeCell ref="A43:C43"/>
    <mergeCell ref="D43:E43"/>
    <mergeCell ref="F43:H43"/>
    <mergeCell ref="I43:P43"/>
    <mergeCell ref="A45:H45"/>
    <mergeCell ref="J45:P45"/>
    <mergeCell ref="B46:D46"/>
    <mergeCell ref="E46:F46"/>
    <mergeCell ref="G46:H46"/>
    <mergeCell ref="J46:L46"/>
    <mergeCell ref="M46:P46"/>
    <mergeCell ref="B47:D47"/>
    <mergeCell ref="E47:F47"/>
    <mergeCell ref="G47:H47"/>
    <mergeCell ref="J47:L47"/>
    <mergeCell ref="M47:P47"/>
    <mergeCell ref="B48:D48"/>
    <mergeCell ref="E48:F48"/>
    <mergeCell ref="G48:H48"/>
    <mergeCell ref="J48:L48"/>
    <mergeCell ref="M48:P48"/>
    <mergeCell ref="B49:D49"/>
    <mergeCell ref="E49:F49"/>
    <mergeCell ref="G49:H49"/>
    <mergeCell ref="J49:L49"/>
    <mergeCell ref="M49:P49"/>
    <mergeCell ref="B50:D50"/>
    <mergeCell ref="E50:F50"/>
    <mergeCell ref="G50:H50"/>
    <mergeCell ref="J50:L50"/>
    <mergeCell ref="M50:P50"/>
    <mergeCell ref="B51:D51"/>
    <mergeCell ref="E51:F51"/>
    <mergeCell ref="G51:H51"/>
    <mergeCell ref="J51:L51"/>
    <mergeCell ref="M51:P51"/>
    <mergeCell ref="B52:D52"/>
    <mergeCell ref="E52:F52"/>
    <mergeCell ref="G52:H52"/>
    <mergeCell ref="B53:D53"/>
    <mergeCell ref="E53:F53"/>
    <mergeCell ref="G53:H53"/>
    <mergeCell ref="J53:P54"/>
    <mergeCell ref="B54:D54"/>
    <mergeCell ref="E54:F54"/>
    <mergeCell ref="G54:H54"/>
    <mergeCell ref="A56:P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4" min="3" style="1" width="12"/>
    <col collapsed="false" customWidth="true" hidden="false" outlineLevel="0" max="5" min="5" style="1" width="11"/>
    <col collapsed="false" customWidth="true" hidden="false" outlineLevel="0" max="6" min="6" style="1" width="28"/>
    <col collapsed="false" customWidth="true" hidden="false" outlineLevel="0" max="7" min="7" style="1" width="42"/>
    <col collapsed="false" customWidth="true" hidden="false" outlineLevel="0" max="36" min="8" style="1" width="4.14"/>
  </cols>
  <sheetData>
    <row r="1" customFormat="false" ht="15" hidden="false" customHeight="true" outlineLevel="0" collapsed="false">
      <c r="A1" s="112" t="s">
        <v>694</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row>
    <row r="2" customFormat="false" ht="15" hidden="false" customHeight="true" outlineLevel="0" collapsed="false">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row>
    <row r="3" customFormat="false" ht="15" hidden="false" customHeight="true" outlineLevel="0" collapsed="false">
      <c r="A3" s="113" t="s">
        <v>695</v>
      </c>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row>
    <row r="5" customFormat="false" ht="15" hidden="false" customHeight="true" outlineLevel="0" collapsed="false">
      <c r="A5" s="114" t="s">
        <v>696</v>
      </c>
      <c r="B5" s="114" t="s">
        <v>652</v>
      </c>
      <c r="C5" s="114" t="s">
        <v>697</v>
      </c>
      <c r="D5" s="114" t="s">
        <v>698</v>
      </c>
      <c r="E5" s="114" t="s">
        <v>699</v>
      </c>
      <c r="F5" s="114" t="s">
        <v>700</v>
      </c>
      <c r="G5" s="114" t="s">
        <v>701</v>
      </c>
      <c r="H5" s="115" t="n">
        <v>46316</v>
      </c>
      <c r="I5" s="115" t="n">
        <v>46317</v>
      </c>
      <c r="J5" s="115" t="n">
        <v>46318</v>
      </c>
      <c r="K5" s="116" t="n">
        <v>46319</v>
      </c>
      <c r="L5" s="116" t="n">
        <v>46320</v>
      </c>
      <c r="M5" s="115" t="n">
        <v>46321</v>
      </c>
      <c r="N5" s="115" t="n">
        <v>46322</v>
      </c>
      <c r="O5" s="115" t="n">
        <v>46323</v>
      </c>
      <c r="P5" s="115" t="n">
        <v>46324</v>
      </c>
      <c r="Q5" s="115" t="n">
        <v>46325</v>
      </c>
      <c r="R5" s="116" t="n">
        <v>46326</v>
      </c>
      <c r="S5" s="116" t="n">
        <v>46327</v>
      </c>
      <c r="T5" s="115" t="n">
        <v>46328</v>
      </c>
      <c r="U5" s="115" t="n">
        <v>46329</v>
      </c>
      <c r="V5" s="115" t="n">
        <v>46330</v>
      </c>
      <c r="W5" s="115" t="n">
        <v>46331</v>
      </c>
      <c r="X5" s="115" t="n">
        <v>46332</v>
      </c>
      <c r="Y5" s="116" t="n">
        <v>46333</v>
      </c>
      <c r="Z5" s="116" t="n">
        <v>46334</v>
      </c>
      <c r="AA5" s="115" t="n">
        <v>46335</v>
      </c>
      <c r="AB5" s="115" t="n">
        <v>46336</v>
      </c>
      <c r="AC5" s="115" t="n">
        <v>46337</v>
      </c>
      <c r="AD5" s="115" t="n">
        <v>46338</v>
      </c>
      <c r="AE5" s="115" t="n">
        <v>46339</v>
      </c>
      <c r="AF5" s="116" t="n">
        <v>46340</v>
      </c>
      <c r="AG5" s="116" t="n">
        <v>46341</v>
      </c>
      <c r="AH5" s="115" t="n">
        <v>46342</v>
      </c>
      <c r="AI5" s="115" t="n">
        <v>46343</v>
      </c>
      <c r="AJ5" s="115" t="n">
        <v>46344</v>
      </c>
    </row>
    <row r="6" customFormat="false" ht="15" hidden="false" customHeight="true" outlineLevel="0" collapsed="false">
      <c r="H6" s="117" t="s">
        <v>702</v>
      </c>
      <c r="I6" s="117" t="s">
        <v>703</v>
      </c>
      <c r="J6" s="117" t="s">
        <v>704</v>
      </c>
      <c r="K6" s="118" t="s">
        <v>705</v>
      </c>
      <c r="L6" s="118" t="s">
        <v>706</v>
      </c>
      <c r="M6" s="117" t="s">
        <v>707</v>
      </c>
      <c r="N6" s="117" t="s">
        <v>708</v>
      </c>
      <c r="O6" s="117" t="s">
        <v>702</v>
      </c>
      <c r="P6" s="117" t="s">
        <v>703</v>
      </c>
      <c r="Q6" s="117" t="s">
        <v>704</v>
      </c>
      <c r="R6" s="118" t="s">
        <v>705</v>
      </c>
      <c r="S6" s="118" t="s">
        <v>706</v>
      </c>
      <c r="T6" s="117" t="s">
        <v>707</v>
      </c>
      <c r="U6" s="117" t="s">
        <v>708</v>
      </c>
      <c r="V6" s="117" t="s">
        <v>702</v>
      </c>
      <c r="W6" s="117" t="s">
        <v>703</v>
      </c>
      <c r="X6" s="117" t="s">
        <v>704</v>
      </c>
      <c r="Y6" s="118" t="s">
        <v>705</v>
      </c>
      <c r="Z6" s="118" t="s">
        <v>706</v>
      </c>
      <c r="AA6" s="117" t="s">
        <v>707</v>
      </c>
      <c r="AB6" s="117" t="s">
        <v>708</v>
      </c>
      <c r="AC6" s="117" t="s">
        <v>702</v>
      </c>
      <c r="AD6" s="117" t="s">
        <v>703</v>
      </c>
      <c r="AE6" s="117" t="s">
        <v>704</v>
      </c>
      <c r="AF6" s="118" t="s">
        <v>705</v>
      </c>
      <c r="AG6" s="118" t="s">
        <v>706</v>
      </c>
      <c r="AH6" s="117" t="s">
        <v>707</v>
      </c>
      <c r="AI6" s="117" t="s">
        <v>708</v>
      </c>
      <c r="AJ6" s="117" t="s">
        <v>702</v>
      </c>
    </row>
    <row r="7" customFormat="false" ht="33.75" hidden="false" customHeight="true" outlineLevel="0" collapsed="false">
      <c r="A7" s="98" t="s">
        <v>709</v>
      </c>
      <c r="B7" s="119" t="s">
        <v>710</v>
      </c>
      <c r="C7" s="120" t="n">
        <v>46316</v>
      </c>
      <c r="D7" s="120" t="n">
        <v>46322</v>
      </c>
      <c r="E7" s="98" t="s">
        <v>711</v>
      </c>
      <c r="F7" s="98" t="s">
        <v>658</v>
      </c>
      <c r="G7" s="98" t="s">
        <v>712</v>
      </c>
      <c r="H7" s="121" t="s">
        <v>713</v>
      </c>
      <c r="I7" s="121" t="s">
        <v>713</v>
      </c>
      <c r="J7" s="121" t="s">
        <v>713</v>
      </c>
      <c r="K7" s="122"/>
      <c r="L7" s="122"/>
      <c r="M7" s="121" t="s">
        <v>713</v>
      </c>
      <c r="N7" s="121" t="s">
        <v>713</v>
      </c>
      <c r="R7" s="122"/>
      <c r="S7" s="122"/>
      <c r="Y7" s="122"/>
      <c r="Z7" s="122"/>
      <c r="AF7" s="122"/>
      <c r="AG7" s="122"/>
    </row>
    <row r="8" customFormat="false" ht="33.75" hidden="false" customHeight="true" outlineLevel="0" collapsed="false">
      <c r="A8" s="98" t="s">
        <v>714</v>
      </c>
      <c r="B8" s="119" t="s">
        <v>715</v>
      </c>
      <c r="C8" s="120" t="n">
        <v>46323</v>
      </c>
      <c r="D8" s="120" t="n">
        <v>46325</v>
      </c>
      <c r="E8" s="98" t="s">
        <v>716</v>
      </c>
      <c r="F8" s="98" t="s">
        <v>717</v>
      </c>
      <c r="G8" s="98" t="s">
        <v>663</v>
      </c>
      <c r="K8" s="122"/>
      <c r="L8" s="122"/>
      <c r="O8" s="123" t="s">
        <v>713</v>
      </c>
      <c r="P8" s="123" t="s">
        <v>713</v>
      </c>
      <c r="Q8" s="123" t="s">
        <v>713</v>
      </c>
      <c r="R8" s="122"/>
      <c r="S8" s="122"/>
      <c r="Y8" s="122"/>
      <c r="Z8" s="122"/>
      <c r="AF8" s="122"/>
      <c r="AG8" s="122"/>
    </row>
    <row r="9" customFormat="false" ht="33.75" hidden="false" customHeight="true" outlineLevel="0" collapsed="false">
      <c r="A9" s="98" t="s">
        <v>718</v>
      </c>
      <c r="B9" s="119" t="s">
        <v>719</v>
      </c>
      <c r="C9" s="120" t="n">
        <v>46326</v>
      </c>
      <c r="D9" s="120" t="n">
        <v>46331</v>
      </c>
      <c r="E9" s="98" t="s">
        <v>720</v>
      </c>
      <c r="F9" s="98" t="s">
        <v>721</v>
      </c>
      <c r="G9" s="98" t="s">
        <v>667</v>
      </c>
      <c r="K9" s="122"/>
      <c r="L9" s="122"/>
      <c r="R9" s="123" t="s">
        <v>713</v>
      </c>
      <c r="S9" s="123" t="s">
        <v>713</v>
      </c>
      <c r="T9" s="123" t="s">
        <v>713</v>
      </c>
      <c r="U9" s="123" t="s">
        <v>713</v>
      </c>
      <c r="V9" s="123" t="s">
        <v>713</v>
      </c>
      <c r="W9" s="123" t="s">
        <v>713</v>
      </c>
      <c r="Y9" s="122"/>
      <c r="Z9" s="122"/>
      <c r="AF9" s="122"/>
      <c r="AG9" s="122"/>
    </row>
    <row r="10" customFormat="false" ht="33.75" hidden="false" customHeight="true" outlineLevel="0" collapsed="false">
      <c r="A10" s="98" t="s">
        <v>722</v>
      </c>
      <c r="B10" s="119" t="s">
        <v>723</v>
      </c>
      <c r="C10" s="120" t="n">
        <v>46332</v>
      </c>
      <c r="D10" s="120" t="n">
        <v>46336</v>
      </c>
      <c r="E10" s="98" t="s">
        <v>724</v>
      </c>
      <c r="F10" s="98" t="s">
        <v>725</v>
      </c>
      <c r="G10" s="98" t="s">
        <v>671</v>
      </c>
      <c r="K10" s="122"/>
      <c r="L10" s="122"/>
      <c r="R10" s="122"/>
      <c r="S10" s="122"/>
      <c r="X10" s="124" t="s">
        <v>713</v>
      </c>
      <c r="Y10" s="124" t="s">
        <v>713</v>
      </c>
      <c r="Z10" s="124" t="s">
        <v>713</v>
      </c>
      <c r="AA10" s="124" t="s">
        <v>713</v>
      </c>
      <c r="AB10" s="124" t="s">
        <v>713</v>
      </c>
      <c r="AF10" s="122"/>
      <c r="AG10" s="122"/>
    </row>
    <row r="11" customFormat="false" ht="33.75" hidden="false" customHeight="true" outlineLevel="0" collapsed="false">
      <c r="A11" s="98" t="s">
        <v>726</v>
      </c>
      <c r="B11" s="119" t="s">
        <v>727</v>
      </c>
      <c r="C11" s="120" t="n">
        <v>46337</v>
      </c>
      <c r="D11" s="120" t="n">
        <v>46339</v>
      </c>
      <c r="E11" s="98" t="s">
        <v>716</v>
      </c>
      <c r="F11" s="98" t="s">
        <v>728</v>
      </c>
      <c r="G11" s="98" t="s">
        <v>675</v>
      </c>
      <c r="K11" s="122"/>
      <c r="L11" s="122"/>
      <c r="R11" s="122"/>
      <c r="S11" s="122"/>
      <c r="Y11" s="122"/>
      <c r="Z11" s="122"/>
      <c r="AC11" s="125" t="s">
        <v>713</v>
      </c>
      <c r="AD11" s="125" t="s">
        <v>713</v>
      </c>
      <c r="AE11" s="125" t="s">
        <v>713</v>
      </c>
      <c r="AF11" s="122"/>
      <c r="AG11" s="122"/>
    </row>
    <row r="12" customFormat="false" ht="33.75" hidden="false" customHeight="true" outlineLevel="0" collapsed="false">
      <c r="A12" s="98" t="s">
        <v>729</v>
      </c>
      <c r="B12" s="119" t="s">
        <v>730</v>
      </c>
      <c r="C12" s="120" t="n">
        <v>46340</v>
      </c>
      <c r="D12" s="120" t="n">
        <v>46342</v>
      </c>
      <c r="E12" s="98" t="s">
        <v>716</v>
      </c>
      <c r="F12" s="98" t="s">
        <v>731</v>
      </c>
      <c r="G12" s="98" t="s">
        <v>732</v>
      </c>
      <c r="K12" s="122"/>
      <c r="L12" s="122"/>
      <c r="R12" s="122"/>
      <c r="S12" s="122"/>
      <c r="Y12" s="122"/>
      <c r="Z12" s="122"/>
      <c r="AF12" s="126" t="s">
        <v>713</v>
      </c>
      <c r="AG12" s="126" t="s">
        <v>713</v>
      </c>
      <c r="AH12" s="126" t="s">
        <v>713</v>
      </c>
    </row>
    <row r="13" customFormat="false" ht="33.75" hidden="false" customHeight="true" outlineLevel="0" collapsed="false">
      <c r="A13" s="98" t="s">
        <v>733</v>
      </c>
      <c r="B13" s="119" t="s">
        <v>734</v>
      </c>
      <c r="C13" s="120" t="n">
        <v>46343</v>
      </c>
      <c r="D13" s="120" t="n">
        <v>46343</v>
      </c>
      <c r="E13" s="98" t="s">
        <v>735</v>
      </c>
      <c r="F13" s="98" t="s">
        <v>736</v>
      </c>
      <c r="G13" s="98" t="s">
        <v>737</v>
      </c>
      <c r="K13" s="122"/>
      <c r="L13" s="122"/>
      <c r="R13" s="122"/>
      <c r="S13" s="122"/>
      <c r="Y13" s="122"/>
      <c r="Z13" s="122"/>
      <c r="AF13" s="122"/>
      <c r="AG13" s="122"/>
      <c r="AI13" s="127" t="s">
        <v>713</v>
      </c>
    </row>
    <row r="14" customFormat="false" ht="33.75" hidden="false" customHeight="true" outlineLevel="0" collapsed="false">
      <c r="A14" s="98" t="s">
        <v>738</v>
      </c>
      <c r="B14" s="119" t="s">
        <v>739</v>
      </c>
      <c r="C14" s="120" t="n">
        <v>46344</v>
      </c>
      <c r="D14" s="120" t="n">
        <v>46344</v>
      </c>
      <c r="E14" s="98" t="s">
        <v>740</v>
      </c>
      <c r="F14" s="98" t="s">
        <v>686</v>
      </c>
      <c r="G14" s="98" t="s">
        <v>741</v>
      </c>
      <c r="K14" s="122"/>
      <c r="L14" s="122"/>
      <c r="R14" s="122"/>
      <c r="S14" s="122"/>
      <c r="Y14" s="122"/>
      <c r="Z14" s="122"/>
      <c r="AF14" s="122"/>
      <c r="AG14" s="122"/>
      <c r="AJ14" s="128" t="s">
        <v>713</v>
      </c>
    </row>
    <row r="17" customFormat="false" ht="15" hidden="false" customHeight="true" outlineLevel="0" collapsed="false">
      <c r="A17" s="129" t="s">
        <v>742</v>
      </c>
      <c r="B17" s="129"/>
      <c r="C17" s="129"/>
      <c r="D17" s="129"/>
      <c r="E17" s="129"/>
      <c r="F17" s="129"/>
      <c r="G17" s="129"/>
    </row>
    <row r="18" customFormat="false" ht="24" hidden="false" customHeight="true" outlineLevel="0" collapsed="false">
      <c r="A18" s="97" t="s">
        <v>113</v>
      </c>
      <c r="B18" s="97" t="s">
        <v>743</v>
      </c>
      <c r="C18" s="97" t="s">
        <v>116</v>
      </c>
      <c r="D18" s="97" t="s">
        <v>117</v>
      </c>
      <c r="E18" s="97" t="s">
        <v>744</v>
      </c>
      <c r="F18" s="97" t="s">
        <v>691</v>
      </c>
      <c r="G18" s="97" t="s">
        <v>745</v>
      </c>
    </row>
    <row r="19" customFormat="false" ht="24" hidden="false" customHeight="true" outlineLevel="0" collapsed="false">
      <c r="A19" s="98" t="s">
        <v>327</v>
      </c>
      <c r="B19" s="98" t="s">
        <v>746</v>
      </c>
      <c r="C19" s="130" t="n">
        <f aca="false">'Mão de Obra e Serviços'!D5</f>
        <v>20</v>
      </c>
      <c r="D19" s="98" t="str">
        <f aca="false">'Mão de Obra e Serviços'!E5</f>
        <v>pessoa-dia</v>
      </c>
      <c r="E19" s="131" t="str">
        <f aca="false">"R$ "&amp;TEXT('Mão de Obra e Serviços'!F5,"#,##0.00")</f>
        <v>R$ 250.00</v>
      </c>
      <c r="F19" s="131" t="str">
        <f aca="false">"R$ "&amp;TEXT('Mão de Obra e Serviços'!G5,"#,##0.00")</f>
        <v>R$ 5,000.00</v>
      </c>
      <c r="G19" s="98" t="s">
        <v>747</v>
      </c>
    </row>
    <row r="20" customFormat="false" ht="24" hidden="false" customHeight="true" outlineLevel="0" collapsed="false">
      <c r="A20" s="98" t="s">
        <v>331</v>
      </c>
      <c r="B20" s="98" t="s">
        <v>748</v>
      </c>
      <c r="C20" s="130" t="n">
        <f aca="false">'Mão de Obra e Serviços'!D6</f>
        <v>160</v>
      </c>
      <c r="D20" s="98" t="str">
        <f aca="false">'Mão de Obra e Serviços'!E6</f>
        <v>pessoa-dia</v>
      </c>
      <c r="E20" s="131" t="str">
        <f aca="false">"R$ "&amp;TEXT('Mão de Obra e Serviços'!F6,"#,##0.00")</f>
        <v>R$ 270.00</v>
      </c>
      <c r="F20" s="131" t="str">
        <f aca="false">"R$ "&amp;TEXT('Mão de Obra e Serviços'!G6,"#,##0.00")</f>
        <v>R$ 43,200.00</v>
      </c>
      <c r="G20" s="98" t="s">
        <v>749</v>
      </c>
    </row>
    <row r="21" customFormat="false" ht="24" hidden="false" customHeight="true" outlineLevel="0" collapsed="false">
      <c r="A21" s="98" t="s">
        <v>334</v>
      </c>
      <c r="B21" s="98" t="s">
        <v>750</v>
      </c>
      <c r="C21" s="130" t="n">
        <f aca="false">'Mão de Obra e Serviços'!D7</f>
        <v>10</v>
      </c>
      <c r="D21" s="98" t="str">
        <f aca="false">'Mão de Obra e Serviços'!E7</f>
        <v>pessoa-dia</v>
      </c>
      <c r="E21" s="131" t="str">
        <f aca="false">"R$ "&amp;TEXT('Mão de Obra e Serviços'!F7,"#,##0.00")</f>
        <v>R$ 130.00</v>
      </c>
      <c r="F21" s="131" t="str">
        <f aca="false">"R$ "&amp;TEXT('Mão de Obra e Serviços'!G7,"#,##0.00")</f>
        <v>R$ 1,300.00</v>
      </c>
      <c r="G21" s="98" t="s">
        <v>751</v>
      </c>
    </row>
    <row r="22" customFormat="false" ht="24" hidden="false" customHeight="true" outlineLevel="0" collapsed="false">
      <c r="A22" s="98" t="s">
        <v>337</v>
      </c>
      <c r="B22" s="98" t="s">
        <v>752</v>
      </c>
      <c r="C22" s="130" t="n">
        <f aca="false">'Mão de Obra e Serviços'!D8</f>
        <v>9</v>
      </c>
      <c r="D22" s="98" t="str">
        <f aca="false">'Mão de Obra e Serviços'!E8</f>
        <v>pessoa-dia</v>
      </c>
      <c r="E22" s="131" t="str">
        <f aca="false">"R$ "&amp;TEXT('Mão de Obra e Serviços'!F8,"#,##0.00")</f>
        <v>R$ 100.00</v>
      </c>
      <c r="F22" s="131" t="str">
        <f aca="false">"R$ "&amp;TEXT('Mão de Obra e Serviços'!G8,"#,##0.00")</f>
        <v>R$ 900.00</v>
      </c>
      <c r="G22" s="98" t="s">
        <v>753</v>
      </c>
    </row>
    <row r="23" customFormat="false" ht="24" hidden="false" customHeight="true" outlineLevel="0" collapsed="false">
      <c r="A23" s="98" t="s">
        <v>340</v>
      </c>
      <c r="B23" s="98" t="s">
        <v>754</v>
      </c>
      <c r="C23" s="130" t="n">
        <f aca="false">'Mão de Obra e Serviços'!D9</f>
        <v>1</v>
      </c>
      <c r="D23" s="98" t="str">
        <f aca="false">'Mão de Obra e Serviços'!E9</f>
        <v>cj</v>
      </c>
      <c r="E23" s="131" t="str">
        <f aca="false">"R$ "&amp;TEXT('Mão de Obra e Serviços'!F9,"#,##0.00")</f>
        <v>R$ 5,000.00</v>
      </c>
      <c r="F23" s="131" t="str">
        <f aca="false">"R$ "&amp;TEXT('Mão de Obra e Serviços'!G9,"#,##0.00")</f>
        <v>R$ 5,000.00</v>
      </c>
      <c r="G23" s="98" t="s">
        <v>755</v>
      </c>
    </row>
    <row r="24" customFormat="false" ht="24" hidden="false" customHeight="true" outlineLevel="0" collapsed="false">
      <c r="A24" s="98" t="s">
        <v>343</v>
      </c>
      <c r="B24" s="98" t="s">
        <v>756</v>
      </c>
      <c r="C24" s="130" t="n">
        <f aca="false">'Mão de Obra e Serviços'!D10</f>
        <v>20</v>
      </c>
      <c r="D24" s="98" t="str">
        <f aca="false">'Mão de Obra e Serviços'!E10</f>
        <v>dia</v>
      </c>
      <c r="E24" s="131" t="str">
        <f aca="false">"R$ "&amp;TEXT('Mão de Obra e Serviços'!F10,"#,##0.00")</f>
        <v>R$ 300.00</v>
      </c>
      <c r="F24" s="131" t="str">
        <f aca="false">"R$ "&amp;TEXT('Mão de Obra e Serviços'!G10,"#,##0.00")</f>
        <v>R$ 6,000.00</v>
      </c>
      <c r="G24" s="98" t="s">
        <v>757</v>
      </c>
    </row>
    <row r="25" customFormat="false" ht="24" hidden="false" customHeight="true" outlineLevel="0" collapsed="false">
      <c r="A25" s="98" t="s">
        <v>347</v>
      </c>
      <c r="B25" s="98" t="s">
        <v>348</v>
      </c>
      <c r="C25" s="130" t="n">
        <f aca="false">'Mão de Obra e Serviços'!D11</f>
        <v>5</v>
      </c>
      <c r="D25" s="98" t="str">
        <f aca="false">'Mão de Obra e Serviços'!E11</f>
        <v>pessoa-dia</v>
      </c>
      <c r="E25" s="131" t="str">
        <f aca="false">"R$ "&amp;TEXT('Mão de Obra e Serviços'!F11,"#,##0.00")</f>
        <v>R$ 1.00</v>
      </c>
      <c r="F25" s="131" t="str">
        <f aca="false">"R$ "&amp;TEXT('Mão de Obra e Serviços'!G11,"#,##0.00")</f>
        <v>R$ 5.00</v>
      </c>
      <c r="G25" s="98" t="s">
        <v>758</v>
      </c>
    </row>
    <row r="26" customFormat="false" ht="24" hidden="false" customHeight="true" outlineLevel="0" collapsed="false">
      <c r="A26" s="98" t="s">
        <v>350</v>
      </c>
      <c r="B26" s="98" t="s">
        <v>759</v>
      </c>
      <c r="C26" s="130" t="n">
        <f aca="false">'Mão de Obra e Serviços'!D12</f>
        <v>6</v>
      </c>
      <c r="D26" s="98" t="str">
        <f aca="false">'Mão de Obra e Serviços'!E12</f>
        <v>pessoa-dia</v>
      </c>
      <c r="E26" s="131" t="str">
        <f aca="false">"R$ "&amp;TEXT('Mão de Obra e Serviços'!F12,"#,##0.00")</f>
        <v>R$ 250.00</v>
      </c>
      <c r="F26" s="131" t="str">
        <f aca="false">"R$ "&amp;TEXT('Mão de Obra e Serviços'!G12,"#,##0.00")</f>
        <v>R$ 1,500.00</v>
      </c>
      <c r="G26" s="98" t="s">
        <v>760</v>
      </c>
    </row>
    <row r="27" customFormat="false" ht="24" hidden="false" customHeight="true" outlineLevel="0" collapsed="false">
      <c r="A27" s="98" t="s">
        <v>353</v>
      </c>
      <c r="B27" s="98" t="s">
        <v>761</v>
      </c>
      <c r="C27" s="130" t="n">
        <f aca="false">'Mão de Obra e Serviços'!D13</f>
        <v>1</v>
      </c>
      <c r="D27" s="98" t="str">
        <f aca="false">'Mão de Obra e Serviços'!E13</f>
        <v>cj</v>
      </c>
      <c r="E27" s="131" t="str">
        <f aca="false">"R$ "&amp;TEXT('Mão de Obra e Serviços'!F13,"#,##0.00")</f>
        <v>R$ 7,000.00</v>
      </c>
      <c r="F27" s="131" t="str">
        <f aca="false">"R$ "&amp;TEXT('Mão de Obra e Serviços'!G13,"#,##0.00")</f>
        <v>R$ 7,000.00</v>
      </c>
      <c r="G27" s="98" t="s">
        <v>755</v>
      </c>
    </row>
    <row r="29" customFormat="false" ht="15" hidden="false" customHeight="true" outlineLevel="0" collapsed="false">
      <c r="A29" s="132" t="s">
        <v>762</v>
      </c>
      <c r="B29" s="132"/>
      <c r="C29" s="132"/>
      <c r="D29" s="132"/>
      <c r="E29" s="132"/>
      <c r="F29" s="132"/>
      <c r="G29" s="132"/>
    </row>
    <row r="30" customFormat="false" ht="15" hidden="false" customHeight="true" outlineLevel="0" collapsed="false">
      <c r="A30" s="132"/>
      <c r="B30" s="132"/>
      <c r="C30" s="132"/>
      <c r="D30" s="132"/>
      <c r="E30" s="132"/>
      <c r="F30" s="132"/>
      <c r="G30" s="132"/>
    </row>
    <row r="31" customFormat="false" ht="15" hidden="false" customHeight="true" outlineLevel="0" collapsed="false">
      <c r="A31" s="132"/>
      <c r="B31" s="132"/>
      <c r="C31" s="132"/>
      <c r="D31" s="132"/>
      <c r="E31" s="132"/>
      <c r="F31" s="132"/>
      <c r="G31" s="132"/>
    </row>
    <row r="33" customFormat="false" ht="15" hidden="false" customHeight="true" outlineLevel="0" collapsed="false">
      <c r="A33" s="111" t="s">
        <v>763</v>
      </c>
      <c r="B33" s="111"/>
      <c r="C33" s="111"/>
      <c r="D33" s="111"/>
      <c r="E33" s="111"/>
      <c r="F33" s="111"/>
      <c r="G33" s="111"/>
    </row>
    <row r="34" customFormat="false" ht="15" hidden="false" customHeight="true" outlineLevel="0" collapsed="false">
      <c r="A34" s="111"/>
      <c r="B34" s="111"/>
      <c r="C34" s="111"/>
      <c r="D34" s="111"/>
      <c r="E34" s="111"/>
      <c r="F34" s="111"/>
      <c r="G34" s="111"/>
    </row>
  </sheetData>
  <mergeCells count="5">
    <mergeCell ref="A1:AJ2"/>
    <mergeCell ref="A3:AJ3"/>
    <mergeCell ref="A17:G17"/>
    <mergeCell ref="A29:G31"/>
    <mergeCell ref="A33: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2026-09-24T16:49:22Z</dcterms:created>
  <dc:creator>openpyxl</dc:creator>
  <dc:description/>
  <dc:language>en-US</dc:language>
  <cp:lastModifiedBy/>
  <dcterms:modified xsi:type="dcterms:W3CDTF">2026-09-29T15:18:29Z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