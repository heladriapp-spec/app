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ruções e Resumo" sheetId="1" state="visible" r:id="rId3"/>
    <sheet name="Cotação de Materiais" sheetId="2" state="visible" r:id="rId4"/>
    <sheet name="Resumo por Disciplina" sheetId="3" state="visible" r:id="rId5"/>
    <sheet name="Mão de Obra e Serviços" sheetId="4" state="visible" r:id="rId6"/>
    <sheet name="Dashboard Executivo" sheetId="5" state="visible" r:id="rId7"/>
    <sheet name="Cronograma Operacional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<sst xmlns="http://schemas.openxmlformats.org/spreadsheetml/2006/main" count="700" uniqueCount="453">
  <si>
    <t xml:space="preserve">SESC PAULISTA — PROJETO COSMOCHÃO (v12.0)</t>
  </si>
  <si>
    <t xml:space="preserve">PLANILHA DE COTAÇÃO DE MATERIAIS, INSUMOS E SERVIÇOS</t>
  </si>
  <si>
    <t xml:space="preserve">ORIENTAÇÕES PARA PREENCHIMENTO E COTAÇÃO:</t>
  </si>
  <si>
    <t xml:space="preserve">1. Esta planilha contém o levantamento quantitativo detalhado dos materiais, insumos e serviços da exposição CosmoChão.</t>
  </si>
  <si>
    <t xml:space="preserve">2. NOTA DA v12.0: Adicionado fornecimento de vale-alimentação para a fase de galpão (+20,0 pessoa-dias / R$ 600,00).</t>
  </si>
  <si>
    <t xml:space="preserve">3. Os fornecedores devem preencher EXCLUSIVAMENTE a coluna 'Custo Unitário (R$)' [células destacadas em AZUL CLARO].</t>
  </si>
  <si>
    <t xml:space="preserve">4. Os valores totais por item, sub-totais por disciplina e o valor total geral são calculados AUTOMATICAMENTE.</t>
  </si>
  <si>
    <t xml:space="preserve">5. No campo 'Observações do Fornecedor', informe a marca oferecida, prazos de entrega ou eventuais ressalvas técnicas.</t>
  </si>
  <si>
    <t xml:space="preserve">6. O campo Status indica a origem do dado no projeto: EXPLÍCITO, DERIVADO, PENDENTE, DIVERGENTE, FECHADO ou REFORMADO.</t>
  </si>
  <si>
    <t xml:space="preserve">RESUMO CONSOLIDADO DA COTAÇÃO</t>
  </si>
  <si>
    <t xml:space="preserve">Indicador</t>
  </si>
  <si>
    <t xml:space="preserve">Valor / Status</t>
  </si>
  <si>
    <t xml:space="preserve">TOTAL GERAL COTADO (R$)</t>
  </si>
  <si>
    <t xml:space="preserve">Total de Itens Mapeados</t>
  </si>
  <si>
    <t xml:space="preserve">Disciplinas Atendidas</t>
  </si>
  <si>
    <t xml:space="preserve">Legenda de Preenchimento</t>
  </si>
  <si>
    <t xml:space="preserve">Azul Claro = Campo Editável pelo Fornecedor | Verde = Cálculo Automático</t>
  </si>
  <si>
    <t xml:space="preserve">LEGENDA DOS STATUS DO LEVANTAMENTO</t>
  </si>
  <si>
    <t xml:space="preserve">Status</t>
  </si>
  <si>
    <t xml:space="preserve">Descrição / Conceito</t>
  </si>
  <si>
    <t xml:space="preserve">EXPLÍCITO</t>
  </si>
  <si>
    <t xml:space="preserve">Dado quantitativo ou especificação presente diretamente no memorial / desenho.</t>
  </si>
  <si>
    <t xml:space="preserve">DERIVADO</t>
  </si>
  <si>
    <t xml:space="preserve">Dado calculado matematicamente a partir de parâmetros das fontes (ex: consumo de tinta/ignífugo).</t>
  </si>
  <si>
    <t xml:space="preserve">PENDENTE</t>
  </si>
  <si>
    <t xml:space="preserve">Informação que depende de definição executiva, medição in loco ou cotação detalhada.</t>
  </si>
  <si>
    <t xml:space="preserve">DIVERGENTE</t>
  </si>
  <si>
    <t xml:space="preserve">Conflito identificado entre diferentes memoriais do projeto (ex: massas de lastro).</t>
  </si>
  <si>
    <t xml:space="preserve">FECHADO</t>
  </si>
  <si>
    <t xml:space="preserve">Item com cotação de mercado confirmada e fechada.</t>
  </si>
  <si>
    <t xml:space="preserve">REFORMADO</t>
  </si>
  <si>
    <t xml:space="preserve">Elemento existente no acervo do SESC que passará por tratamento, pintura ou restauração.</t>
  </si>
  <si>
    <t xml:space="preserve">COTAÇÃO DE MATERIAIS E INSUMOS — SESC PAULISTA (COSMOCHÃO v12.0)</t>
  </si>
  <si>
    <t xml:space="preserve">Item</t>
  </si>
  <si>
    <t xml:space="preserve">Disciplina</t>
  </si>
  <si>
    <t xml:space="preserve">Material / Elemento</t>
  </si>
  <si>
    <t xml:space="preserve">Especificação Técnica</t>
  </si>
  <si>
    <t xml:space="preserve">Quantidade</t>
  </si>
  <si>
    <t xml:space="preserve">Unidade</t>
  </si>
  <si>
    <t xml:space="preserve">Custo Unitário (R$)</t>
  </si>
  <si>
    <t xml:space="preserve">Custo Total (R$)</t>
  </si>
  <si>
    <t xml:space="preserve">Aplicação / Local</t>
  </si>
  <si>
    <t xml:space="preserve">Observações do Fornecedor / Marca</t>
  </si>
  <si>
    <t xml:space="preserve">MAT-01</t>
  </si>
  <si>
    <t xml:space="preserve">Marcenaria e Cenotecnia</t>
  </si>
  <si>
    <t xml:space="preserve">Chapas de MDF Comum 18mm</t>
  </si>
  <si>
    <t xml:space="preserve">Chapa de MDF Comum / Cru 18mm (2,75 x 1,85 m) — Ignifugação posterior c/ CKC-2020</t>
  </si>
  <si>
    <t xml:space="preserve">m²</t>
  </si>
  <si>
    <t xml:space="preserve">Painéis P01-P07, PR01 (48,5m²), PR02 (48,5m²) e bases M06-M18, M22, M26, M27</t>
  </si>
  <si>
    <t xml:space="preserve">Leo Madeiras R$ 262,90/chapa = R$ 51,68/m² (60 chapas)</t>
  </si>
  <si>
    <t xml:space="preserve">MAT-02</t>
  </si>
  <si>
    <t xml:space="preserve">Chapas de MDF Comum 10mm</t>
  </si>
  <si>
    <t xml:space="preserve">Chapa de MDF Comum / Cru 10mm — Ignifugação posterior c/ CKC-2020</t>
  </si>
  <si>
    <t xml:space="preserve">Estações M19-M21, M24, Carrinho M23 e Caixa M25</t>
  </si>
  <si>
    <t xml:space="preserve">MDF Comum 10mm — R$ 170,00/chapa = R$ 33,42/m² (~9 chapas)</t>
  </si>
  <si>
    <t xml:space="preserve">MAT-03</t>
  </si>
  <si>
    <t xml:space="preserve">Chapas de MDF Comum 6mm e 15mm</t>
  </si>
  <si>
    <t xml:space="preserve">Chapas de MDF Comum / Cru 6mm (R$ 118,90) e 15mm (R$ 218,90) — Média ponderada R$ 33,20/m²</t>
  </si>
  <si>
    <t xml:space="preserve">Tampo da Mesa M01 e bases escultóricas M02-M05</t>
  </si>
  <si>
    <t xml:space="preserve">15m² de 6mm (~3 chapas) + 15m² de 15mm (~3 chapas)</t>
  </si>
  <si>
    <t xml:space="preserve">MAT-04</t>
  </si>
  <si>
    <t xml:space="preserve">Pontaletes de Madeira</t>
  </si>
  <si>
    <t xml:space="preserve">Seção de 5 x 5 cm em madeira para estrutura interna</t>
  </si>
  <si>
    <t xml:space="preserve">m</t>
  </si>
  <si>
    <t xml:space="preserve">Estrutura interna de P01-P06, PR01, PR02, M02-M05, M13</t>
  </si>
  <si>
    <t xml:space="preserve">Sarrafo de pinus/cedrinho 5x5cm (R$ 18,00/m)</t>
  </si>
  <si>
    <t xml:space="preserve">MET-01</t>
  </si>
  <si>
    <t xml:space="preserve">Serralheria e Estruturas Metálicas</t>
  </si>
  <si>
    <t xml:space="preserve">Perfis Tubulares S03</t>
  </si>
  <si>
    <t xml:space="preserve">Tubo de aço 50 x 50 x 5,0 mm (7,07 kg/m)</t>
  </si>
  <si>
    <t xml:space="preserve">Estrutura metálica interna da Base M27 (Obra Solange Pessoa)</t>
  </si>
  <si>
    <t xml:space="preserve">47m de tubo = 332,29 kg de aço</t>
  </si>
  <si>
    <t xml:space="preserve">MET-02</t>
  </si>
  <si>
    <t xml:space="preserve">Tubos de Aço Estrutural</t>
  </si>
  <si>
    <t xml:space="preserve">Tubo de aço 50 x 50 x 3,0 mm (4,43 kg/m)</t>
  </si>
  <si>
    <t xml:space="preserve">4 Barracudas S01 (P05) e 4 Barracudas Piso-Teto (Obra Davi)</t>
  </si>
  <si>
    <t xml:space="preserve">25m de tubo = 110,75 kg de aço (Barra 6m R$ 275,08)</t>
  </si>
  <si>
    <t xml:space="preserve">MET-03</t>
  </si>
  <si>
    <t xml:space="preserve">Molduras Metálicas S01</t>
  </si>
  <si>
    <t xml:space="preserve">Metalon 50 x 50 mm (37 x 93 cm) c/ sapata e contrapesos</t>
  </si>
  <si>
    <t xml:space="preserve">un</t>
  </si>
  <si>
    <t xml:space="preserve">Caixas de marcenaria S01 / Reforço P05 (Obra Davi)</t>
  </si>
  <si>
    <t xml:space="preserve">Conjunto de 2 molduras S01</t>
  </si>
  <si>
    <t xml:space="preserve">MET-04</t>
  </si>
  <si>
    <t xml:space="preserve">Mão-Francesa Metálica S02</t>
  </si>
  <si>
    <t xml:space="preserve">Tubo 50 x 50 mm e chapa maciça 3 mm (40 x 40 cm)</t>
  </si>
  <si>
    <t xml:space="preserve">Sustentação do barco no Painel P05</t>
  </si>
  <si>
    <t xml:space="preserve">Conjunto de 2 mãos-francesas S02</t>
  </si>
  <si>
    <t xml:space="preserve">MET-05</t>
  </si>
  <si>
    <t xml:space="preserve">Placas de Apoio de Aço</t>
  </si>
  <si>
    <t xml:space="preserve">Chapa de aço 100 x 100 x 5 mm c/ barra roscada e contraporca</t>
  </si>
  <si>
    <t xml:space="preserve">Extremidades das 4 barracudas piso-teto (Obra Davi)</t>
  </si>
  <si>
    <t xml:space="preserve">Placas de fixação superior e inferior</t>
  </si>
  <si>
    <t xml:space="preserve">MET-06</t>
  </si>
  <si>
    <t xml:space="preserve">Perfis de Alumínio de Canto</t>
  </si>
  <si>
    <t xml:space="preserve">Perfil de sobrepor 16 x 16 mm (L = 180 cm) para LED c/ difusor</t>
  </si>
  <si>
    <t xml:space="preserve">Nichos superior e inferior da Vitrine M22 (Francisco Brennand)</t>
  </si>
  <si>
    <t xml:space="preserve">Perfil de alumínio 16x16mm + difusor PMMA</t>
  </si>
  <si>
    <t xml:space="preserve">ELE-01</t>
  </si>
  <si>
    <t xml:space="preserve">Elétrica e Iluminação</t>
  </si>
  <si>
    <t xml:space="preserve">Quadro QDLF-Temporário</t>
  </si>
  <si>
    <t xml:space="preserve">Caixa de sobrepor 3F+N+T (220/127V), barramento 80A</t>
  </si>
  <si>
    <t xml:space="preserve">Quadro provisório de distribuição no 5º andar</t>
  </si>
  <si>
    <t xml:space="preserve">Quadro provisório completo com barramento 80A</t>
  </si>
  <si>
    <t xml:space="preserve">ELE-02</t>
  </si>
  <si>
    <t xml:space="preserve">Cabo Alimentador Geral</t>
  </si>
  <si>
    <t xml:space="preserve">Cabo flexível Afumex 0,6/1kV 90°C (3#10 + N10 + PE10 mm²)</t>
  </si>
  <si>
    <t xml:space="preserve">Interligação do QG-N-05 PV ao QDLF-Temporário</t>
  </si>
  <si>
    <t xml:space="preserve">Cabo Prysmian Afumex 10 mm² (R$ 14,67/m)</t>
  </si>
  <si>
    <t xml:space="preserve">ELE-03</t>
  </si>
  <si>
    <t xml:space="preserve">Disjuntores DIN e DDR</t>
  </si>
  <si>
    <t xml:space="preserve">Minidisjuntores DIN (1P, 2P, 3P) Curva C 5kA e Disjuntor DR</t>
  </si>
  <si>
    <t xml:space="preserve">Proteção dos circuitos T1–T4, I1, I2, RD no QDLF</t>
  </si>
  <si>
    <t xml:space="preserve">Conjunto de disjuntores DIN e DR</t>
  </si>
  <si>
    <t xml:space="preserve">ELE-04</t>
  </si>
  <si>
    <t xml:space="preserve">Cabos PP Antichama</t>
  </si>
  <si>
    <t xml:space="preserve">Fiação flexível Afumex 0,6/1kV 90°C 2,5 mm²</t>
  </si>
  <si>
    <t xml:space="preserve">Circuitos de tomada e iluminação geral</t>
  </si>
  <si>
    <t xml:space="preserve">Cabo PP Afumex 3x2,5 mm² (R$ 15,95/m)</t>
  </si>
  <si>
    <t xml:space="preserve">ELE-05</t>
  </si>
  <si>
    <t xml:space="preserve">Fita LED Backlight M01</t>
  </si>
  <si>
    <t xml:space="preserve">Fita LED 180°, 12V, 18W/m, 3000K/6500K c/ dimmer</t>
  </si>
  <si>
    <t xml:space="preserve">Nicho interno abaixo do acrílico da Mesa M01</t>
  </si>
  <si>
    <t xml:space="preserve">Fita LED Gaya 18W/m 12V 3000K (R$ 34,60/m)</t>
  </si>
  <si>
    <t xml:space="preserve">ELE-06</t>
  </si>
  <si>
    <t xml:space="preserve">Fita LED Vitrine M22</t>
  </si>
  <si>
    <t xml:space="preserve">Fita LED 3000K, 10W/m, IRC &gt; 90, 12V/24V c/ driver e dimmer</t>
  </si>
  <si>
    <t xml:space="preserve">Perfis de alumínio da Vitrine M22 (Brennand)</t>
  </si>
  <si>
    <t xml:space="preserve">Fita LED COB 10W/m IRC&gt;90 3000K (R$ 28,97/m)</t>
  </si>
  <si>
    <t xml:space="preserve">ELE-07</t>
  </si>
  <si>
    <t xml:space="preserve">Fita Eletrificada de Piso</t>
  </si>
  <si>
    <t xml:space="preserve">Fita eletrificada de piso para passagem de energia</t>
  </si>
  <si>
    <t xml:space="preserve">cj</t>
  </si>
  <si>
    <t xml:space="preserve">Alimentação elétrica da iluminação da Mesa M01</t>
  </si>
  <si>
    <t xml:space="preserve">Eletrofita 3 pistas / 20A (R$ 45,10/m)</t>
  </si>
  <si>
    <t xml:space="preserve">ELE-08</t>
  </si>
  <si>
    <t xml:space="preserve">Eletrodutos e Calhas</t>
  </si>
  <si>
    <t xml:space="preserve">Eletroduto aço galv. leve Ø 3/4" e calha de piso alumínio 10x30mm</t>
  </si>
  <si>
    <t xml:space="preserve">Infraestrutura aparente de distribuição elétrica</t>
  </si>
  <si>
    <t xml:space="preserve">Eletroduto galv. a fogo 3/4" R$ 14,77/m + Calha R$ 35,00/m</t>
  </si>
  <si>
    <t xml:space="preserve">TIN-01</t>
  </si>
  <si>
    <t xml:space="preserve">Pintura e Acabamentos</t>
  </si>
  <si>
    <t xml:space="preserve">Tinta Acrílica "Terra Roxa"</t>
  </si>
  <si>
    <t xml:space="preserve">Tinta acrílica fosca Suvinil ref. coml. (Latas de 18L)</t>
  </si>
  <si>
    <t xml:space="preserve">Painéis P01–P05 e móveis reformados (115,8 m² a 3 demãos)</t>
  </si>
  <si>
    <t xml:space="preserve">Suvinil Fosca Terra Roxa 18L — R$ 609,10/lata</t>
  </si>
  <si>
    <t xml:space="preserve">TIN-02</t>
  </si>
  <si>
    <t xml:space="preserve">Tinta Acrílica "Papel de Seda"</t>
  </si>
  <si>
    <t xml:space="preserve">Painéis P06, PR01, PR02 e bases novas (185,3 m² a 3 demãos)</t>
  </si>
  <si>
    <t xml:space="preserve">Suvinil Fosca Papel de Seda 18L — R$ 609,10/lata</t>
  </si>
  <si>
    <t xml:space="preserve">TIN-03</t>
  </si>
  <si>
    <t xml:space="preserve">Tinta Acrílica Branca</t>
  </si>
  <si>
    <t xml:space="preserve">Tinta acrílica imobiliária fosca branca (Latas de 18L)</t>
  </si>
  <si>
    <t xml:space="preserve">Painel P07, nicho M01 e repintura de painéis existentes (258,12 m²)</t>
  </si>
  <si>
    <t xml:space="preserve">Suvinil Fosca Branca 18L — R$ 615,92/lata</t>
  </si>
  <si>
    <t xml:space="preserve">VID-01</t>
  </si>
  <si>
    <t xml:space="preserve">Vidros e Acrílicos</t>
  </si>
  <si>
    <t xml:space="preserve">Vidro Laminado M01</t>
  </si>
  <si>
    <t xml:space="preserve">Vidro extra clear laminado temperado 10+10mm (21,52mm) UV 99%</t>
  </si>
  <si>
    <t xml:space="preserve">peça</t>
  </si>
  <si>
    <t xml:space="preserve">Tampo da Mesa Expositiva M01</t>
  </si>
  <si>
    <t xml:space="preserve">Custo fechado de R$ 1.376,71 por peça. Demais vidros/acrílicos do projeto são acervo SESC — fora do escopo de fornecimento.</t>
  </si>
  <si>
    <t xml:space="preserve">CV-01</t>
  </si>
  <si>
    <t xml:space="preserve">Comunicação Visual</t>
  </si>
  <si>
    <t xml:space="preserve">Aplicação de Película Refl. Prata-Bronze 05</t>
  </si>
  <si>
    <t xml:space="preserve">Fornecimento e aplicação de película refletiva Prata-Bronze 05 (cód. fornecedor 13605)</t>
  </si>
  <si>
    <t xml:space="preserve">Painel de vidro — 6º andar</t>
  </si>
  <si>
    <t xml:space="preserve">Proposta RE9 nº 202609.23.02074.6502 de 23/09/2026 (contato Eduardo) — 72,96 m² de caixilharia. Item 13605 — R$ 112,52/m².</t>
  </si>
  <si>
    <t xml:space="preserve">CV-02</t>
  </si>
  <si>
    <t xml:space="preserve">Remoção de Película Anterior</t>
  </si>
  <si>
    <t xml:space="preserve">Remoção de película/adesivo existente na caixilharia (cód. fornecedor 70011)</t>
  </si>
  <si>
    <t xml:space="preserve">Painel de vidro — 6º andar (pré-aplicação)</t>
  </si>
  <si>
    <t xml:space="preserve">Proposta RE9 nº 202609.23.02074.6502 de 23/09/2026 (contato Eduardo) — 72,96 m² de caixilharia. Item 70011 — R$ 47,00/m².</t>
  </si>
  <si>
    <t xml:space="preserve">CV-03</t>
  </si>
  <si>
    <t xml:space="preserve">Remoção de Película ao Final da Exposição</t>
  </si>
  <si>
    <t xml:space="preserve">Remoção da película aplicada ao término da exposição (cód. fornecedor 70011)</t>
  </si>
  <si>
    <t xml:space="preserve">Painel de vidro — 6º andar (desmontagem)</t>
  </si>
  <si>
    <t xml:space="preserve">Proposta RE9 nº 202609.23.02074.6502 de 23/09/2026 (contato Eduardo) — 72,96 m² de caixilharia. Item 70011 — R$ 28,00/m².</t>
  </si>
  <si>
    <t xml:space="preserve">SEG-01</t>
  </si>
  <si>
    <t xml:space="preserve">Segurança Contra Incêndio</t>
  </si>
  <si>
    <t xml:space="preserve">Retardante de Chamas CKC-2020</t>
  </si>
  <si>
    <t xml:space="preserve">Solução ignífuga atóxica NBR 9442 Classe A (Bombonas de 20L) p/ aplicação no MDF Comum</t>
  </si>
  <si>
    <t xml:space="preserve">Aplicação em 2 faces (frente e verso) do MDF cru (754 m² superfície)</t>
  </si>
  <si>
    <t xml:space="preserve">11 bombonas de 20L x R$ 2.190,00 = R$ 24.090,00</t>
  </si>
  <si>
    <t xml:space="preserve">SEG-02</t>
  </si>
  <si>
    <t xml:space="preserve">Extintores Pó ABC 4kg</t>
  </si>
  <si>
    <t xml:space="preserve">Extintor PQS ABC 4 kg (2A:20BC) c/ suporte de solo tripé</t>
  </si>
  <si>
    <t xml:space="preserve">Pontos indicados no projeto do Corpo de Bombeiros</t>
  </si>
  <si>
    <t xml:space="preserve">Kit extintor + suporte tripé R$ 196,73</t>
  </si>
  <si>
    <t xml:space="preserve">SEG-03</t>
  </si>
  <si>
    <t xml:space="preserve">Blocos Iluminação Emergência</t>
  </si>
  <si>
    <t xml:space="preserve">Bloco autônomo 4W 60 LEDs (300 lm) baterias de lítio</t>
  </si>
  <si>
    <t xml:space="preserve">Aclaramento e balizamento de rotas de fuga</t>
  </si>
  <si>
    <t xml:space="preserve">Blocos autônomos 4W R$ 45,00/un</t>
  </si>
  <si>
    <t xml:space="preserve">SEG-04</t>
  </si>
  <si>
    <t xml:space="preserve">Sinalização Fotoluminescente</t>
  </si>
  <si>
    <t xml:space="preserve">Placas rígidas fotoluminescentes normas ABNT</t>
  </si>
  <si>
    <t xml:space="preserve">Indicação de saídas de emergência e extintores</t>
  </si>
  <si>
    <t xml:space="preserve">Conjunto de placas rígidas ABNT</t>
  </si>
  <si>
    <t xml:space="preserve">SEG-05</t>
  </si>
  <si>
    <t xml:space="preserve">Lona Impermeável</t>
  </si>
  <si>
    <t xml:space="preserve">Lona de proteção impermeável para piso</t>
  </si>
  <si>
    <t xml:space="preserve">Proteção de superfícies na aplicação de ignífugo</t>
  </si>
  <si>
    <t xml:space="preserve">Lona reforçada de proteção</t>
  </si>
  <si>
    <t xml:space="preserve">FER-01</t>
  </si>
  <si>
    <t xml:space="preserve">Ferragens e Ancoragens</t>
  </si>
  <si>
    <t xml:space="preserve">Cabos de Aço e Acessórios</t>
  </si>
  <si>
    <t xml:space="preserve">Cabo de aço ø 1/8" (3,2mm), sapatilhas, grampos U, esticadores</t>
  </si>
  <si>
    <t xml:space="preserve">Travamento dos painéis altos PR01 / PR02 (3 cabos/painel)</t>
  </si>
  <si>
    <t xml:space="preserve">Kits completos de travamento R$ 234,00/cj</t>
  </si>
  <si>
    <t xml:space="preserve">FER-02</t>
  </si>
  <si>
    <t xml:space="preserve">Rodízios Schioppa c/ Trava</t>
  </si>
  <si>
    <t xml:space="preserve">Rodízios com trava mecânica incorporada</t>
  </si>
  <si>
    <t xml:space="preserve">Base móvel do Carrinho Educativo M23</t>
  </si>
  <si>
    <t xml:space="preserve">Schioppa PU c/ trava (Ref. GL312 PE G, 3", 170kg)</t>
  </si>
  <si>
    <t xml:space="preserve">FER-03</t>
  </si>
  <si>
    <t xml:space="preserve">Manta de Borracha / Feltros</t>
  </si>
  <si>
    <t xml:space="preserve">Manta antiderrapante e feltros técnicos de proteção</t>
  </si>
  <si>
    <t xml:space="preserve">Sob a Vitrine M22 e no travamento do barco</t>
  </si>
  <si>
    <t xml:space="preserve">Conjunto de mantas e feltros</t>
  </si>
  <si>
    <t xml:space="preserve">FER-04</t>
  </si>
  <si>
    <t xml:space="preserve">Lastros de Estabilização</t>
  </si>
  <si>
    <t xml:space="preserve">Anilhas/blocos de aço/ferro confinados (kg)</t>
  </si>
  <si>
    <t xml:space="preserve">kg</t>
  </si>
  <si>
    <t xml:space="preserve">Vitrine M01/M22 (150 kg) e Obra Davi (250 kg)</t>
  </si>
  <si>
    <t xml:space="preserve">400kg de anilhas/blocos x R$ 12,00/kg</t>
  </si>
  <si>
    <t xml:space="preserve">MES-01</t>
  </si>
  <si>
    <t xml:space="preserve">Elementos Reformados</t>
  </si>
  <si>
    <t xml:space="preserve">Estrutura de Mesas</t>
  </si>
  <si>
    <t xml:space="preserve">Estrutura metálica existente (180 x 70 cm) c/ pintura eletrostática</t>
  </si>
  <si>
    <t xml:space="preserve">Espaço Educativo</t>
  </si>
  <si>
    <t xml:space="preserve">Repintura eletrostática Terra Roxa</t>
  </si>
  <si>
    <t xml:space="preserve">SUP-01</t>
  </si>
  <si>
    <t xml:space="preserve">Suporte Metálico</t>
  </si>
  <si>
    <t xml:space="preserve">Suporte metálico existente (100 x 85 x 50 cm) c/ pintura eletrostática</t>
  </si>
  <si>
    <t xml:space="preserve">MOB-01</t>
  </si>
  <si>
    <t xml:space="preserve">Banquinhos</t>
  </si>
  <si>
    <t xml:space="preserve">Repintura acrílica na cor Terra Roxa (50 x 45 x 45 cm)</t>
  </si>
  <si>
    <t xml:space="preserve">Repintura acrílica Terra Roxa</t>
  </si>
  <si>
    <t xml:space="preserve">MOB-02</t>
  </si>
  <si>
    <t xml:space="preserve">Porta-Folders</t>
  </si>
  <si>
    <t xml:space="preserve">Repintura acrílica na cor Terra Roxa (75 x 25 x 50 cm)</t>
  </si>
  <si>
    <t xml:space="preserve">MOB-03</t>
  </si>
  <si>
    <t xml:space="preserve">Mesa Tátil</t>
  </si>
  <si>
    <t xml:space="preserve">Repintura acrílica na cor Terra Roxa c/ vinil de recorte</t>
  </si>
  <si>
    <t xml:space="preserve">Repintura e vinil de recorte</t>
  </si>
  <si>
    <t xml:space="preserve">TOTAL GERAL</t>
  </si>
  <si>
    <t xml:space="preserve">TOTAL:</t>
  </si>
  <si>
    <t xml:space="preserve">RESUMO DE CUSTOS POR DISCIPLINA — SESC PAULISTA (v12.0)</t>
  </si>
  <si>
    <t xml:space="preserve">Qtd. Itens Mapeados</t>
  </si>
  <si>
    <t xml:space="preserve">Valor Total Cotado (R$)</t>
  </si>
  <si>
    <t xml:space="preserve">% do Total Geral</t>
  </si>
  <si>
    <t xml:space="preserve">01</t>
  </si>
  <si>
    <t xml:space="preserve">02</t>
  </si>
  <si>
    <t xml:space="preserve">03</t>
  </si>
  <si>
    <t xml:space="preserve">04</t>
  </si>
  <si>
    <t xml:space="preserve">05</t>
  </si>
  <si>
    <t xml:space="preserve">06</t>
  </si>
  <si>
    <t xml:space="preserve">07</t>
  </si>
  <si>
    <t xml:space="preserve">08</t>
  </si>
  <si>
    <t xml:space="preserve">09</t>
  </si>
  <si>
    <t xml:space="preserve">TOTAL</t>
  </si>
  <si>
    <t xml:space="preserve">TODAS AS DISCIPLINAS</t>
  </si>
  <si>
    <t xml:space="preserve">COTAÇÃO E REGISTRO DE MÃO DE OBRA, SERVIÇOS E LOGÍSTICA — SESC PAULISTA (COSMOCHÃO v12.0)</t>
  </si>
  <si>
    <t xml:space="preserve">Categoria / Função</t>
  </si>
  <si>
    <t xml:space="preserve">Especificação / Escopo</t>
  </si>
  <si>
    <t xml:space="preserve">Quantidade Est.</t>
  </si>
  <si>
    <t xml:space="preserve">Valor Unitário (R$)</t>
  </si>
  <si>
    <t xml:space="preserve">MO-01</t>
  </si>
  <si>
    <t xml:space="preserve">Pintura por empreita — mão de obra</t>
  </si>
  <si>
    <t xml:space="preserve">Pintura acrílica de painéis novos (P01–P07, PR01, PR02), existentes e móveis (Preço Fechado / Empreita c/ supervisor embutido)</t>
  </si>
  <si>
    <t xml:space="preserve">MO-02A</t>
  </si>
  <si>
    <t xml:space="preserve">Marceneiro / Cenotécnico (Galpão)</t>
  </si>
  <si>
    <t xml:space="preserve">Equipe de 4 marceneiros alocada por 5 dias de pré-fabricação no galpão (4 p x 5 dias)</t>
  </si>
  <si>
    <t xml:space="preserve">pessoa-dia</t>
  </si>
  <si>
    <t xml:space="preserve">MO-02B</t>
  </si>
  <si>
    <t xml:space="preserve">Marceneiro / Cenotécnico (SESC)</t>
  </si>
  <si>
    <t xml:space="preserve">Equipe de 8 marceneiros alocada nos 20 dias de montagem no SESC (8 p x 20 dias)</t>
  </si>
  <si>
    <t xml:space="preserve">MO-03</t>
  </si>
  <si>
    <t xml:space="preserve">Ajudante, carga e descarga</t>
  </si>
  <si>
    <t xml:space="preserve">4 ajudantes nos 2 primeiros dias de montagem no SESC (8 p-d) e no dia da desmontagem (4 p-d)</t>
  </si>
  <si>
    <t xml:space="preserve">MO-04</t>
  </si>
  <si>
    <t xml:space="preserve">Equipe de Limpeza</t>
  </si>
  <si>
    <t xml:space="preserve">3 pessoas alocadas nos últimos 3 dias de montagem no SESC para limpeza fina pré-abertura</t>
  </si>
  <si>
    <t xml:space="preserve">MO-05</t>
  </si>
  <si>
    <t xml:space="preserve">Serralheiro — EMPREITA</t>
  </si>
  <si>
    <t xml:space="preserve">Montagem e ajustes de estruturas metálicas S01, S02, S03 e barracudas (Preço Fechado / Empreita)</t>
  </si>
  <si>
    <t xml:space="preserve">MO-06</t>
  </si>
  <si>
    <t xml:space="preserve">Supervisor de Montagem</t>
  </si>
  <si>
    <t xml:space="preserve">1 supervisor dedicado durante toda a montagem no SESC (20 dias); supervisão de pintura e elétrica embutida nas empreitas</t>
  </si>
  <si>
    <t xml:space="preserve">dia</t>
  </si>
  <si>
    <t xml:space="preserve">MO-07</t>
  </si>
  <si>
    <t xml:space="preserve">Tapeceiro</t>
  </si>
  <si>
    <t xml:space="preserve">Serviços de tapeçaria, estofamento e revestimentos têxteis</t>
  </si>
  <si>
    <t xml:space="preserve">MO-08</t>
  </si>
  <si>
    <t xml:space="preserve">Adesivador</t>
  </si>
  <si>
    <t xml:space="preserve">2 pessoas alocadas por 3 dias para aplicação de insulfilm e vinil de recorte</t>
  </si>
  <si>
    <t xml:space="preserve">MO-09</t>
  </si>
  <si>
    <t xml:space="preserve">Eletricista — EMPREITA</t>
  </si>
  <si>
    <t xml:space="preserve">Instalação do QDLF-Temporário, fiação, iluminação LED M01/M22 (Preço Fechado / Empreita c/ supervisor embutido)</t>
  </si>
  <si>
    <t xml:space="preserve">MO-10</t>
  </si>
  <si>
    <t xml:space="preserve">Equipe de Manutenção Expositiva</t>
  </si>
  <si>
    <t xml:space="preserve">Visitas quinzenais durante os 8 meses de exposição com equipe dedicada de 2 pessoas (18 visitas x 2 p)</t>
  </si>
  <si>
    <t xml:space="preserve">LOG-01A</t>
  </si>
  <si>
    <t xml:space="preserve">Alimentação (Campo SESC)</t>
  </si>
  <si>
    <t xml:space="preserve">Vale-alimentação para equipe operacional durante atuação em campo no SESC (212 pessoa-dias de campo)</t>
  </si>
  <si>
    <t xml:space="preserve">LOG-01B</t>
  </si>
  <si>
    <t xml:space="preserve">Alimentação (Galpão de Marcenaria)</t>
  </si>
  <si>
    <t xml:space="preserve">Vale-alimentação para equipe de 4 marceneiros durante 5 dias de pré-fabricação no galpão (20 pessoa-dias)</t>
  </si>
  <si>
    <t xml:space="preserve">LOG-02</t>
  </si>
  <si>
    <t xml:space="preserve">Deslocamento (Campo SESC)</t>
  </si>
  <si>
    <t xml:space="preserve">Vale-transporte / deslocamento diário da equipe durante atuação no SESC (212 pessoa-dias de campo)</t>
  </si>
  <si>
    <t xml:space="preserve">LOG-03</t>
  </si>
  <si>
    <t xml:space="preserve">Combustível do carro de produção</t>
  </si>
  <si>
    <t xml:space="preserve">Combustível para veículo de apoio da produção/coordenação (20 dias)</t>
  </si>
  <si>
    <t xml:space="preserve">LOG-04</t>
  </si>
  <si>
    <t xml:space="preserve">Frete</t>
  </si>
  <si>
    <t xml:space="preserve">Frete de entrega e devolução/retirada de materiais (2 viagens)</t>
  </si>
  <si>
    <t xml:space="preserve">viagem</t>
  </si>
  <si>
    <t xml:space="preserve">ENG-01</t>
  </si>
  <si>
    <t xml:space="preserve">ART — referência interna</t>
  </si>
  <si>
    <t xml:space="preserve">Anotação de Responsabilidade Técnica de engenharia civil/mecânica</t>
  </si>
  <si>
    <t xml:space="preserve">registro</t>
  </si>
  <si>
    <t xml:space="preserve">TOTAL DE MÃO DE OBRA, SERVIÇOS E LOGÍSTICA</t>
  </si>
  <si>
    <t xml:space="preserve">PAINEL EXECUTIVO — SESC PAULISTA | COSMOCHÃO</t>
  </si>
  <si>
    <t xml:space="preserve">Valor</t>
  </si>
  <si>
    <t xml:space="preserve">Componente</t>
  </si>
  <si>
    <t xml:space="preserve">Base v12.0  |  Fabricação em galpão: 5 dias úteis  |  Montagem SESC: 28/10 a 16/11  |  Reserva técnica: 17/11  |  Abertura: 18/11/2026</t>
  </si>
  <si>
    <t xml:space="preserve">Materiais e Insumos</t>
  </si>
  <si>
    <t xml:space="preserve">M.O. + Serviços + Logística</t>
  </si>
  <si>
    <t xml:space="preserve">CUSTO TOTAL GERAL</t>
  </si>
  <si>
    <t xml:space="preserve">MATERIAIS E INSUMOS</t>
  </si>
  <si>
    <t xml:space="preserve">M.O. + SERVIÇOS + LOGÍSTICA</t>
  </si>
  <si>
    <t xml:space="preserve">ITENS PENDENTES DE DEFINIÇÃO</t>
  </si>
  <si>
    <t xml:space="preserve">GALPÃO — EQUIPE</t>
  </si>
  <si>
    <t xml:space="preserve">GALPÃO — DURAÇÃO</t>
  </si>
  <si>
    <t xml:space="preserve">SESC — EQUIPE PRINCIPAL</t>
  </si>
  <si>
    <t xml:space="preserve">MARGEM DE SEGURANÇA</t>
  </si>
  <si>
    <t xml:space="preserve">CUSTOS POR DISCIPLINA</t>
  </si>
  <si>
    <t xml:space="preserve">COMPOSIÇÃO DO CUSTO</t>
  </si>
  <si>
    <t xml:space="preserve">CRONOGRAMA EXECUTIVO — VISÃO GERAL</t>
  </si>
  <si>
    <t xml:space="preserve">Fase</t>
  </si>
  <si>
    <t xml:space="preserve">Período</t>
  </si>
  <si>
    <t xml:space="preserve">Equipe</t>
  </si>
  <si>
    <t xml:space="preserve">Objetivo</t>
  </si>
  <si>
    <t xml:space="preserve">Pré-fabricação no galpão</t>
  </si>
  <si>
    <t xml:space="preserve">21–27/10</t>
  </si>
  <si>
    <t xml:space="preserve">4 marceneiros</t>
  </si>
  <si>
    <t xml:space="preserve">5 dias úteis de fabricação; preparação e ignifugação antes da entrada no SESC.</t>
  </si>
  <si>
    <t xml:space="preserve">Entrada + implantação pesada</t>
  </si>
  <si>
    <t xml:space="preserve">28–30/10</t>
  </si>
  <si>
    <t xml:space="preserve">8 marc. + 4 ajud. (28–29)</t>
  </si>
  <si>
    <t xml:space="preserve">Descarga, distribuição, locação e início das estruturas/painéis.</t>
  </si>
  <si>
    <t xml:space="preserve">Montagem pesada</t>
  </si>
  <si>
    <t xml:space="preserve">31/10–05/11</t>
  </si>
  <si>
    <t xml:space="preserve">8 marc. + serralheria</t>
  </si>
  <si>
    <t xml:space="preserve">Painéis, estruturas principais, P05, PR01/PR02 e fechamentos.</t>
  </si>
  <si>
    <t xml:space="preserve">Montagem técnica / especiais</t>
  </si>
  <si>
    <t xml:space="preserve">06–10/11</t>
  </si>
  <si>
    <t xml:space="preserve">8 marc. + elétrica/serralheria</t>
  </si>
  <si>
    <t xml:space="preserve">M22, M27, bases especiais, ancoragens e fechamentos técnicos.</t>
  </si>
  <si>
    <t xml:space="preserve">Mobiliário + elétrica + CV</t>
  </si>
  <si>
    <t xml:space="preserve">11–13/11</t>
  </si>
  <si>
    <t xml:space="preserve">8 marc. + eletricista + 2 adesiv.</t>
  </si>
  <si>
    <t xml:space="preserve">Mobiliário, acessibilidade, LED, eletrofita, insulfilm e vinil.</t>
  </si>
  <si>
    <t xml:space="preserve">Acabamentos e correções</t>
  </si>
  <si>
    <t xml:space="preserve">14–16/11</t>
  </si>
  <si>
    <t xml:space="preserve">8 marc. + pintura + limpeza</t>
  </si>
  <si>
    <t xml:space="preserve">Retoques, testes, alinhamentos e limpeza progressiva.</t>
  </si>
  <si>
    <t xml:space="preserve">Reserva / entrega técnica</t>
  </si>
  <si>
    <t xml:space="preserve">17/11</t>
  </si>
  <si>
    <t xml:space="preserve">Equipe mínima + limpeza</t>
  </si>
  <si>
    <t xml:space="preserve">Punch list, correções finais e liberação.</t>
  </si>
  <si>
    <t xml:space="preserve">Abertura da exposição</t>
  </si>
  <si>
    <t xml:space="preserve">18/11</t>
  </si>
  <si>
    <t xml:space="preserve">—</t>
  </si>
  <si>
    <t xml:space="preserve">Abertura ao público.</t>
  </si>
  <si>
    <t xml:space="preserve">MATERIAIS DE MAIOR IMPACTO — BASE ATUAL</t>
  </si>
  <si>
    <t xml:space="preserve">STATUS DA COTAÇÃO / PENDÊNCIAS</t>
  </si>
  <si>
    <t xml:space="preserve">Material</t>
  </si>
  <si>
    <t xml:space="preserve">Custo Total</t>
  </si>
  <si>
    <t xml:space="preserve">Itens pendentes atuais: MDF 10mm, MDF 6/15mm, tubo S03, perfil LED, QDLF temporário e tapeceiro. Revisar antes do fechamento final.</t>
  </si>
  <si>
    <t xml:space="preserve">Detalhamento: custos item a item na aba “Cotação de Materiais”; mão de obra, serviços e logística na aba “Mão de Obra e Serviços”; cronograma diário na aba “Cronograma Operacional”.</t>
  </si>
  <si>
    <t xml:space="preserve">CRONOGRAMA OPERACIONAL — COSMOCHÃO | FABRICAÇÃO + MONTAGEM SESC</t>
  </si>
  <si>
    <t xml:space="preserve">Planejamento-base: 4 marceneiros no galpão por 5 dias úteis; 8 marceneiros na montagem principal do SESC; 17/11 reservado para entrega técnica.</t>
  </si>
  <si>
    <t xml:space="preserve">Código</t>
  </si>
  <si>
    <t xml:space="preserve">Início</t>
  </si>
  <si>
    <t xml:space="preserve">Fim</t>
  </si>
  <si>
    <t xml:space="preserve">Duração</t>
  </si>
  <si>
    <t xml:space="preserve">Equipe principal</t>
  </si>
  <si>
    <t xml:space="preserve">Objetivo / observação</t>
  </si>
  <si>
    <t xml:space="preserve">QUA</t>
  </si>
  <si>
    <t xml:space="preserve">QUI</t>
  </si>
  <si>
    <t xml:space="preserve">SEX</t>
  </si>
  <si>
    <t xml:space="preserve">SÁB</t>
  </si>
  <si>
    <t xml:space="preserve">DOM</t>
  </si>
  <si>
    <t xml:space="preserve">SEG</t>
  </si>
  <si>
    <t xml:space="preserve">TER</t>
  </si>
  <si>
    <t xml:space="preserve">GAL-01</t>
  </si>
  <si>
    <t xml:space="preserve">Pré-fabricação em Galpão</t>
  </si>
  <si>
    <t xml:space="preserve">5 dias úteis</t>
  </si>
  <si>
    <t xml:space="preserve">Pré-fabricação, preparação dos módulos e ignifugação antes da entrada no SESC.</t>
  </si>
  <si>
    <t xml:space="preserve">■</t>
  </si>
  <si>
    <t xml:space="preserve">SESC-01</t>
  </si>
  <si>
    <t xml:space="preserve">Entrada + Implantação Pesada</t>
  </si>
  <si>
    <t xml:space="preserve">3 dias</t>
  </si>
  <si>
    <t xml:space="preserve">8 marc. + 4 ajud. (28–29) + supervisor</t>
  </si>
  <si>
    <t xml:space="preserve">SESC-02</t>
  </si>
  <si>
    <t xml:space="preserve">Montagem Pesada</t>
  </si>
  <si>
    <t xml:space="preserve">6 dias</t>
  </si>
  <si>
    <t xml:space="preserve">8 marc. + serralheria + supervisor</t>
  </si>
  <si>
    <t xml:space="preserve">SESC-03</t>
  </si>
  <si>
    <t xml:space="preserve">Montagem Técnica / Especiais</t>
  </si>
  <si>
    <t xml:space="preserve">5 dias</t>
  </si>
  <si>
    <t xml:space="preserve">8 marc. + elétrica/serralheria + supervisor</t>
  </si>
  <si>
    <t xml:space="preserve">SESC-04</t>
  </si>
  <si>
    <t xml:space="preserve">Mobiliário + Elétrica + Comunicação</t>
  </si>
  <si>
    <t xml:space="preserve">8 marc. + eletricista + 2 adesivadores + supervisor</t>
  </si>
  <si>
    <t xml:space="preserve">SESC-05</t>
  </si>
  <si>
    <t xml:space="preserve">Acabamentos + Correções</t>
  </si>
  <si>
    <t xml:space="preserve">8 marc. + pintura + limpeza + supervisor</t>
  </si>
  <si>
    <t xml:space="preserve">Retoques, alinhamentos, testes e limpeza progressiva.</t>
  </si>
  <si>
    <t xml:space="preserve">SESC-06</t>
  </si>
  <si>
    <t xml:space="preserve">Reserva / Entrega Técnica</t>
  </si>
  <si>
    <t xml:space="preserve">1 dia</t>
  </si>
  <si>
    <t xml:space="preserve">Equipe mínima + 3 limpeza</t>
  </si>
  <si>
    <t xml:space="preserve">Punch list, correções finais, limpeza fina e liberação.</t>
  </si>
  <si>
    <t xml:space="preserve">MARCO</t>
  </si>
  <si>
    <t xml:space="preserve">Abertura ao Público</t>
  </si>
  <si>
    <t xml:space="preserve">Marco</t>
  </si>
  <si>
    <t xml:space="preserve">Abertura oficial da exposição.</t>
  </si>
  <si>
    <t xml:space="preserve">MAPA DE EQUIPES E CUSTOS DIRETAMENTE RELACIONADOS À MONTAGEM</t>
  </si>
  <si>
    <t xml:space="preserve">Equipe / Função</t>
  </si>
  <si>
    <t xml:space="preserve">Valor Unitário</t>
  </si>
  <si>
    <t xml:space="preserve">Observação</t>
  </si>
  <si>
    <t xml:space="preserve">Marceneiros — Galpão</t>
  </si>
  <si>
    <t xml:space="preserve">5 dias × 4 pessoas</t>
  </si>
  <si>
    <t xml:space="preserve">Marceneiros — SESC</t>
  </si>
  <si>
    <t xml:space="preserve">20 dias × 8 pessoas</t>
  </si>
  <si>
    <t xml:space="preserve">Ajudantes / carga e descarga</t>
  </si>
  <si>
    <t xml:space="preserve">8 p-d na montagem + 4 p-d na desmontagem</t>
  </si>
  <si>
    <t xml:space="preserve">Limpeza fina</t>
  </si>
  <si>
    <t xml:space="preserve">3 pessoas × 3 dias</t>
  </si>
  <si>
    <t xml:space="preserve">Serralheria — empreita</t>
  </si>
  <si>
    <t xml:space="preserve">Preço fechado</t>
  </si>
  <si>
    <t xml:space="preserve">Supervisor de montagem</t>
  </si>
  <si>
    <t xml:space="preserve">20 dias</t>
  </si>
  <si>
    <t xml:space="preserve">Quantidade ainda pendente</t>
  </si>
  <si>
    <t xml:space="preserve">Adesivadores</t>
  </si>
  <si>
    <t xml:space="preserve">2 pessoas × 3 dias</t>
  </si>
  <si>
    <t xml:space="preserve">Eletricista — empreita</t>
  </si>
  <si>
    <t xml:space="preserve">Premissas do planejamento: o período de 28/10 a 16/11 utiliza os 20 dias corridos previstos para a equipe principal de 8 marceneiros. O dia 17/11 fica preservado como contingência/entrega técnica. A pré-fabricação de 21 a 27/10 considera 5 dias úteis (21, 22, 23, 26 e 27/10). Horários noturnos/restrições operacionais continuam sujeitos ao alinhamento com o SESC.</t>
  </si>
  <si>
    <t xml:space="preserve">Fonte operacional: cronograma do projeto + parâmetros de equipe da planilha v12.0. Custos permanecem vinculados às abas-base para atualização automática.</t>
  </si>
</sst>
</file>

<file path=xl/styles.xml><?xml version="1.0" encoding="utf-8"?>
<styleSheet xmlns="http://schemas.openxmlformats.org/spreadsheetml/2006/main">
  <numFmts count="12">
    <numFmt numFmtId="164" formatCode="General"/>
    <numFmt numFmtId="165" formatCode="&quot;R$ &quot;#,##0.00"/>
    <numFmt numFmtId="166" formatCode="General"/>
    <numFmt numFmtId="167" formatCode="#,##0.00"/>
    <numFmt numFmtId="168" formatCode="0.00%"/>
    <numFmt numFmtId="169" formatCode="@"/>
    <numFmt numFmtId="170" formatCode="0"/>
    <numFmt numFmtId="171" formatCode="0&quot; marceneiros&quot;"/>
    <numFmt numFmtId="172" formatCode="0&quot; dias úteis&quot;"/>
    <numFmt numFmtId="173" formatCode="0&quot; dia&quot;"/>
    <numFmt numFmtId="174" formatCode="dd/mm"/>
    <numFmt numFmtId="175" formatCode="m/d/yyyy"/>
  </numFmts>
  <fonts count="25">
    <font>
      <sz val="11"/>
      <color theme="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97D"/>
      <name val="Calibri"/>
      <family val="0"/>
      <charset val="1"/>
    </font>
    <font>
      <b val="true"/>
      <sz val="11"/>
      <color rgb="FF1F497D"/>
      <name val="Calibri"/>
      <family val="0"/>
      <charset val="1"/>
    </font>
    <font>
      <b val="true"/>
      <sz val="11"/>
      <name val="Calibri"/>
      <family val="0"/>
      <charset val="1"/>
    </font>
    <font>
      <sz val="11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b val="true"/>
      <sz val="18"/>
      <color rgb="FFFFFFFF"/>
      <name val="Calibri"/>
      <family val="0"/>
      <charset val="1"/>
    </font>
    <font>
      <b val="true"/>
      <sz val="10"/>
      <color rgb="FF17365D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b val="true"/>
      <sz val="16"/>
      <color rgb="FF1F2937"/>
      <name val="Calibri"/>
      <family val="0"/>
      <charset val="1"/>
    </font>
    <font>
      <sz val="9"/>
      <color rgb="FF1F2937"/>
      <name val="Calibri"/>
      <family val="0"/>
      <charset val="1"/>
    </font>
    <font>
      <b val="true"/>
      <sz val="11"/>
      <color rgb="FF1F2937"/>
      <name val="Calibri"/>
      <family val="0"/>
      <charset val="1"/>
    </font>
    <font>
      <sz val="11"/>
      <color rgb="FF1F2937"/>
      <name val="Calibri"/>
      <family val="0"/>
      <charset val="1"/>
    </font>
    <font>
      <b val="true"/>
      <sz val="9"/>
      <color rgb="FF1F2937"/>
      <name val="Calibri"/>
      <family val="0"/>
      <charset val="1"/>
    </font>
    <font>
      <sz val="9"/>
      <color rgb="FF6B7280"/>
      <name val="Calibri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6"/>
      <color rgb="FFFFFFFF"/>
      <name val="Calibri"/>
      <family val="0"/>
      <charset val="1"/>
    </font>
    <font>
      <b val="true"/>
      <sz val="8"/>
      <color rgb="FFFFFFFF"/>
      <name val="Calibri"/>
      <family val="0"/>
      <charset val="1"/>
    </font>
    <font>
      <b val="true"/>
      <sz val="8"/>
      <color rgb="FF666666"/>
      <name val="Calibri"/>
      <family val="0"/>
      <charset val="1"/>
    </font>
    <font>
      <b val="true"/>
      <sz val="8"/>
      <color rgb="FF6B7280"/>
      <name val="Calibri"/>
      <family val="0"/>
      <charset val="1"/>
    </font>
    <font>
      <b val="true"/>
      <sz val="9"/>
      <color rgb="FFFFFFFF"/>
      <name val="Calibri"/>
      <family val="0"/>
      <charset val="1"/>
    </font>
  </fonts>
  <fills count="20">
    <fill>
      <patternFill patternType="none"/>
    </fill>
    <fill>
      <patternFill patternType="gray125"/>
    </fill>
    <fill>
      <patternFill patternType="solid">
        <fgColor rgb="FF1F497D"/>
        <bgColor rgb="FF1F4E78"/>
      </patternFill>
    </fill>
    <fill>
      <patternFill patternType="solid">
        <fgColor rgb="FFE2EFDA"/>
        <bgColor rgb="FFE2F0D9"/>
      </patternFill>
    </fill>
    <fill>
      <patternFill patternType="solid">
        <fgColor rgb="FFDCE6F1"/>
        <bgColor rgb="FFE2EFDA"/>
      </patternFill>
    </fill>
    <fill>
      <patternFill patternType="solid">
        <fgColor rgb="FF2F5496"/>
        <bgColor rgb="FF1F4E78"/>
      </patternFill>
    </fill>
    <fill>
      <patternFill patternType="solid">
        <fgColor rgb="FF17365D"/>
        <bgColor rgb="FF1F2937"/>
      </patternFill>
    </fill>
    <fill>
      <patternFill patternType="solid">
        <fgColor rgb="FFEEF5FB"/>
        <bgColor rgb="FFF2F2F2"/>
      </patternFill>
    </fill>
    <fill>
      <patternFill patternType="solid">
        <fgColor rgb="FF1F4E78"/>
        <bgColor rgb="FF1F497D"/>
      </patternFill>
    </fill>
    <fill>
      <patternFill patternType="solid">
        <fgColor rgb="FFED7D31"/>
        <bgColor rgb="FFFF8080"/>
      </patternFill>
    </fill>
    <fill>
      <patternFill patternType="solid">
        <fgColor rgb="FFE2F0D9"/>
        <bgColor rgb="FFE2EFDA"/>
      </patternFill>
    </fill>
    <fill>
      <patternFill patternType="solid">
        <fgColor rgb="FFFCE4D6"/>
        <bgColor rgb="FFFFF2CC"/>
      </patternFill>
    </fill>
    <fill>
      <patternFill patternType="solid">
        <fgColor rgb="FFFFF2CC"/>
        <bgColor rgb="FFFCE4D6"/>
      </patternFill>
    </fill>
    <fill>
      <patternFill patternType="solid">
        <fgColor rgb="FF2F75B5"/>
        <bgColor rgb="FF4472C4"/>
      </patternFill>
    </fill>
    <fill>
      <patternFill patternType="solid">
        <fgColor rgb="FF70AD47"/>
        <bgColor rgb="FF878787"/>
      </patternFill>
    </fill>
    <fill>
      <patternFill patternType="solid">
        <fgColor rgb="FFF7F7F7"/>
        <bgColor rgb="FFF2F2F2"/>
      </patternFill>
    </fill>
    <fill>
      <patternFill patternType="solid">
        <fgColor rgb="FFF2F2F2"/>
        <bgColor rgb="FFEEF5FB"/>
      </patternFill>
    </fill>
    <fill>
      <patternFill patternType="solid">
        <fgColor rgb="FFD9D9D9"/>
        <bgColor rgb="FFDCE6F1"/>
      </patternFill>
    </fill>
    <fill>
      <patternFill patternType="solid">
        <fgColor rgb="FF4472C4"/>
        <bgColor rgb="FF2F75B5"/>
      </patternFill>
    </fill>
    <fill>
      <patternFill patternType="solid">
        <fgColor rgb="FFA5A5A5"/>
        <bgColor rgb="FF878787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 diagonalUp="false" diagonalDown="false">
      <left/>
      <right/>
      <top style="thin"/>
      <bottom style="double"/>
      <diagonal/>
    </border>
    <border diagonalUp="false" diagonalDown="false">
      <left/>
      <right/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8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7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7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7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6" fillId="3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6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6" fillId="3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6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7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7" fillId="0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8" fillId="5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5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9" fillId="6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9" fontId="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7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6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8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9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2" fillId="1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2" fillId="7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2" fillId="11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2" fillId="1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1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14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12" fillId="7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12" fillId="7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2" fillId="1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12" fillId="1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6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8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7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3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15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3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13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4" fillId="11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14" fillId="11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1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15" fillId="1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7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15" fillId="7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12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15" fillId="1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16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15" fillId="16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11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7" fillId="16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20" fillId="6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7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8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4" fontId="21" fillId="8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22" fillId="17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16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17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5" fontId="13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24" fillId="1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6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4" fillId="8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4" fillId="18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4" fillId="1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4" fillId="9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4" fillId="19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4" fillId="6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6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13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6" fillId="12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666666"/>
      <rgbColor rgb="FF800080"/>
      <rgbColor rgb="FF1F4E78"/>
      <rgbColor rgb="FFCCCCCC"/>
      <rgbColor rgb="FF878787"/>
      <rgbColor rgb="FF9999FF"/>
      <rgbColor rgb="FF993366"/>
      <rgbColor rgb="FFFFF2CC"/>
      <rgbColor rgb="FFEEF5FB"/>
      <rgbColor rgb="FF660066"/>
      <rgbColor rgb="FFFF8080"/>
      <rgbColor rgb="FF2F75B5"/>
      <rgbColor rgb="FFD9D9D9"/>
      <rgbColor rgb="FF000080"/>
      <rgbColor rgb="FFFF00FF"/>
      <rgbColor rgb="FFFFFF00"/>
      <rgbColor rgb="FF00FFFF"/>
      <rgbColor rgb="FF800080"/>
      <rgbColor rgb="FF800000"/>
      <rgbColor rgb="FF2F5496"/>
      <rgbColor rgb="FF0000FF"/>
      <rgbColor rgb="FF00CCFF"/>
      <rgbColor rgb="FFE2EFDA"/>
      <rgbColor rgb="FFE2F0D9"/>
      <rgbColor rgb="FFF2F2F2"/>
      <rgbColor rgb="FFDCE6F1"/>
      <rgbColor rgb="FFF7F7F7"/>
      <rgbColor rgb="FFCC99FF"/>
      <rgbColor rgb="FFFCE4D6"/>
      <rgbColor rgb="FF4472C4"/>
      <rgbColor rgb="FF33CCCC"/>
      <rgbColor rgb="FF70AD47"/>
      <rgbColor rgb="FFFFCC00"/>
      <rgbColor rgb="FFFF9900"/>
      <rgbColor rgb="FFED7D31"/>
      <rgbColor rgb="FF6B7280"/>
      <rgbColor rgb="FFA5A5A5"/>
      <rgbColor rgb="FF17365D"/>
      <rgbColor rgb="FF4F81BD"/>
      <rgbColor rgb="FF003300"/>
      <rgbColor rgb="FF333300"/>
      <rgbColor rgb="FF993300"/>
      <rgbColor rgb="FF993366"/>
      <rgbColor rgb="FF1F497D"/>
      <rgbColor rgb="FF1F293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lang="pt-BR" sz="18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  <a:r>
              <a:rPr b="1" lang="pt-BR" sz="1800" spc="-1" strike="noStrike">
                <a:solidFill>
                  <a:srgbClr val="000000"/>
                </a:solidFill>
                <a:latin typeface="Calibri"/>
                <a:ea typeface="Calibri"/>
              </a:rPr>
              <a:t>Custo por disciplina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"Valor"</c:f>
              <c:strCache>
                <c:ptCount val="1"/>
                <c:pt idx="0">
                  <c:v>Valor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'Dashboard Executivo'!$R$3:$R$11</c:f>
              <c:strCache>
                <c:ptCount val="9"/>
                <c:pt idx="0">
                  <c:v>Marcenaria e Cenotecnia</c:v>
                </c:pt>
                <c:pt idx="1">
                  <c:v>Serralheria e Estruturas Metálicas</c:v>
                </c:pt>
                <c:pt idx="2">
                  <c:v>Elétrica e Iluminação</c:v>
                </c:pt>
                <c:pt idx="3">
                  <c:v>Pintura e Acabamentos</c:v>
                </c:pt>
                <c:pt idx="4">
                  <c:v>Vidros e Acrílicos</c:v>
                </c:pt>
                <c:pt idx="5">
                  <c:v>Comunicação Visual</c:v>
                </c:pt>
                <c:pt idx="6">
                  <c:v>Segurança Contra Incêndio</c:v>
                </c:pt>
                <c:pt idx="7">
                  <c:v>Ferragens e Ancoragens</c:v>
                </c:pt>
                <c:pt idx="8">
                  <c:v>Elementos Reformados</c:v>
                </c:pt>
              </c:strCache>
            </c:strRef>
          </c:cat>
          <c:val>
            <c:numRef>
              <c:f>'Dashboard Executivo'!$S$3:$S$11</c:f>
              <c:numCache>
                <c:formatCode>"R$ "#,##0.00</c:formatCode>
                <c:ptCount val="9"/>
                <c:pt idx="0">
                  <c:v>21347.26</c:v>
                </c:pt>
                <c:pt idx="1">
                  <c:v>6546.25</c:v>
                </c:pt>
                <c:pt idx="2">
                  <c:v>9176.262</c:v>
                </c:pt>
                <c:pt idx="3">
                  <c:v>6741.02</c:v>
                </c:pt>
                <c:pt idx="4">
                  <c:v>1376.71</c:v>
                </c:pt>
                <c:pt idx="5">
                  <c:v>13681.4592</c:v>
                </c:pt>
                <c:pt idx="6">
                  <c:v>10636.92</c:v>
                </c:pt>
                <c:pt idx="7">
                  <c:v>7048.6</c:v>
                </c:pt>
                <c:pt idx="8">
                  <c:v>1980</c:v>
                </c:pt>
              </c:numCache>
            </c:numRef>
          </c:val>
        </c:ser>
        <c:gapWidth val="150"/>
        <c:overlap val="0"/>
        <c:axId val="50061980"/>
        <c:axId val="79345921"/>
      </c:barChart>
      <c:catAx>
        <c:axId val="50061980"/>
        <c:scaling>
          <c:orientation val="minMax"/>
        </c:scaling>
        <c:delete val="0"/>
        <c:axPos val="b"/>
        <c:majorGridlines>
          <c:spPr>
            <a:ln w="9360">
              <a:solidFill>
                <a:srgbClr val="cccccc"/>
              </a:solidFill>
              <a:prstDash val="dash"/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79345921"/>
        <c:crosses val="autoZero"/>
        <c:auto val="1"/>
        <c:lblAlgn val="ctr"/>
        <c:lblOffset val="100"/>
        <c:noMultiLvlLbl val="0"/>
      </c:catAx>
      <c:valAx>
        <c:axId val="79345921"/>
        <c:scaling>
          <c:orientation val="minMax"/>
        </c:scaling>
        <c:delete val="0"/>
        <c:axPos val="l"/>
        <c:majorGridlines>
          <c:spPr>
            <a:ln w="9360">
              <a:solidFill>
                <a:srgbClr val="cccccc"/>
              </a:solidFill>
              <a:prstDash val="dash"/>
              <a:round/>
            </a:ln>
          </c:spPr>
        </c:majorGridlines>
        <c:numFmt formatCode="&quot;R$ &quot;#,##0.0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50061980"/>
        <c:crosses val="autoZero"/>
        <c:crossBetween val="between"/>
      </c:valAx>
      <c:spPr>
        <a:noFill/>
        <a:ln w="0">
          <a:noFill/>
        </a:ln>
      </c:spPr>
    </c:plotArea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lang="pt-BR" sz="18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  <a:r>
              <a:rPr b="1" lang="pt-BR" sz="1800" spc="-1" strike="noStrike">
                <a:solidFill>
                  <a:srgbClr val="000000"/>
                </a:solidFill>
                <a:latin typeface="Calibri"/>
                <a:ea typeface="Calibri"/>
              </a:rPr>
              <a:t>Materiais x M.O./Serviços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"Valor"</c:f>
              <c:strCache>
                <c:ptCount val="1"/>
                <c:pt idx="0">
                  <c:v>Valor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'Dashboard Executivo'!$U$3:$U$4</c:f>
              <c:strCache>
                <c:ptCount val="2"/>
                <c:pt idx="0">
                  <c:v>Materiais e Insumos</c:v>
                </c:pt>
                <c:pt idx="1">
                  <c:v>M.O. + Serviços + Logística</c:v>
                </c:pt>
              </c:strCache>
            </c:strRef>
          </c:cat>
          <c:val>
            <c:numRef>
              <c:f>'Dashboard Executivo'!$V$3:$V$4</c:f>
              <c:numCache>
                <c:formatCode>"R$ "#,##0.00</c:formatCode>
                <c:ptCount val="2"/>
                <c:pt idx="0">
                  <c:v>78534.4812</c:v>
                </c:pt>
                <c:pt idx="1">
                  <c:v>118562</c:v>
                </c:pt>
              </c:numCache>
            </c:numRef>
          </c:val>
        </c:ser>
        <c:gapWidth val="150"/>
        <c:overlap val="0"/>
        <c:axId val="9063365"/>
        <c:axId val="62497858"/>
      </c:barChart>
      <c:catAx>
        <c:axId val="9063365"/>
        <c:scaling>
          <c:orientation val="minMax"/>
        </c:scaling>
        <c:delete val="0"/>
        <c:axPos val="b"/>
        <c:majorGridlines>
          <c:spPr>
            <a:ln w="9360">
              <a:solidFill>
                <a:srgbClr val="cccccc"/>
              </a:solidFill>
              <a:prstDash val="dash"/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62497858"/>
        <c:crosses val="autoZero"/>
        <c:auto val="1"/>
        <c:lblAlgn val="ctr"/>
        <c:lblOffset val="100"/>
        <c:noMultiLvlLbl val="0"/>
      </c:catAx>
      <c:valAx>
        <c:axId val="62497858"/>
        <c:scaling>
          <c:orientation val="minMax"/>
        </c:scaling>
        <c:delete val="0"/>
        <c:axPos val="l"/>
        <c:majorGridlines>
          <c:spPr>
            <a:ln w="9360">
              <a:solidFill>
                <a:srgbClr val="cccccc"/>
              </a:solidFill>
              <a:prstDash val="dash"/>
              <a:round/>
            </a:ln>
          </c:spPr>
        </c:majorGridlines>
        <c:numFmt formatCode="&quot;R$ &quot;#,##0.0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9063365"/>
        <c:crosses val="autoZero"/>
        <c:crossBetween val="between"/>
      </c:valAx>
      <c:spPr>
        <a:noFill/>
        <a:ln w="0">
          <a:noFill/>
        </a:ln>
      </c:spPr>
    </c:plotArea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15</xdr:row>
      <xdr:rowOff>0</xdr:rowOff>
    </xdr:from>
    <xdr:to>
      <xdr:col>7</xdr:col>
      <xdr:colOff>845640</xdr:colOff>
      <xdr:row>31</xdr:row>
      <xdr:rowOff>190080</xdr:rowOff>
    </xdr:to>
    <xdr:graphicFrame>
      <xdr:nvGraphicFramePr>
        <xdr:cNvPr id="0" name="Chart 1"/>
        <xdr:cNvGraphicFramePr/>
      </xdr:nvGraphicFramePr>
      <xdr:xfrm>
        <a:off x="0" y="3267000"/>
        <a:ext cx="5497560" cy="3238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9</xdr:col>
      <xdr:colOff>0</xdr:colOff>
      <xdr:row>15</xdr:row>
      <xdr:rowOff>0</xdr:rowOff>
    </xdr:from>
    <xdr:to>
      <xdr:col>15</xdr:col>
      <xdr:colOff>845640</xdr:colOff>
      <xdr:row>31</xdr:row>
      <xdr:rowOff>190080</xdr:rowOff>
    </xdr:to>
    <xdr:graphicFrame>
      <xdr:nvGraphicFramePr>
        <xdr:cNvPr id="1" name="Chart 2"/>
        <xdr:cNvGraphicFramePr/>
      </xdr:nvGraphicFramePr>
      <xdr:xfrm>
        <a:off x="5709240" y="3267000"/>
        <a:ext cx="5286240" cy="3238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 pitchFamily="0" charset="1"/>
        <a:ea typeface="Calibri Light" pitchFamily="0" charset="1"/>
        <a:cs typeface="Calibri Light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>
          <a:prstDash val="solid"/>
        </a:ln>
        <a:ln w="25400">
          <a:prstDash val="solid"/>
        </a:ln>
        <a:ln w="381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4" activeCellId="0" sqref="A4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50"/>
  </cols>
  <sheetData>
    <row r="1" customFormat="false" ht="18.75" hidden="false" customHeight="tru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</row>
    <row r="5" customFormat="false" ht="15" hidden="false" customHeight="false" outlineLevel="0" collapsed="false">
      <c r="A5" s="3" t="s">
        <v>2</v>
      </c>
    </row>
    <row r="6" customFormat="false" ht="15" hidden="false" customHeight="false" outlineLevel="0" collapsed="false">
      <c r="A6" s="4" t="s">
        <v>3</v>
      </c>
    </row>
    <row r="7" customFormat="false" ht="15" hidden="false" customHeight="false" outlineLevel="0" collapsed="false">
      <c r="A7" s="4" t="s">
        <v>4</v>
      </c>
    </row>
    <row r="8" customFormat="false" ht="15" hidden="false" customHeight="false" outlineLevel="0" collapsed="false">
      <c r="A8" s="4" t="s">
        <v>5</v>
      </c>
    </row>
    <row r="9" customFormat="false" ht="15" hidden="false" customHeight="false" outlineLevel="0" collapsed="false">
      <c r="A9" s="4" t="s">
        <v>6</v>
      </c>
    </row>
    <row r="10" customFormat="false" ht="15" hidden="false" customHeight="false" outlineLevel="0" collapsed="false">
      <c r="A10" s="4" t="s">
        <v>7</v>
      </c>
    </row>
    <row r="11" customFormat="false" ht="15" hidden="false" customHeight="false" outlineLevel="0" collapsed="false">
      <c r="A11" s="4" t="s">
        <v>8</v>
      </c>
    </row>
    <row r="13" customFormat="false" ht="15" hidden="false" customHeight="false" outlineLevel="0" collapsed="false">
      <c r="A13" s="2" t="s">
        <v>9</v>
      </c>
    </row>
    <row r="15" customFormat="false" ht="15" hidden="false" customHeight="false" outlineLevel="0" collapsed="false">
      <c r="A15" s="5" t="s">
        <v>10</v>
      </c>
      <c r="B15" s="6" t="s">
        <v>11</v>
      </c>
    </row>
    <row r="16" customFormat="false" ht="15" hidden="false" customHeight="false" outlineLevel="0" collapsed="false">
      <c r="A16" s="7" t="s">
        <v>12</v>
      </c>
      <c r="B16" s="8" t="n">
        <f aca="false">'Resumo por Disciplina'!D13 + 'Mão de Obra e Serviços'!G21</f>
        <v>197096.4812</v>
      </c>
    </row>
    <row r="17" customFormat="false" ht="15" hidden="false" customHeight="false" outlineLevel="0" collapsed="false">
      <c r="A17" s="7" t="s">
        <v>13</v>
      </c>
      <c r="B17" s="9" t="n">
        <f aca="false">COUNTA('Cotação de Materiais'!A4:A44) + COUNTA('Mão de Obra e Serviços'!A4:A20)</f>
        <v>56</v>
      </c>
    </row>
    <row r="18" customFormat="false" ht="15" hidden="false" customHeight="false" outlineLevel="0" collapsed="false">
      <c r="A18" s="7" t="s">
        <v>14</v>
      </c>
      <c r="B18" s="9" t="n">
        <v>10</v>
      </c>
    </row>
    <row r="19" customFormat="false" ht="15" hidden="false" customHeight="false" outlineLevel="0" collapsed="false">
      <c r="A19" s="7" t="s">
        <v>15</v>
      </c>
      <c r="B19" s="9" t="s">
        <v>16</v>
      </c>
    </row>
    <row r="21" customFormat="false" ht="15" hidden="false" customHeight="false" outlineLevel="0" collapsed="false">
      <c r="A21" s="2" t="s">
        <v>17</v>
      </c>
    </row>
    <row r="22" customFormat="false" ht="15" hidden="false" customHeight="false" outlineLevel="0" collapsed="false">
      <c r="A22" s="10" t="s">
        <v>18</v>
      </c>
      <c r="B22" s="10" t="s">
        <v>19</v>
      </c>
    </row>
    <row r="23" customFormat="false" ht="15" hidden="false" customHeight="false" outlineLevel="0" collapsed="false">
      <c r="A23" s="7" t="s">
        <v>20</v>
      </c>
      <c r="B23" s="9" t="s">
        <v>21</v>
      </c>
    </row>
    <row r="24" customFormat="false" ht="15" hidden="false" customHeight="false" outlineLevel="0" collapsed="false">
      <c r="A24" s="7" t="s">
        <v>22</v>
      </c>
      <c r="B24" s="9" t="s">
        <v>23</v>
      </c>
    </row>
    <row r="25" customFormat="false" ht="15" hidden="false" customHeight="false" outlineLevel="0" collapsed="false">
      <c r="A25" s="7" t="s">
        <v>24</v>
      </c>
      <c r="B25" s="9" t="s">
        <v>25</v>
      </c>
    </row>
    <row r="26" customFormat="false" ht="15" hidden="false" customHeight="false" outlineLevel="0" collapsed="false">
      <c r="A26" s="7" t="s">
        <v>26</v>
      </c>
      <c r="B26" s="9" t="s">
        <v>27</v>
      </c>
    </row>
    <row r="27" customFormat="false" ht="15" hidden="false" customHeight="false" outlineLevel="0" collapsed="false">
      <c r="A27" s="7" t="s">
        <v>28</v>
      </c>
      <c r="B27" s="9" t="s">
        <v>29</v>
      </c>
    </row>
    <row r="28" customFormat="false" ht="15" hidden="false" customHeight="false" outlineLevel="0" collapsed="false">
      <c r="A28" s="7" t="s">
        <v>30</v>
      </c>
      <c r="B28" s="9" t="s">
        <v>31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45"/>
  <sheetViews>
    <sheetView showFormulas="false" showGridLines="true" showRowColHeaders="true" showZeros="true" rightToLeft="false" tabSelected="false" showOutlineSymbols="true" defaultGridColor="true" view="normal" topLeftCell="B28" colorId="64" zoomScale="100" zoomScaleNormal="100" zoomScalePageLayoutView="100" workbookViewId="0">
      <selection pane="topLeft" activeCell="G44" activeCellId="0" sqref="G44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37"/>
    <col collapsed="false" customWidth="true" hidden="false" outlineLevel="0" max="3" min="3" style="0" width="33"/>
    <col collapsed="false" customWidth="true" hidden="false" outlineLevel="0" max="4" min="4" style="0" width="50"/>
    <col collapsed="false" customWidth="true" hidden="false" outlineLevel="0" max="5" min="5" style="0" width="13"/>
    <col collapsed="false" customWidth="true" hidden="false" outlineLevel="0" max="6" min="6" style="0" width="12"/>
    <col collapsed="false" customWidth="true" hidden="false" outlineLevel="0" max="7" min="7" style="0" width="23"/>
    <col collapsed="false" customWidth="true" hidden="false" outlineLevel="0" max="8" min="8" style="0" width="37"/>
    <col collapsed="false" customWidth="true" hidden="false" outlineLevel="0" max="9" min="9" style="0" width="12"/>
    <col collapsed="false" customWidth="true" hidden="false" outlineLevel="0" max="11" min="10" style="0" width="50"/>
  </cols>
  <sheetData>
    <row r="1" customFormat="false" ht="18.75" hidden="false" customHeight="true" outlineLevel="0" collapsed="false">
      <c r="A1" s="1" t="s">
        <v>32</v>
      </c>
    </row>
    <row r="3" customFormat="false" ht="15" hidden="false" customHeight="false" outlineLevel="0" collapsed="false">
      <c r="A3" s="11" t="s">
        <v>33</v>
      </c>
      <c r="B3" s="11" t="s">
        <v>34</v>
      </c>
      <c r="C3" s="11" t="s">
        <v>35</v>
      </c>
      <c r="D3" s="11" t="s">
        <v>36</v>
      </c>
      <c r="E3" s="11" t="s">
        <v>37</v>
      </c>
      <c r="F3" s="11" t="s">
        <v>38</v>
      </c>
      <c r="G3" s="11" t="s">
        <v>39</v>
      </c>
      <c r="H3" s="11" t="s">
        <v>40</v>
      </c>
      <c r="I3" s="11" t="s">
        <v>18</v>
      </c>
      <c r="J3" s="11" t="s">
        <v>41</v>
      </c>
      <c r="K3" s="11" t="s">
        <v>42</v>
      </c>
    </row>
    <row r="4" customFormat="false" ht="15" hidden="false" customHeight="false" outlineLevel="0" collapsed="false">
      <c r="A4" s="12" t="s">
        <v>43</v>
      </c>
      <c r="B4" s="9" t="s">
        <v>44</v>
      </c>
      <c r="C4" s="9" t="s">
        <v>45</v>
      </c>
      <c r="D4" s="9" t="s">
        <v>46</v>
      </c>
      <c r="E4" s="13" t="n">
        <v>302</v>
      </c>
      <c r="F4" s="12" t="s">
        <v>47</v>
      </c>
      <c r="G4" s="14" t="n">
        <v>51.68</v>
      </c>
      <c r="H4" s="15" t="n">
        <f aca="false">IFERROR(E4*G4, 0)</f>
        <v>15607.36</v>
      </c>
      <c r="I4" s="12" t="s">
        <v>20</v>
      </c>
      <c r="J4" s="9" t="s">
        <v>48</v>
      </c>
      <c r="K4" s="9" t="s">
        <v>49</v>
      </c>
    </row>
    <row r="5" customFormat="false" ht="15" hidden="false" customHeight="false" outlineLevel="0" collapsed="false">
      <c r="A5" s="12" t="s">
        <v>50</v>
      </c>
      <c r="B5" s="9" t="s">
        <v>44</v>
      </c>
      <c r="C5" s="9" t="s">
        <v>51</v>
      </c>
      <c r="D5" s="9" t="s">
        <v>52</v>
      </c>
      <c r="E5" s="13" t="n">
        <v>45</v>
      </c>
      <c r="F5" s="12" t="s">
        <v>47</v>
      </c>
      <c r="G5" s="14" t="n">
        <v>33.42</v>
      </c>
      <c r="H5" s="15" t="n">
        <f aca="false">IFERROR(E5*G5, 0)</f>
        <v>1503.9</v>
      </c>
      <c r="I5" s="12" t="s">
        <v>24</v>
      </c>
      <c r="J5" s="9" t="s">
        <v>53</v>
      </c>
      <c r="K5" s="9" t="s">
        <v>54</v>
      </c>
    </row>
    <row r="6" customFormat="false" ht="15" hidden="false" customHeight="false" outlineLevel="0" collapsed="false">
      <c r="A6" s="12" t="s">
        <v>55</v>
      </c>
      <c r="B6" s="9" t="s">
        <v>44</v>
      </c>
      <c r="C6" s="9" t="s">
        <v>56</v>
      </c>
      <c r="D6" s="9" t="s">
        <v>57</v>
      </c>
      <c r="E6" s="13" t="n">
        <v>30</v>
      </c>
      <c r="F6" s="12" t="s">
        <v>47</v>
      </c>
      <c r="G6" s="14" t="n">
        <v>33.2</v>
      </c>
      <c r="H6" s="15" t="n">
        <f aca="false">IFERROR(E6*G6, 0)</f>
        <v>996</v>
      </c>
      <c r="I6" s="12" t="s">
        <v>24</v>
      </c>
      <c r="J6" s="9" t="s">
        <v>58</v>
      </c>
      <c r="K6" s="9" t="s">
        <v>59</v>
      </c>
    </row>
    <row r="7" customFormat="false" ht="15" hidden="false" customHeight="false" outlineLevel="0" collapsed="false">
      <c r="A7" s="12" t="s">
        <v>60</v>
      </c>
      <c r="B7" s="9" t="s">
        <v>44</v>
      </c>
      <c r="C7" s="9" t="s">
        <v>61</v>
      </c>
      <c r="D7" s="9" t="s">
        <v>62</v>
      </c>
      <c r="E7" s="13" t="n">
        <v>180</v>
      </c>
      <c r="F7" s="12" t="s">
        <v>63</v>
      </c>
      <c r="G7" s="14" t="n">
        <v>18</v>
      </c>
      <c r="H7" s="15" t="n">
        <f aca="false">IFERROR(E7*G7, 0)</f>
        <v>3240</v>
      </c>
      <c r="I7" s="12" t="s">
        <v>22</v>
      </c>
      <c r="J7" s="9" t="s">
        <v>64</v>
      </c>
      <c r="K7" s="9" t="s">
        <v>65</v>
      </c>
    </row>
    <row r="8" customFormat="false" ht="15" hidden="false" customHeight="false" outlineLevel="0" collapsed="false">
      <c r="A8" s="12" t="s">
        <v>66</v>
      </c>
      <c r="B8" s="9" t="s">
        <v>67</v>
      </c>
      <c r="C8" s="9" t="s">
        <v>68</v>
      </c>
      <c r="D8" s="9" t="s">
        <v>69</v>
      </c>
      <c r="E8" s="13" t="n">
        <v>47</v>
      </c>
      <c r="F8" s="12" t="s">
        <v>63</v>
      </c>
      <c r="G8" s="14" t="n">
        <v>70</v>
      </c>
      <c r="H8" s="15" t="n">
        <f aca="false">IFERROR(E8*G8, 0)</f>
        <v>3290</v>
      </c>
      <c r="I8" s="12" t="s">
        <v>24</v>
      </c>
      <c r="J8" s="9" t="s">
        <v>70</v>
      </c>
      <c r="K8" s="9" t="s">
        <v>71</v>
      </c>
    </row>
    <row r="9" customFormat="false" ht="15" hidden="false" customHeight="false" outlineLevel="0" collapsed="false">
      <c r="A9" s="12" t="s">
        <v>72</v>
      </c>
      <c r="B9" s="9" t="s">
        <v>67</v>
      </c>
      <c r="C9" s="9" t="s">
        <v>73</v>
      </c>
      <c r="D9" s="9" t="s">
        <v>74</v>
      </c>
      <c r="E9" s="13" t="n">
        <v>25</v>
      </c>
      <c r="F9" s="12" t="s">
        <v>63</v>
      </c>
      <c r="G9" s="14" t="n">
        <v>45.85</v>
      </c>
      <c r="H9" s="15" t="n">
        <f aca="false">IFERROR(E9*G9, 0)</f>
        <v>1146.25</v>
      </c>
      <c r="I9" s="12" t="s">
        <v>22</v>
      </c>
      <c r="J9" s="9" t="s">
        <v>75</v>
      </c>
      <c r="K9" s="9" t="s">
        <v>76</v>
      </c>
    </row>
    <row r="10" customFormat="false" ht="15" hidden="false" customHeight="false" outlineLevel="0" collapsed="false">
      <c r="A10" s="12" t="s">
        <v>77</v>
      </c>
      <c r="B10" s="9" t="s">
        <v>67</v>
      </c>
      <c r="C10" s="9" t="s">
        <v>78</v>
      </c>
      <c r="D10" s="9" t="s">
        <v>79</v>
      </c>
      <c r="E10" s="13" t="n">
        <v>2</v>
      </c>
      <c r="F10" s="12" t="s">
        <v>80</v>
      </c>
      <c r="G10" s="14" t="n">
        <v>450</v>
      </c>
      <c r="H10" s="15" t="n">
        <f aca="false">IFERROR(E10*G10, 0)</f>
        <v>900</v>
      </c>
      <c r="I10" s="12" t="s">
        <v>20</v>
      </c>
      <c r="J10" s="9" t="s">
        <v>81</v>
      </c>
      <c r="K10" s="9" t="s">
        <v>82</v>
      </c>
    </row>
    <row r="11" customFormat="false" ht="15" hidden="false" customHeight="false" outlineLevel="0" collapsed="false">
      <c r="A11" s="12" t="s">
        <v>83</v>
      </c>
      <c r="B11" s="9" t="s">
        <v>67</v>
      </c>
      <c r="C11" s="9" t="s">
        <v>84</v>
      </c>
      <c r="D11" s="9" t="s">
        <v>85</v>
      </c>
      <c r="E11" s="13" t="n">
        <v>2</v>
      </c>
      <c r="F11" s="12" t="s">
        <v>80</v>
      </c>
      <c r="G11" s="14" t="n">
        <v>280</v>
      </c>
      <c r="H11" s="15" t="n">
        <f aca="false">IFERROR(E11*G11, 0)</f>
        <v>560</v>
      </c>
      <c r="I11" s="12" t="s">
        <v>20</v>
      </c>
      <c r="J11" s="9" t="s">
        <v>86</v>
      </c>
      <c r="K11" s="9" t="s">
        <v>87</v>
      </c>
    </row>
    <row r="12" customFormat="false" ht="15" hidden="false" customHeight="false" outlineLevel="0" collapsed="false">
      <c r="A12" s="12" t="s">
        <v>88</v>
      </c>
      <c r="B12" s="9" t="s">
        <v>67</v>
      </c>
      <c r="C12" s="9" t="s">
        <v>89</v>
      </c>
      <c r="D12" s="9" t="s">
        <v>90</v>
      </c>
      <c r="E12" s="13" t="n">
        <v>8</v>
      </c>
      <c r="F12" s="12" t="s">
        <v>80</v>
      </c>
      <c r="G12" s="14" t="n">
        <v>65</v>
      </c>
      <c r="H12" s="15" t="n">
        <f aca="false">IFERROR(E12*G12, 0)</f>
        <v>520</v>
      </c>
      <c r="I12" s="12" t="s">
        <v>20</v>
      </c>
      <c r="J12" s="9" t="s">
        <v>91</v>
      </c>
      <c r="K12" s="9" t="s">
        <v>92</v>
      </c>
    </row>
    <row r="13" customFormat="false" ht="15" hidden="false" customHeight="false" outlineLevel="0" collapsed="false">
      <c r="A13" s="12" t="s">
        <v>93</v>
      </c>
      <c r="B13" s="9" t="s">
        <v>67</v>
      </c>
      <c r="C13" s="9" t="s">
        <v>94</v>
      </c>
      <c r="D13" s="9" t="s">
        <v>95</v>
      </c>
      <c r="E13" s="13" t="n">
        <v>2</v>
      </c>
      <c r="F13" s="12" t="s">
        <v>80</v>
      </c>
      <c r="G13" s="14" t="n">
        <v>65</v>
      </c>
      <c r="H13" s="15" t="n">
        <f aca="false">IFERROR(E13*G13, 0)</f>
        <v>130</v>
      </c>
      <c r="I13" s="12" t="s">
        <v>24</v>
      </c>
      <c r="J13" s="9" t="s">
        <v>96</v>
      </c>
      <c r="K13" s="9" t="s">
        <v>97</v>
      </c>
    </row>
    <row r="14" customFormat="false" ht="15" hidden="false" customHeight="false" outlineLevel="0" collapsed="false">
      <c r="A14" s="12" t="s">
        <v>98</v>
      </c>
      <c r="B14" s="9" t="s">
        <v>99</v>
      </c>
      <c r="C14" s="9" t="s">
        <v>100</v>
      </c>
      <c r="D14" s="9" t="s">
        <v>101</v>
      </c>
      <c r="E14" s="13" t="n">
        <v>1</v>
      </c>
      <c r="F14" s="12" t="s">
        <v>80</v>
      </c>
      <c r="G14" s="14" t="n">
        <v>1850</v>
      </c>
      <c r="H14" s="15" t="n">
        <f aca="false">IFERROR(E14*G14, 0)</f>
        <v>1850</v>
      </c>
      <c r="I14" s="12" t="s">
        <v>24</v>
      </c>
      <c r="J14" s="9" t="s">
        <v>102</v>
      </c>
      <c r="K14" s="9" t="s">
        <v>103</v>
      </c>
    </row>
    <row r="15" customFormat="false" ht="15" hidden="false" customHeight="false" outlineLevel="0" collapsed="false">
      <c r="A15" s="12" t="s">
        <v>104</v>
      </c>
      <c r="B15" s="9" t="s">
        <v>99</v>
      </c>
      <c r="C15" s="9" t="s">
        <v>105</v>
      </c>
      <c r="D15" s="9" t="s">
        <v>106</v>
      </c>
      <c r="E15" s="13" t="n">
        <v>45</v>
      </c>
      <c r="F15" s="12" t="s">
        <v>63</v>
      </c>
      <c r="G15" s="14" t="n">
        <v>14.67</v>
      </c>
      <c r="H15" s="15" t="n">
        <f aca="false">IFERROR(E15*G15, 0)</f>
        <v>660.15</v>
      </c>
      <c r="I15" s="12" t="s">
        <v>20</v>
      </c>
      <c r="J15" s="9" t="s">
        <v>107</v>
      </c>
      <c r="K15" s="9" t="s">
        <v>108</v>
      </c>
    </row>
    <row r="16" customFormat="false" ht="15" hidden="false" customHeight="false" outlineLevel="0" collapsed="false">
      <c r="A16" s="12" t="s">
        <v>109</v>
      </c>
      <c r="B16" s="9" t="s">
        <v>99</v>
      </c>
      <c r="C16" s="9" t="s">
        <v>110</v>
      </c>
      <c r="D16" s="9" t="s">
        <v>111</v>
      </c>
      <c r="E16" s="13" t="n">
        <v>8</v>
      </c>
      <c r="F16" s="12" t="s">
        <v>80</v>
      </c>
      <c r="G16" s="14" t="n">
        <v>120</v>
      </c>
      <c r="H16" s="15" t="n">
        <f aca="false">IFERROR(E16*G16, 0)</f>
        <v>960</v>
      </c>
      <c r="I16" s="12" t="s">
        <v>20</v>
      </c>
      <c r="J16" s="9" t="s">
        <v>112</v>
      </c>
      <c r="K16" s="9" t="s">
        <v>113</v>
      </c>
    </row>
    <row r="17" customFormat="false" ht="15" hidden="false" customHeight="false" outlineLevel="0" collapsed="false">
      <c r="A17" s="12" t="s">
        <v>114</v>
      </c>
      <c r="B17" s="9" t="s">
        <v>99</v>
      </c>
      <c r="C17" s="9" t="s">
        <v>115</v>
      </c>
      <c r="D17" s="9" t="s">
        <v>116</v>
      </c>
      <c r="E17" s="13" t="n">
        <v>250</v>
      </c>
      <c r="F17" s="12" t="s">
        <v>63</v>
      </c>
      <c r="G17" s="14" t="n">
        <v>15.95</v>
      </c>
      <c r="H17" s="15" t="n">
        <f aca="false">IFERROR(E17*G17, 0)</f>
        <v>3987.5</v>
      </c>
      <c r="I17" s="12" t="s">
        <v>20</v>
      </c>
      <c r="J17" s="9" t="s">
        <v>117</v>
      </c>
      <c r="K17" s="9" t="s">
        <v>118</v>
      </c>
    </row>
    <row r="18" customFormat="false" ht="15" hidden="false" customHeight="false" outlineLevel="0" collapsed="false">
      <c r="A18" s="12" t="s">
        <v>119</v>
      </c>
      <c r="B18" s="9" t="s">
        <v>99</v>
      </c>
      <c r="C18" s="9" t="s">
        <v>120</v>
      </c>
      <c r="D18" s="9" t="s">
        <v>121</v>
      </c>
      <c r="E18" s="13" t="n">
        <v>2.2</v>
      </c>
      <c r="F18" s="12" t="s">
        <v>63</v>
      </c>
      <c r="G18" s="14" t="n">
        <v>34.6</v>
      </c>
      <c r="H18" s="15" t="n">
        <f aca="false">IFERROR(E18*G18, 0)</f>
        <v>76.12</v>
      </c>
      <c r="I18" s="12" t="s">
        <v>20</v>
      </c>
      <c r="J18" s="9" t="s">
        <v>122</v>
      </c>
      <c r="K18" s="9" t="s">
        <v>123</v>
      </c>
    </row>
    <row r="19" customFormat="false" ht="15" hidden="false" customHeight="false" outlineLevel="0" collapsed="false">
      <c r="A19" s="12" t="s">
        <v>124</v>
      </c>
      <c r="B19" s="9" t="s">
        <v>99</v>
      </c>
      <c r="C19" s="9" t="s">
        <v>125</v>
      </c>
      <c r="D19" s="9" t="s">
        <v>126</v>
      </c>
      <c r="E19" s="13" t="n">
        <v>3.6</v>
      </c>
      <c r="F19" s="12" t="s">
        <v>63</v>
      </c>
      <c r="G19" s="14" t="n">
        <v>28.97</v>
      </c>
      <c r="H19" s="15" t="n">
        <f aca="false">IFERROR(E19*G19, 0)</f>
        <v>104.292</v>
      </c>
      <c r="I19" s="12" t="s">
        <v>20</v>
      </c>
      <c r="J19" s="9" t="s">
        <v>127</v>
      </c>
      <c r="K19" s="9" t="s">
        <v>128</v>
      </c>
    </row>
    <row r="20" customFormat="false" ht="15" hidden="false" customHeight="false" outlineLevel="0" collapsed="false">
      <c r="A20" s="12" t="s">
        <v>129</v>
      </c>
      <c r="B20" s="9" t="s">
        <v>99</v>
      </c>
      <c r="C20" s="9" t="s">
        <v>130</v>
      </c>
      <c r="D20" s="9" t="s">
        <v>131</v>
      </c>
      <c r="E20" s="13" t="n">
        <v>1</v>
      </c>
      <c r="F20" s="12" t="s">
        <v>132</v>
      </c>
      <c r="G20" s="14" t="n">
        <v>45.1</v>
      </c>
      <c r="H20" s="15" t="n">
        <f aca="false">IFERROR(E20*G20, 0)</f>
        <v>45.1</v>
      </c>
      <c r="I20" s="12" t="s">
        <v>20</v>
      </c>
      <c r="J20" s="9" t="s">
        <v>133</v>
      </c>
      <c r="K20" s="9" t="s">
        <v>134</v>
      </c>
    </row>
    <row r="21" customFormat="false" ht="15" hidden="false" customHeight="false" outlineLevel="0" collapsed="false">
      <c r="A21" s="12" t="s">
        <v>135</v>
      </c>
      <c r="B21" s="9" t="s">
        <v>99</v>
      </c>
      <c r="C21" s="9" t="s">
        <v>136</v>
      </c>
      <c r="D21" s="9" t="s">
        <v>137</v>
      </c>
      <c r="E21" s="13" t="n">
        <v>30</v>
      </c>
      <c r="F21" s="12" t="s">
        <v>63</v>
      </c>
      <c r="G21" s="14" t="n">
        <v>49.77</v>
      </c>
      <c r="H21" s="15" t="n">
        <f aca="false">IFERROR(E21*G21, 0)</f>
        <v>1493.1</v>
      </c>
      <c r="I21" s="12" t="s">
        <v>22</v>
      </c>
      <c r="J21" s="9" t="s">
        <v>138</v>
      </c>
      <c r="K21" s="9" t="s">
        <v>139</v>
      </c>
    </row>
    <row r="22" customFormat="false" ht="15" hidden="false" customHeight="false" outlineLevel="0" collapsed="false">
      <c r="A22" s="12" t="s">
        <v>140</v>
      </c>
      <c r="B22" s="9" t="s">
        <v>141</v>
      </c>
      <c r="C22" s="9" t="s">
        <v>142</v>
      </c>
      <c r="D22" s="9" t="s">
        <v>143</v>
      </c>
      <c r="E22" s="13" t="n">
        <v>2</v>
      </c>
      <c r="F22" s="12" t="s">
        <v>80</v>
      </c>
      <c r="G22" s="14" t="n">
        <v>609.1</v>
      </c>
      <c r="H22" s="15" t="n">
        <f aca="false">IFERROR(E22*G22, 0)</f>
        <v>1218.2</v>
      </c>
      <c r="I22" s="12" t="s">
        <v>20</v>
      </c>
      <c r="J22" s="9" t="s">
        <v>144</v>
      </c>
      <c r="K22" s="9" t="s">
        <v>145</v>
      </c>
    </row>
    <row r="23" customFormat="false" ht="15" hidden="false" customHeight="false" outlineLevel="0" collapsed="false">
      <c r="A23" s="12" t="s">
        <v>146</v>
      </c>
      <c r="B23" s="9" t="s">
        <v>141</v>
      </c>
      <c r="C23" s="9" t="s">
        <v>147</v>
      </c>
      <c r="D23" s="9" t="s">
        <v>143</v>
      </c>
      <c r="E23" s="13" t="n">
        <v>3</v>
      </c>
      <c r="F23" s="12" t="s">
        <v>80</v>
      </c>
      <c r="G23" s="14" t="n">
        <v>609.1</v>
      </c>
      <c r="H23" s="15" t="n">
        <f aca="false">IFERROR(E23*G23, 0)</f>
        <v>1827.3</v>
      </c>
      <c r="I23" s="12" t="s">
        <v>22</v>
      </c>
      <c r="J23" s="9" t="s">
        <v>148</v>
      </c>
      <c r="K23" s="9" t="s">
        <v>149</v>
      </c>
    </row>
    <row r="24" customFormat="false" ht="15" hidden="false" customHeight="false" outlineLevel="0" collapsed="false">
      <c r="A24" s="12" t="s">
        <v>150</v>
      </c>
      <c r="B24" s="9" t="s">
        <v>141</v>
      </c>
      <c r="C24" s="9" t="s">
        <v>151</v>
      </c>
      <c r="D24" s="9" t="s">
        <v>152</v>
      </c>
      <c r="E24" s="13" t="n">
        <v>6</v>
      </c>
      <c r="F24" s="12" t="s">
        <v>80</v>
      </c>
      <c r="G24" s="14" t="n">
        <v>615.92</v>
      </c>
      <c r="H24" s="15" t="n">
        <f aca="false">IFERROR(E24*G24, 0)</f>
        <v>3695.52</v>
      </c>
      <c r="I24" s="12" t="s">
        <v>20</v>
      </c>
      <c r="J24" s="9" t="s">
        <v>153</v>
      </c>
      <c r="K24" s="9" t="s">
        <v>154</v>
      </c>
    </row>
    <row r="25" customFormat="false" ht="15" hidden="false" customHeight="false" outlineLevel="0" collapsed="false">
      <c r="A25" s="12" t="s">
        <v>155</v>
      </c>
      <c r="B25" s="9" t="s">
        <v>156</v>
      </c>
      <c r="C25" s="9" t="s">
        <v>157</v>
      </c>
      <c r="D25" s="9" t="s">
        <v>158</v>
      </c>
      <c r="E25" s="13" t="n">
        <v>1</v>
      </c>
      <c r="F25" s="12" t="s">
        <v>159</v>
      </c>
      <c r="G25" s="14" t="n">
        <v>1376.71</v>
      </c>
      <c r="H25" s="15" t="n">
        <f aca="false">IFERROR(E25*G25, 0)</f>
        <v>1376.71</v>
      </c>
      <c r="I25" s="12" t="s">
        <v>28</v>
      </c>
      <c r="J25" s="9" t="s">
        <v>160</v>
      </c>
      <c r="K25" s="9" t="s">
        <v>161</v>
      </c>
    </row>
    <row r="26" customFormat="false" ht="15" hidden="true" customHeight="false" outlineLevel="0" collapsed="false">
      <c r="A26" s="12"/>
      <c r="B26" s="9"/>
      <c r="C26" s="9"/>
      <c r="D26" s="9"/>
      <c r="E26" s="13"/>
      <c r="F26" s="12"/>
      <c r="G26" s="14"/>
      <c r="H26" s="15"/>
      <c r="I26" s="12"/>
      <c r="J26" s="9"/>
      <c r="K26" s="9"/>
    </row>
    <row r="27" customFormat="false" ht="15" hidden="true" customHeight="false" outlineLevel="0" collapsed="false">
      <c r="A27" s="12"/>
      <c r="B27" s="9"/>
      <c r="C27" s="9"/>
      <c r="D27" s="9"/>
      <c r="E27" s="13"/>
      <c r="F27" s="12"/>
      <c r="G27" s="14"/>
      <c r="H27" s="15"/>
      <c r="I27" s="12"/>
      <c r="J27" s="9"/>
      <c r="K27" s="9"/>
    </row>
    <row r="28" customFormat="false" ht="15" hidden="false" customHeight="false" outlineLevel="0" collapsed="false">
      <c r="A28" s="12" t="s">
        <v>162</v>
      </c>
      <c r="B28" s="9" t="s">
        <v>163</v>
      </c>
      <c r="C28" s="9" t="s">
        <v>164</v>
      </c>
      <c r="D28" s="9" t="s">
        <v>165</v>
      </c>
      <c r="E28" s="13" t="n">
        <v>72.96</v>
      </c>
      <c r="F28" s="12" t="s">
        <v>47</v>
      </c>
      <c r="G28" s="14" t="n">
        <v>112.52</v>
      </c>
      <c r="H28" s="15" t="n">
        <f aca="false">IFERROR(E28*G28, 0)</f>
        <v>8209.4592</v>
      </c>
      <c r="I28" s="12" t="s">
        <v>28</v>
      </c>
      <c r="J28" s="9" t="s">
        <v>166</v>
      </c>
      <c r="K28" s="9" t="s">
        <v>167</v>
      </c>
    </row>
    <row r="29" customFormat="false" ht="15" hidden="false" customHeight="false" outlineLevel="0" collapsed="false">
      <c r="A29" s="12" t="s">
        <v>168</v>
      </c>
      <c r="B29" s="9" t="s">
        <v>163</v>
      </c>
      <c r="C29" s="9" t="s">
        <v>169</v>
      </c>
      <c r="D29" s="9" t="s">
        <v>170</v>
      </c>
      <c r="E29" s="13" t="n">
        <v>72.96</v>
      </c>
      <c r="F29" s="12" t="s">
        <v>47</v>
      </c>
      <c r="G29" s="14" t="n">
        <v>47</v>
      </c>
      <c r="H29" s="15" t="n">
        <f aca="false">IFERROR(E29*G29, 0)</f>
        <v>3429.12</v>
      </c>
      <c r="I29" s="12" t="s">
        <v>28</v>
      </c>
      <c r="J29" s="9" t="s">
        <v>171</v>
      </c>
      <c r="K29" s="9" t="s">
        <v>172</v>
      </c>
    </row>
    <row r="30" customFormat="false" ht="15" hidden="false" customHeight="false" outlineLevel="0" collapsed="false">
      <c r="A30" s="12" t="s">
        <v>173</v>
      </c>
      <c r="B30" s="9" t="s">
        <v>163</v>
      </c>
      <c r="C30" s="9" t="s">
        <v>174</v>
      </c>
      <c r="D30" s="9" t="s">
        <v>175</v>
      </c>
      <c r="E30" s="13" t="n">
        <v>72.96</v>
      </c>
      <c r="F30" s="12" t="s">
        <v>47</v>
      </c>
      <c r="G30" s="14" t="n">
        <v>28</v>
      </c>
      <c r="H30" s="15" t="n">
        <f aca="false">IFERROR(E30*G30, 0)</f>
        <v>2042.88</v>
      </c>
      <c r="I30" s="12" t="s">
        <v>28</v>
      </c>
      <c r="J30" s="9" t="s">
        <v>176</v>
      </c>
      <c r="K30" s="9" t="s">
        <v>177</v>
      </c>
    </row>
    <row r="31" customFormat="false" ht="15" hidden="false" customHeight="false" outlineLevel="0" collapsed="false">
      <c r="A31" s="12" t="s">
        <v>178</v>
      </c>
      <c r="B31" s="9" t="s">
        <v>179</v>
      </c>
      <c r="C31" s="9" t="s">
        <v>180</v>
      </c>
      <c r="D31" s="9" t="s">
        <v>181</v>
      </c>
      <c r="E31" s="13" t="n">
        <v>4</v>
      </c>
      <c r="F31" s="12" t="s">
        <v>80</v>
      </c>
      <c r="G31" s="14" t="n">
        <v>2190</v>
      </c>
      <c r="H31" s="15" t="n">
        <f aca="false">IFERROR(E31*G31, 0)</f>
        <v>8760</v>
      </c>
      <c r="I31" s="12" t="s">
        <v>22</v>
      </c>
      <c r="J31" s="9" t="s">
        <v>182</v>
      </c>
      <c r="K31" s="9" t="s">
        <v>183</v>
      </c>
    </row>
    <row r="32" customFormat="false" ht="15" hidden="false" customHeight="false" outlineLevel="0" collapsed="false">
      <c r="A32" s="12" t="s">
        <v>184</v>
      </c>
      <c r="B32" s="9" t="s">
        <v>179</v>
      </c>
      <c r="C32" s="9" t="s">
        <v>185</v>
      </c>
      <c r="D32" s="9" t="s">
        <v>186</v>
      </c>
      <c r="E32" s="13" t="n">
        <v>4</v>
      </c>
      <c r="F32" s="12" t="s">
        <v>80</v>
      </c>
      <c r="G32" s="14" t="n">
        <v>196.73</v>
      </c>
      <c r="H32" s="15" t="n">
        <f aca="false">IFERROR(E32*G32, 0)</f>
        <v>786.92</v>
      </c>
      <c r="I32" s="12" t="s">
        <v>20</v>
      </c>
      <c r="J32" s="9" t="s">
        <v>187</v>
      </c>
      <c r="K32" s="9" t="s">
        <v>188</v>
      </c>
    </row>
    <row r="33" customFormat="false" ht="15" hidden="false" customHeight="false" outlineLevel="0" collapsed="false">
      <c r="A33" s="12" t="s">
        <v>189</v>
      </c>
      <c r="B33" s="9" t="s">
        <v>179</v>
      </c>
      <c r="C33" s="9" t="s">
        <v>190</v>
      </c>
      <c r="D33" s="9" t="s">
        <v>191</v>
      </c>
      <c r="E33" s="13" t="n">
        <v>8</v>
      </c>
      <c r="F33" s="12" t="s">
        <v>80</v>
      </c>
      <c r="G33" s="14" t="n">
        <v>45</v>
      </c>
      <c r="H33" s="15" t="n">
        <f aca="false">IFERROR(E33*G33, 0)</f>
        <v>360</v>
      </c>
      <c r="I33" s="12" t="s">
        <v>22</v>
      </c>
      <c r="J33" s="9" t="s">
        <v>192</v>
      </c>
      <c r="K33" s="9" t="s">
        <v>193</v>
      </c>
    </row>
    <row r="34" customFormat="false" ht="15" hidden="false" customHeight="false" outlineLevel="0" collapsed="false">
      <c r="A34" s="12" t="s">
        <v>194</v>
      </c>
      <c r="B34" s="9" t="s">
        <v>179</v>
      </c>
      <c r="C34" s="9" t="s">
        <v>195</v>
      </c>
      <c r="D34" s="9" t="s">
        <v>196</v>
      </c>
      <c r="E34" s="13" t="n">
        <v>1</v>
      </c>
      <c r="F34" s="12" t="s">
        <v>132</v>
      </c>
      <c r="G34" s="14" t="n">
        <v>450</v>
      </c>
      <c r="H34" s="15" t="n">
        <f aca="false">IFERROR(E34*G34, 0)</f>
        <v>450</v>
      </c>
      <c r="I34" s="12" t="s">
        <v>22</v>
      </c>
      <c r="J34" s="9" t="s">
        <v>197</v>
      </c>
      <c r="K34" s="9" t="s">
        <v>198</v>
      </c>
    </row>
    <row r="35" customFormat="false" ht="15" hidden="false" customHeight="false" outlineLevel="0" collapsed="false">
      <c r="A35" s="12" t="s">
        <v>199</v>
      </c>
      <c r="B35" s="9" t="s">
        <v>179</v>
      </c>
      <c r="C35" s="9" t="s">
        <v>200</v>
      </c>
      <c r="D35" s="9" t="s">
        <v>201</v>
      </c>
      <c r="E35" s="13" t="n">
        <v>1</v>
      </c>
      <c r="F35" s="12" t="s">
        <v>132</v>
      </c>
      <c r="G35" s="14" t="n">
        <v>280</v>
      </c>
      <c r="H35" s="15" t="n">
        <f aca="false">IFERROR(E35*G35, 0)</f>
        <v>280</v>
      </c>
      <c r="I35" s="12" t="s">
        <v>20</v>
      </c>
      <c r="J35" s="9" t="s">
        <v>202</v>
      </c>
      <c r="K35" s="9" t="s">
        <v>203</v>
      </c>
    </row>
    <row r="36" customFormat="false" ht="15" hidden="false" customHeight="false" outlineLevel="0" collapsed="false">
      <c r="A36" s="12" t="s">
        <v>204</v>
      </c>
      <c r="B36" s="9" t="s">
        <v>205</v>
      </c>
      <c r="C36" s="9" t="s">
        <v>206</v>
      </c>
      <c r="D36" s="9" t="s">
        <v>207</v>
      </c>
      <c r="E36" s="13" t="n">
        <v>6</v>
      </c>
      <c r="F36" s="12" t="s">
        <v>132</v>
      </c>
      <c r="G36" s="14" t="n">
        <v>234</v>
      </c>
      <c r="H36" s="15" t="n">
        <f aca="false">IFERROR(E36*G36, 0)</f>
        <v>1404</v>
      </c>
      <c r="I36" s="12" t="s">
        <v>22</v>
      </c>
      <c r="J36" s="9" t="s">
        <v>208</v>
      </c>
      <c r="K36" s="9" t="s">
        <v>209</v>
      </c>
    </row>
    <row r="37" customFormat="false" ht="15" hidden="false" customHeight="false" outlineLevel="0" collapsed="false">
      <c r="A37" s="12" t="s">
        <v>210</v>
      </c>
      <c r="B37" s="9" t="s">
        <v>205</v>
      </c>
      <c r="C37" s="9" t="s">
        <v>211</v>
      </c>
      <c r="D37" s="9" t="s">
        <v>212</v>
      </c>
      <c r="E37" s="13" t="n">
        <v>6</v>
      </c>
      <c r="F37" s="12" t="s">
        <v>80</v>
      </c>
      <c r="G37" s="14" t="n">
        <v>104.1</v>
      </c>
      <c r="H37" s="15" t="n">
        <f aca="false">IFERROR(E37*G37, 0)</f>
        <v>624.6</v>
      </c>
      <c r="I37" s="12" t="s">
        <v>20</v>
      </c>
      <c r="J37" s="9" t="s">
        <v>213</v>
      </c>
      <c r="K37" s="9" t="s">
        <v>214</v>
      </c>
    </row>
    <row r="38" customFormat="false" ht="15" hidden="false" customHeight="false" outlineLevel="0" collapsed="false">
      <c r="A38" s="12" t="s">
        <v>215</v>
      </c>
      <c r="B38" s="9" t="s">
        <v>205</v>
      </c>
      <c r="C38" s="9" t="s">
        <v>216</v>
      </c>
      <c r="D38" s="9" t="s">
        <v>217</v>
      </c>
      <c r="E38" s="13" t="n">
        <v>1</v>
      </c>
      <c r="F38" s="12" t="s">
        <v>132</v>
      </c>
      <c r="G38" s="14" t="n">
        <v>220</v>
      </c>
      <c r="H38" s="15" t="n">
        <f aca="false">IFERROR(E38*G38, 0)</f>
        <v>220</v>
      </c>
      <c r="I38" s="12" t="s">
        <v>20</v>
      </c>
      <c r="J38" s="9" t="s">
        <v>218</v>
      </c>
      <c r="K38" s="9" t="s">
        <v>219</v>
      </c>
    </row>
    <row r="39" customFormat="false" ht="15" hidden="false" customHeight="false" outlineLevel="0" collapsed="false">
      <c r="A39" s="12" t="s">
        <v>220</v>
      </c>
      <c r="B39" s="9" t="s">
        <v>205</v>
      </c>
      <c r="C39" s="9" t="s">
        <v>221</v>
      </c>
      <c r="D39" s="9" t="s">
        <v>222</v>
      </c>
      <c r="E39" s="13" t="n">
        <v>400</v>
      </c>
      <c r="F39" s="12" t="s">
        <v>223</v>
      </c>
      <c r="G39" s="14" t="n">
        <v>12</v>
      </c>
      <c r="H39" s="15" t="n">
        <f aca="false">IFERROR(E39*G39, 0)</f>
        <v>4800</v>
      </c>
      <c r="I39" s="12" t="s">
        <v>20</v>
      </c>
      <c r="J39" s="9" t="s">
        <v>224</v>
      </c>
      <c r="K39" s="9" t="s">
        <v>225</v>
      </c>
    </row>
    <row r="40" customFormat="false" ht="15" hidden="false" customHeight="false" outlineLevel="0" collapsed="false">
      <c r="A40" s="12" t="s">
        <v>226</v>
      </c>
      <c r="B40" s="9" t="s">
        <v>227</v>
      </c>
      <c r="C40" s="9" t="s">
        <v>228</v>
      </c>
      <c r="D40" s="9" t="s">
        <v>229</v>
      </c>
      <c r="E40" s="13" t="n">
        <v>2</v>
      </c>
      <c r="F40" s="12" t="s">
        <v>80</v>
      </c>
      <c r="G40" s="14" t="n">
        <v>350</v>
      </c>
      <c r="H40" s="15" t="n">
        <f aca="false">IFERROR(E40*G40, 0)</f>
        <v>700</v>
      </c>
      <c r="I40" s="12" t="s">
        <v>30</v>
      </c>
      <c r="J40" s="9" t="s">
        <v>230</v>
      </c>
      <c r="K40" s="9" t="s">
        <v>231</v>
      </c>
    </row>
    <row r="41" customFormat="false" ht="15" hidden="false" customHeight="false" outlineLevel="0" collapsed="false">
      <c r="A41" s="12" t="s">
        <v>232</v>
      </c>
      <c r="B41" s="9" t="s">
        <v>227</v>
      </c>
      <c r="C41" s="9" t="s">
        <v>233</v>
      </c>
      <c r="D41" s="9" t="s">
        <v>234</v>
      </c>
      <c r="E41" s="13" t="n">
        <v>1</v>
      </c>
      <c r="F41" s="12" t="s">
        <v>80</v>
      </c>
      <c r="G41" s="14" t="n">
        <v>250</v>
      </c>
      <c r="H41" s="15" t="n">
        <f aca="false">IFERROR(E41*G41, 0)</f>
        <v>250</v>
      </c>
      <c r="I41" s="12" t="s">
        <v>30</v>
      </c>
      <c r="J41" s="9" t="s">
        <v>230</v>
      </c>
      <c r="K41" s="9" t="s">
        <v>231</v>
      </c>
    </row>
    <row r="42" customFormat="false" ht="15" hidden="false" customHeight="false" outlineLevel="0" collapsed="false">
      <c r="A42" s="12" t="s">
        <v>235</v>
      </c>
      <c r="B42" s="9" t="s">
        <v>227</v>
      </c>
      <c r="C42" s="9" t="s">
        <v>236</v>
      </c>
      <c r="D42" s="9" t="s">
        <v>237</v>
      </c>
      <c r="E42" s="13" t="n">
        <v>15</v>
      </c>
      <c r="F42" s="12" t="s">
        <v>80</v>
      </c>
      <c r="G42" s="14" t="n">
        <v>50</v>
      </c>
      <c r="H42" s="15" t="n">
        <f aca="false">IFERROR(E42*G42, 0)</f>
        <v>750</v>
      </c>
      <c r="I42" s="12" t="s">
        <v>30</v>
      </c>
      <c r="J42" s="9" t="s">
        <v>230</v>
      </c>
      <c r="K42" s="9" t="s">
        <v>238</v>
      </c>
    </row>
    <row r="43" customFormat="false" ht="15" hidden="false" customHeight="false" outlineLevel="0" collapsed="false">
      <c r="A43" s="12" t="s">
        <v>239</v>
      </c>
      <c r="B43" s="9" t="s">
        <v>227</v>
      </c>
      <c r="C43" s="9" t="s">
        <v>240</v>
      </c>
      <c r="D43" s="9" t="s">
        <v>241</v>
      </c>
      <c r="E43" s="13" t="n">
        <v>2</v>
      </c>
      <c r="F43" s="12" t="s">
        <v>80</v>
      </c>
      <c r="G43" s="14" t="n">
        <v>50</v>
      </c>
      <c r="H43" s="15" t="n">
        <f aca="false">IFERROR(E43*G43, 0)</f>
        <v>100</v>
      </c>
      <c r="I43" s="12" t="s">
        <v>30</v>
      </c>
      <c r="J43" s="9" t="s">
        <v>230</v>
      </c>
      <c r="K43" s="9" t="s">
        <v>238</v>
      </c>
    </row>
    <row r="44" customFormat="false" ht="15" hidden="false" customHeight="false" outlineLevel="0" collapsed="false">
      <c r="A44" s="12" t="s">
        <v>242</v>
      </c>
      <c r="B44" s="9" t="s">
        <v>227</v>
      </c>
      <c r="C44" s="9" t="s">
        <v>243</v>
      </c>
      <c r="D44" s="9" t="s">
        <v>244</v>
      </c>
      <c r="E44" s="13" t="n">
        <v>1</v>
      </c>
      <c r="F44" s="12" t="s">
        <v>80</v>
      </c>
      <c r="G44" s="14" t="n">
        <v>180</v>
      </c>
      <c r="H44" s="15" t="n">
        <f aca="false">IFERROR(E44*G44, 0)</f>
        <v>180</v>
      </c>
      <c r="I44" s="12" t="s">
        <v>30</v>
      </c>
      <c r="J44" s="9" t="s">
        <v>230</v>
      </c>
      <c r="K44" s="9" t="s">
        <v>245</v>
      </c>
    </row>
    <row r="45" customFormat="false" ht="15" hidden="false" customHeight="false" outlineLevel="0" collapsed="false">
      <c r="A45" s="3" t="s">
        <v>246</v>
      </c>
      <c r="G45" s="16" t="s">
        <v>247</v>
      </c>
      <c r="H45" s="17" t="n">
        <f aca="false">SUM(H4:H44)</f>
        <v>78534.4812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10" activeCellId="0" sqref="D10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37"/>
    <col collapsed="false" customWidth="true" hidden="false" outlineLevel="0" max="3" min="3" style="0" width="47"/>
    <col collapsed="false" customWidth="true" hidden="false" outlineLevel="0" max="4" min="4" style="0" width="50"/>
    <col collapsed="false" customWidth="true" hidden="false" outlineLevel="0" max="5" min="5" style="0" width="19"/>
  </cols>
  <sheetData>
    <row r="1" customFormat="false" ht="18.75" hidden="false" customHeight="true" outlineLevel="0" collapsed="false">
      <c r="A1" s="1" t="s">
        <v>248</v>
      </c>
    </row>
    <row r="3" customFormat="false" ht="15" hidden="false" customHeight="false" outlineLevel="0" collapsed="false">
      <c r="A3" s="6" t="s">
        <v>33</v>
      </c>
      <c r="B3" s="5" t="s">
        <v>34</v>
      </c>
      <c r="C3" s="6" t="s">
        <v>249</v>
      </c>
      <c r="D3" s="5" t="s">
        <v>250</v>
      </c>
      <c r="E3" s="6" t="s">
        <v>251</v>
      </c>
    </row>
    <row r="4" customFormat="false" ht="15" hidden="false" customHeight="false" outlineLevel="0" collapsed="false">
      <c r="A4" s="12" t="s">
        <v>252</v>
      </c>
      <c r="B4" s="9" t="s">
        <v>44</v>
      </c>
      <c r="C4" s="12" t="n">
        <f aca="false">COUNTIF('Cotação de Materiais'!B4:B44, B4)</f>
        <v>4</v>
      </c>
      <c r="D4" s="15" t="n">
        <f aca="false">SUMIF('Cotação de Materiais'!B4:B44, B4, 'Cotação de Materiais'!H4:H44)</f>
        <v>21347.26</v>
      </c>
      <c r="E4" s="18" t="n">
        <f aca="false">D4/$D$13</f>
        <v>0.271820220542821</v>
      </c>
    </row>
    <row r="5" customFormat="false" ht="15" hidden="false" customHeight="false" outlineLevel="0" collapsed="false">
      <c r="A5" s="12" t="s">
        <v>253</v>
      </c>
      <c r="B5" s="9" t="s">
        <v>67</v>
      </c>
      <c r="C5" s="12" t="n">
        <f aca="false">COUNTIF('Cotação de Materiais'!B4:B44, B5)</f>
        <v>6</v>
      </c>
      <c r="D5" s="15" t="n">
        <f aca="false">SUMIF('Cotação de Materiais'!B4:B44, B5, 'Cotação de Materiais'!H4:H44)</f>
        <v>6546.25</v>
      </c>
      <c r="E5" s="18" t="n">
        <f aca="false">D5/$D$13</f>
        <v>0.0833551059353022</v>
      </c>
    </row>
    <row r="6" customFormat="false" ht="15" hidden="false" customHeight="false" outlineLevel="0" collapsed="false">
      <c r="A6" s="12" t="s">
        <v>254</v>
      </c>
      <c r="B6" s="9" t="s">
        <v>99</v>
      </c>
      <c r="C6" s="12" t="n">
        <f aca="false">COUNTIF('Cotação de Materiais'!B4:B44, B6)</f>
        <v>8</v>
      </c>
      <c r="D6" s="15" t="n">
        <f aca="false">SUMIF('Cotação de Materiais'!B4:B44, B6, 'Cotação de Materiais'!H4:H44)</f>
        <v>9176.262</v>
      </c>
      <c r="E6" s="18" t="n">
        <f aca="false">D6/$D$13</f>
        <v>0.116843733603221</v>
      </c>
    </row>
    <row r="7" customFormat="false" ht="15" hidden="false" customHeight="false" outlineLevel="0" collapsed="false">
      <c r="A7" s="12" t="s">
        <v>255</v>
      </c>
      <c r="B7" s="9" t="s">
        <v>141</v>
      </c>
      <c r="C7" s="12" t="n">
        <f aca="false">COUNTIF('Cotação de Materiais'!B4:B44, B7)</f>
        <v>3</v>
      </c>
      <c r="D7" s="15" t="n">
        <f aca="false">SUMIF('Cotação de Materiais'!B4:B44, B7, 'Cotação de Materiais'!H4:H44)</f>
        <v>6741.02</v>
      </c>
      <c r="E7" s="18" t="n">
        <f aca="false">D7/$D$13</f>
        <v>0.0858351630646539</v>
      </c>
    </row>
    <row r="8" customFormat="false" ht="15" hidden="false" customHeight="false" outlineLevel="0" collapsed="false">
      <c r="A8" s="12" t="s">
        <v>256</v>
      </c>
      <c r="B8" s="9" t="s">
        <v>156</v>
      </c>
      <c r="C8" s="12" t="n">
        <f aca="false">COUNTIF('Cotação de Materiais'!B4:B44, B8)</f>
        <v>1</v>
      </c>
      <c r="D8" s="15" t="n">
        <f aca="false">SUMIF('Cotação de Materiais'!B4:B44, B8, 'Cotação de Materiais'!H4:H44)</f>
        <v>1376.71</v>
      </c>
      <c r="E8" s="18" t="n">
        <f aca="false">D8/$D$13</f>
        <v>0.0175300069340752</v>
      </c>
    </row>
    <row r="9" customFormat="false" ht="15" hidden="false" customHeight="false" outlineLevel="0" collapsed="false">
      <c r="A9" s="12" t="s">
        <v>257</v>
      </c>
      <c r="B9" s="9" t="s">
        <v>163</v>
      </c>
      <c r="C9" s="12" t="n">
        <f aca="false">COUNTIF('Cotação de Materiais'!B4:B44, B9)</f>
        <v>3</v>
      </c>
      <c r="D9" s="15" t="n">
        <f aca="false">SUMIF('Cotação de Materiais'!B4:B44, B9, 'Cotação de Materiais'!H4:H44)</f>
        <v>13681.4592</v>
      </c>
      <c r="E9" s="18" t="n">
        <f aca="false">D9/$D$13</f>
        <v>0.174209582732941</v>
      </c>
    </row>
    <row r="10" customFormat="false" ht="15" hidden="false" customHeight="false" outlineLevel="0" collapsed="false">
      <c r="A10" s="12" t="s">
        <v>258</v>
      </c>
      <c r="B10" s="9" t="s">
        <v>179</v>
      </c>
      <c r="C10" s="12" t="n">
        <f aca="false">COUNTIF('Cotação de Materiais'!B4:B44, B10)</f>
        <v>5</v>
      </c>
      <c r="D10" s="15" t="n">
        <f aca="false">SUMIF('Cotação de Materiais'!B4:B44, B10, 'Cotação de Materiais'!H4:H44)</f>
        <v>10636.92</v>
      </c>
      <c r="E10" s="18" t="n">
        <f aca="false">D10/$D$13</f>
        <v>0.135442672281892</v>
      </c>
    </row>
    <row r="11" customFormat="false" ht="15" hidden="false" customHeight="false" outlineLevel="0" collapsed="false">
      <c r="A11" s="12" t="s">
        <v>259</v>
      </c>
      <c r="B11" s="9" t="s">
        <v>205</v>
      </c>
      <c r="C11" s="12" t="n">
        <f aca="false">COUNTIF('Cotação de Materiais'!B4:B44, B11)</f>
        <v>4</v>
      </c>
      <c r="D11" s="15" t="n">
        <f aca="false">SUMIF('Cotação de Materiais'!B4:B44, B11, 'Cotação de Materiais'!H4:H44)</f>
        <v>7048.6</v>
      </c>
      <c r="E11" s="18" t="n">
        <f aca="false">D11/$D$13</f>
        <v>0.0897516593004501</v>
      </c>
    </row>
    <row r="12" customFormat="false" ht="15" hidden="false" customHeight="false" outlineLevel="0" collapsed="false">
      <c r="A12" s="12" t="s">
        <v>260</v>
      </c>
      <c r="B12" s="9" t="s">
        <v>227</v>
      </c>
      <c r="C12" s="12" t="n">
        <f aca="false">COUNTIF('Cotação de Materiais'!B4:B44, B12)</f>
        <v>5</v>
      </c>
      <c r="D12" s="15" t="n">
        <f aca="false">SUMIF('Cotação de Materiais'!B4:B44, B12, 'Cotação de Materiais'!H4:H44)</f>
        <v>1980</v>
      </c>
      <c r="E12" s="18" t="n">
        <f aca="false">D12/$D$13</f>
        <v>0.0252118556046436</v>
      </c>
    </row>
    <row r="13" customFormat="false" ht="15" hidden="false" customHeight="false" outlineLevel="0" collapsed="false">
      <c r="A13" s="19" t="s">
        <v>261</v>
      </c>
      <c r="B13" s="19" t="s">
        <v>262</v>
      </c>
      <c r="C13" s="20" t="n">
        <f aca="false">SUM(C4:C12)</f>
        <v>39</v>
      </c>
      <c r="D13" s="21" t="n">
        <f aca="false">SUM(D4:D12)</f>
        <v>78534.4812</v>
      </c>
      <c r="E13" s="22" t="n">
        <f aca="false">SUM(E4:E12)</f>
        <v>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1"/>
  <sheetViews>
    <sheetView showFormulas="false" showGridLines="true" showRowColHeaders="true" showZeros="true" rightToLeft="false" tabSelected="false" showOutlineSymbols="true" defaultGridColor="true" view="normal" topLeftCell="C3" colorId="64" zoomScale="100" zoomScaleNormal="100" zoomScalePageLayoutView="100" workbookViewId="0">
      <selection pane="topLeft" activeCell="F20" activeCellId="0" sqref="F20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45"/>
    <col collapsed="false" customWidth="true" hidden="false" outlineLevel="0" max="3" min="3" style="0" width="50"/>
    <col collapsed="false" customWidth="true" hidden="false" outlineLevel="0" max="4" min="4" style="0" width="18"/>
    <col collapsed="false" customWidth="true" hidden="false" outlineLevel="0" max="5" min="5" style="0" width="13"/>
    <col collapsed="false" customWidth="true" hidden="false" outlineLevel="0" max="6" min="6" style="0" width="23"/>
    <col collapsed="false" customWidth="true" hidden="false" outlineLevel="0" max="7" min="7" style="0" width="37"/>
    <col collapsed="false" customWidth="true" hidden="false" outlineLevel="0" max="8" min="8" style="0" width="12"/>
  </cols>
  <sheetData>
    <row r="1" customFormat="false" ht="18.75" hidden="false" customHeight="true" outlineLevel="0" collapsed="false">
      <c r="A1" s="1" t="s">
        <v>263</v>
      </c>
    </row>
    <row r="3" customFormat="false" ht="15" hidden="false" customHeight="false" outlineLevel="0" collapsed="false">
      <c r="A3" s="11" t="s">
        <v>33</v>
      </c>
      <c r="B3" s="11" t="s">
        <v>264</v>
      </c>
      <c r="C3" s="11" t="s">
        <v>265</v>
      </c>
      <c r="D3" s="11" t="s">
        <v>266</v>
      </c>
      <c r="E3" s="11" t="s">
        <v>38</v>
      </c>
      <c r="F3" s="11" t="s">
        <v>267</v>
      </c>
      <c r="G3" s="11" t="s">
        <v>40</v>
      </c>
      <c r="H3" s="11" t="s">
        <v>18</v>
      </c>
    </row>
    <row r="4" customFormat="false" ht="15" hidden="false" customHeight="false" outlineLevel="0" collapsed="false">
      <c r="A4" s="12" t="s">
        <v>268</v>
      </c>
      <c r="B4" s="9" t="s">
        <v>269</v>
      </c>
      <c r="C4" s="9" t="s">
        <v>270</v>
      </c>
      <c r="D4" s="13" t="n">
        <v>559.22</v>
      </c>
      <c r="E4" s="12" t="s">
        <v>47</v>
      </c>
      <c r="F4" s="14" t="n">
        <v>50</v>
      </c>
      <c r="G4" s="15" t="n">
        <f aca="false">IFERROR(D4*F4, 0)</f>
        <v>27961</v>
      </c>
      <c r="H4" s="12" t="s">
        <v>20</v>
      </c>
    </row>
    <row r="5" customFormat="false" ht="15" hidden="false" customHeight="false" outlineLevel="0" collapsed="false">
      <c r="A5" s="12" t="s">
        <v>271</v>
      </c>
      <c r="B5" s="9" t="s">
        <v>272</v>
      </c>
      <c r="C5" s="9" t="s">
        <v>273</v>
      </c>
      <c r="D5" s="13" t="n">
        <v>20</v>
      </c>
      <c r="E5" s="12" t="s">
        <v>274</v>
      </c>
      <c r="F5" s="14" t="n">
        <v>250</v>
      </c>
      <c r="G5" s="15" t="n">
        <f aca="false">IFERROR(D5*F5, 0)</f>
        <v>5000</v>
      </c>
      <c r="H5" s="12" t="s">
        <v>20</v>
      </c>
    </row>
    <row r="6" customFormat="false" ht="15" hidden="false" customHeight="false" outlineLevel="0" collapsed="false">
      <c r="A6" s="12" t="s">
        <v>275</v>
      </c>
      <c r="B6" s="9" t="s">
        <v>276</v>
      </c>
      <c r="C6" s="9" t="s">
        <v>277</v>
      </c>
      <c r="D6" s="13" t="n">
        <v>160</v>
      </c>
      <c r="E6" s="12" t="s">
        <v>274</v>
      </c>
      <c r="F6" s="14" t="n">
        <v>270</v>
      </c>
      <c r="G6" s="15" t="n">
        <f aca="false">IFERROR(D6*F6, 0)</f>
        <v>43200</v>
      </c>
      <c r="H6" s="12" t="s">
        <v>20</v>
      </c>
    </row>
    <row r="7" customFormat="false" ht="15" hidden="false" customHeight="false" outlineLevel="0" collapsed="false">
      <c r="A7" s="12" t="s">
        <v>278</v>
      </c>
      <c r="B7" s="9" t="s">
        <v>279</v>
      </c>
      <c r="C7" s="9" t="s">
        <v>280</v>
      </c>
      <c r="D7" s="13" t="n">
        <v>10</v>
      </c>
      <c r="E7" s="12" t="s">
        <v>274</v>
      </c>
      <c r="F7" s="14" t="n">
        <v>130</v>
      </c>
      <c r="G7" s="15" t="n">
        <f aca="false">IFERROR(D7*F7, 0)</f>
        <v>1300</v>
      </c>
      <c r="H7" s="12" t="s">
        <v>20</v>
      </c>
    </row>
    <row r="8" customFormat="false" ht="15" hidden="false" customHeight="false" outlineLevel="0" collapsed="false">
      <c r="A8" s="12" t="s">
        <v>281</v>
      </c>
      <c r="B8" s="9" t="s">
        <v>282</v>
      </c>
      <c r="C8" s="9" t="s">
        <v>283</v>
      </c>
      <c r="D8" s="13" t="n">
        <v>9</v>
      </c>
      <c r="E8" s="12" t="s">
        <v>274</v>
      </c>
      <c r="F8" s="14" t="n">
        <v>100</v>
      </c>
      <c r="G8" s="15" t="n">
        <f aca="false">IFERROR(D8*F8, 0)</f>
        <v>900</v>
      </c>
      <c r="H8" s="12" t="s">
        <v>20</v>
      </c>
    </row>
    <row r="9" customFormat="false" ht="15" hidden="false" customHeight="false" outlineLevel="0" collapsed="false">
      <c r="A9" s="12" t="s">
        <v>284</v>
      </c>
      <c r="B9" s="9" t="s">
        <v>285</v>
      </c>
      <c r="C9" s="9" t="s">
        <v>286</v>
      </c>
      <c r="D9" s="13" t="n">
        <v>1</v>
      </c>
      <c r="E9" s="12" t="s">
        <v>132</v>
      </c>
      <c r="F9" s="14" t="n">
        <v>5000</v>
      </c>
      <c r="G9" s="15" t="n">
        <f aca="false">IFERROR(D9*F9, 0)</f>
        <v>5000</v>
      </c>
      <c r="H9" s="12" t="s">
        <v>28</v>
      </c>
    </row>
    <row r="10" customFormat="false" ht="15" hidden="false" customHeight="false" outlineLevel="0" collapsed="false">
      <c r="A10" s="12" t="s">
        <v>287</v>
      </c>
      <c r="B10" s="9" t="s">
        <v>288</v>
      </c>
      <c r="C10" s="9" t="s">
        <v>289</v>
      </c>
      <c r="D10" s="13" t="n">
        <v>20</v>
      </c>
      <c r="E10" s="12" t="s">
        <v>290</v>
      </c>
      <c r="F10" s="14" t="n">
        <v>300</v>
      </c>
      <c r="G10" s="15" t="n">
        <f aca="false">IFERROR(D10*F10, 0)</f>
        <v>6000</v>
      </c>
      <c r="H10" s="12" t="s">
        <v>20</v>
      </c>
    </row>
    <row r="11" customFormat="false" ht="15" hidden="false" customHeight="false" outlineLevel="0" collapsed="false">
      <c r="A11" s="12" t="s">
        <v>291</v>
      </c>
      <c r="B11" s="9" t="s">
        <v>292</v>
      </c>
      <c r="C11" s="9" t="s">
        <v>293</v>
      </c>
      <c r="D11" s="13" t="n">
        <v>5</v>
      </c>
      <c r="E11" s="12" t="s">
        <v>274</v>
      </c>
      <c r="F11" s="14" t="n">
        <v>1</v>
      </c>
      <c r="G11" s="15" t="n">
        <f aca="false">IFERROR(D11*F11, 0)</f>
        <v>5</v>
      </c>
      <c r="H11" s="12" t="s">
        <v>24</v>
      </c>
    </row>
    <row r="12" customFormat="false" ht="15" hidden="false" customHeight="false" outlineLevel="0" collapsed="false">
      <c r="A12" s="12" t="s">
        <v>294</v>
      </c>
      <c r="B12" s="9" t="s">
        <v>295</v>
      </c>
      <c r="C12" s="9" t="s">
        <v>296</v>
      </c>
      <c r="D12" s="13" t="n">
        <v>6</v>
      </c>
      <c r="E12" s="12" t="s">
        <v>274</v>
      </c>
      <c r="F12" s="14" t="n">
        <v>250</v>
      </c>
      <c r="G12" s="15" t="n">
        <f aca="false">IFERROR(D12*F12, 0)</f>
        <v>1500</v>
      </c>
      <c r="H12" s="12" t="s">
        <v>20</v>
      </c>
    </row>
    <row r="13" customFormat="false" ht="15" hidden="false" customHeight="false" outlineLevel="0" collapsed="false">
      <c r="A13" s="12" t="s">
        <v>297</v>
      </c>
      <c r="B13" s="9" t="s">
        <v>298</v>
      </c>
      <c r="C13" s="9" t="s">
        <v>299</v>
      </c>
      <c r="D13" s="13" t="n">
        <v>1</v>
      </c>
      <c r="E13" s="12" t="s">
        <v>132</v>
      </c>
      <c r="F13" s="14" t="n">
        <v>7000</v>
      </c>
      <c r="G13" s="15" t="n">
        <f aca="false">IFERROR(D13*F13, 0)</f>
        <v>7000</v>
      </c>
      <c r="H13" s="12" t="s">
        <v>28</v>
      </c>
    </row>
    <row r="14" customFormat="false" ht="15" hidden="false" customHeight="false" outlineLevel="0" collapsed="false">
      <c r="A14" s="12" t="s">
        <v>300</v>
      </c>
      <c r="B14" s="9" t="s">
        <v>301</v>
      </c>
      <c r="C14" s="9" t="s">
        <v>302</v>
      </c>
      <c r="D14" s="13" t="n">
        <v>36</v>
      </c>
      <c r="E14" s="12" t="s">
        <v>274</v>
      </c>
      <c r="F14" s="14" t="n">
        <v>200</v>
      </c>
      <c r="G14" s="15" t="n">
        <f aca="false">IFERROR(D14*F14, 0)</f>
        <v>7200</v>
      </c>
      <c r="H14" s="12" t="s">
        <v>22</v>
      </c>
    </row>
    <row r="15" customFormat="false" ht="15" hidden="false" customHeight="false" outlineLevel="0" collapsed="false">
      <c r="A15" s="12" t="s">
        <v>303</v>
      </c>
      <c r="B15" s="9" t="s">
        <v>304</v>
      </c>
      <c r="C15" s="9" t="s">
        <v>305</v>
      </c>
      <c r="D15" s="13" t="n">
        <v>212</v>
      </c>
      <c r="E15" s="12" t="s">
        <v>274</v>
      </c>
      <c r="F15" s="14" t="n">
        <v>28</v>
      </c>
      <c r="G15" s="15" t="n">
        <f aca="false">IFERROR(D15*F15, 0)</f>
        <v>5936</v>
      </c>
      <c r="H15" s="12" t="s">
        <v>22</v>
      </c>
    </row>
    <row r="16" customFormat="false" ht="15" hidden="false" customHeight="false" outlineLevel="0" collapsed="false">
      <c r="A16" s="23" t="s">
        <v>306</v>
      </c>
      <c r="B16" s="24" t="s">
        <v>307</v>
      </c>
      <c r="C16" s="24" t="s">
        <v>308</v>
      </c>
      <c r="D16" s="25" t="n">
        <v>20</v>
      </c>
      <c r="E16" s="23" t="s">
        <v>274</v>
      </c>
      <c r="F16" s="26" t="n">
        <v>24</v>
      </c>
      <c r="G16" s="26" t="n">
        <f aca="false">IFERROR(D16*F16, 0)</f>
        <v>480</v>
      </c>
      <c r="H16" s="23" t="s">
        <v>20</v>
      </c>
    </row>
    <row r="17" customFormat="false" ht="15" hidden="false" customHeight="false" outlineLevel="0" collapsed="false">
      <c r="A17" s="12" t="s">
        <v>309</v>
      </c>
      <c r="B17" s="9" t="s">
        <v>310</v>
      </c>
      <c r="C17" s="9" t="s">
        <v>311</v>
      </c>
      <c r="D17" s="13" t="n">
        <v>212</v>
      </c>
      <c r="E17" s="12" t="s">
        <v>274</v>
      </c>
      <c r="F17" s="14" t="n">
        <v>15</v>
      </c>
      <c r="G17" s="15" t="n">
        <f aca="false">IFERROR(D17*F17, 0)</f>
        <v>3180</v>
      </c>
      <c r="H17" s="12" t="s">
        <v>22</v>
      </c>
    </row>
    <row r="18" customFormat="false" ht="15" hidden="false" customHeight="false" outlineLevel="0" collapsed="false">
      <c r="A18" s="12" t="s">
        <v>312</v>
      </c>
      <c r="B18" s="9" t="s">
        <v>313</v>
      </c>
      <c r="C18" s="9" t="s">
        <v>314</v>
      </c>
      <c r="D18" s="13" t="n">
        <v>20</v>
      </c>
      <c r="E18" s="12" t="s">
        <v>290</v>
      </c>
      <c r="F18" s="14" t="n">
        <v>30</v>
      </c>
      <c r="G18" s="15" t="n">
        <f aca="false">IFERROR(D18*F18, 0)</f>
        <v>600</v>
      </c>
      <c r="H18" s="12" t="s">
        <v>20</v>
      </c>
    </row>
    <row r="19" customFormat="false" ht="15" hidden="false" customHeight="false" outlineLevel="0" collapsed="false">
      <c r="A19" s="12" t="s">
        <v>315</v>
      </c>
      <c r="B19" s="9" t="s">
        <v>316</v>
      </c>
      <c r="C19" s="9" t="s">
        <v>317</v>
      </c>
      <c r="D19" s="13" t="n">
        <v>2</v>
      </c>
      <c r="E19" s="12" t="s">
        <v>318</v>
      </c>
      <c r="F19" s="14" t="n">
        <v>900</v>
      </c>
      <c r="G19" s="15" t="n">
        <f aca="false">IFERROR(D19*F19, 0)</f>
        <v>1800</v>
      </c>
      <c r="H19" s="12" t="s">
        <v>20</v>
      </c>
    </row>
    <row r="20" customFormat="false" ht="15" hidden="false" customHeight="false" outlineLevel="0" collapsed="false">
      <c r="A20" s="12" t="s">
        <v>319</v>
      </c>
      <c r="B20" s="9" t="s">
        <v>320</v>
      </c>
      <c r="C20" s="9" t="s">
        <v>321</v>
      </c>
      <c r="D20" s="13" t="n">
        <v>1</v>
      </c>
      <c r="E20" s="12" t="s">
        <v>322</v>
      </c>
      <c r="F20" s="14" t="n">
        <v>1500</v>
      </c>
      <c r="G20" s="15" t="n">
        <f aca="false">IFERROR(D20*F20, 0)</f>
        <v>1500</v>
      </c>
      <c r="H20" s="12" t="s">
        <v>20</v>
      </c>
    </row>
    <row r="21" customFormat="false" ht="15" hidden="false" customHeight="false" outlineLevel="0" collapsed="false">
      <c r="A21" s="27"/>
      <c r="B21" s="27" t="s">
        <v>323</v>
      </c>
      <c r="C21" s="27"/>
      <c r="D21" s="27"/>
      <c r="E21" s="27"/>
      <c r="F21" s="27"/>
      <c r="G21" s="28" t="n">
        <f aca="false">SUM(G4:G20)</f>
        <v>118562</v>
      </c>
      <c r="H21" s="27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57"/>
  <sheetViews>
    <sheetView showFormulas="false" showGridLines="true" showRowColHeaders="true" showZeros="true" rightToLeft="false" tabSelected="false" showOutlineSymbols="true" defaultGridColor="true" view="normal" topLeftCell="A46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4" min="2" style="0" width="12"/>
    <col collapsed="false" customWidth="true" hidden="false" outlineLevel="0" max="5" min="5" style="0" width="3"/>
    <col collapsed="false" customWidth="true" hidden="false" outlineLevel="0" max="8" min="6" style="0" width="12"/>
    <col collapsed="false" customWidth="true" hidden="false" outlineLevel="0" max="9" min="9" style="0" width="3"/>
    <col collapsed="false" customWidth="true" hidden="false" outlineLevel="0" max="12" min="10" style="0" width="12"/>
    <col collapsed="false" customWidth="true" hidden="false" outlineLevel="0" max="13" min="13" style="0" width="3"/>
    <col collapsed="false" customWidth="true" hidden="false" outlineLevel="0" max="16" min="14" style="0" width="12"/>
    <col collapsed="false" customWidth="true" hidden="false" outlineLevel="0" max="18" min="18" style="0" width="28"/>
    <col collapsed="false" customWidth="true" hidden="false" outlineLevel="0" max="19" min="19" style="0" width="16"/>
    <col collapsed="false" customWidth="true" hidden="false" outlineLevel="0" max="21" min="21" style="0" width="24"/>
    <col collapsed="false" customWidth="true" hidden="false" outlineLevel="0" max="22" min="22" style="0" width="16"/>
  </cols>
  <sheetData>
    <row r="1" customFormat="false" ht="27.75" hidden="false" customHeight="true" outlineLevel="0" collapsed="false">
      <c r="A1" s="29" t="s">
        <v>324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</row>
    <row r="2" customFormat="false" ht="27.75" hidden="false" customHeight="true" outlineLevel="0" collapsed="false">
      <c r="A2" s="29"/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R2" s="30" t="s">
        <v>34</v>
      </c>
      <c r="S2" s="30" t="s">
        <v>325</v>
      </c>
      <c r="U2" s="31" t="s">
        <v>326</v>
      </c>
      <c r="V2" s="31" t="s">
        <v>325</v>
      </c>
    </row>
    <row r="3" customFormat="false" ht="21.75" hidden="false" customHeight="true" outlineLevel="0" collapsed="false">
      <c r="A3" s="32" t="s">
        <v>327</v>
      </c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R3" s="30" t="s">
        <v>44</v>
      </c>
      <c r="S3" s="33" t="n">
        <f aca="false">'Resumo por Disciplina'!D4</f>
        <v>21347.26</v>
      </c>
      <c r="U3" s="31" t="s">
        <v>328</v>
      </c>
      <c r="V3" s="33" t="n">
        <f aca="false">'Cotação de Materiais'!H45</f>
        <v>78534.4812</v>
      </c>
    </row>
    <row r="4" customFormat="false" ht="15" hidden="false" customHeight="false" outlineLevel="0" collapsed="false">
      <c r="R4" s="30" t="s">
        <v>67</v>
      </c>
      <c r="S4" s="33" t="n">
        <f aca="false">'Resumo por Disciplina'!D5</f>
        <v>6546.25</v>
      </c>
      <c r="U4" s="31" t="s">
        <v>329</v>
      </c>
      <c r="V4" s="33" t="n">
        <f aca="false">'Mão de Obra e Serviços'!G21</f>
        <v>118562</v>
      </c>
    </row>
    <row r="5" customFormat="false" ht="15" hidden="false" customHeight="true" outlineLevel="0" collapsed="false">
      <c r="A5" s="34" t="s">
        <v>330</v>
      </c>
      <c r="B5" s="34"/>
      <c r="C5" s="34"/>
      <c r="D5" s="34"/>
      <c r="F5" s="35" t="s">
        <v>331</v>
      </c>
      <c r="G5" s="35"/>
      <c r="H5" s="35"/>
      <c r="J5" s="36" t="s">
        <v>332</v>
      </c>
      <c r="K5" s="36"/>
      <c r="L5" s="36"/>
      <c r="N5" s="36" t="s">
        <v>333</v>
      </c>
      <c r="O5" s="36"/>
      <c r="P5" s="36"/>
      <c r="R5" s="30" t="s">
        <v>99</v>
      </c>
      <c r="S5" s="33" t="n">
        <f aca="false">'Resumo por Disciplina'!D6</f>
        <v>9176.262</v>
      </c>
    </row>
    <row r="6" customFormat="false" ht="15" hidden="false" customHeight="false" outlineLevel="0" collapsed="false">
      <c r="A6" s="34"/>
      <c r="B6" s="34"/>
      <c r="C6" s="34"/>
      <c r="D6" s="34"/>
      <c r="F6" s="35"/>
      <c r="G6" s="35"/>
      <c r="H6" s="35"/>
      <c r="J6" s="36"/>
      <c r="K6" s="36"/>
      <c r="L6" s="36"/>
      <c r="N6" s="36"/>
      <c r="O6" s="36"/>
      <c r="P6" s="36"/>
      <c r="R6" s="30" t="s">
        <v>141</v>
      </c>
      <c r="S6" s="33" t="n">
        <f aca="false">'Resumo por Disciplina'!D7</f>
        <v>6741.02</v>
      </c>
    </row>
    <row r="7" customFormat="false" ht="15" hidden="false" customHeight="false" outlineLevel="0" collapsed="false">
      <c r="A7" s="37" t="str">
        <f aca="false">"R$ "&amp;TEXT('Instruções e Resumo'!B16,"#,##0.00")</f>
        <v>R$ 197,096.48</v>
      </c>
      <c r="B7" s="37"/>
      <c r="C7" s="37"/>
      <c r="D7" s="37"/>
      <c r="F7" s="38" t="str">
        <f aca="false">"R$ "&amp;TEXT('Cotação de Materiais'!H45,"#,##0.00")</f>
        <v>R$ 78,534.48</v>
      </c>
      <c r="G7" s="38"/>
      <c r="H7" s="38"/>
      <c r="J7" s="39" t="str">
        <f aca="false">"R$ "&amp;TEXT('Mão de Obra e Serviços'!G21,"#,##0.00")</f>
        <v>R$ 118,562.00</v>
      </c>
      <c r="K7" s="39"/>
      <c r="L7" s="39"/>
      <c r="N7" s="40" t="n">
        <f aca="false">COUNTIF('Cotação de Materiais'!I4:I44,"PENDENTE")+COUNTIF('Mão de Obra e Serviços'!H4:H20,"PENDENTE")</f>
        <v>6</v>
      </c>
      <c r="O7" s="40"/>
      <c r="P7" s="40"/>
      <c r="R7" s="30" t="s">
        <v>156</v>
      </c>
      <c r="S7" s="33" t="n">
        <f aca="false">'Resumo por Disciplina'!D8</f>
        <v>1376.71</v>
      </c>
    </row>
    <row r="8" customFormat="false" ht="15" hidden="false" customHeight="false" outlineLevel="0" collapsed="false">
      <c r="A8" s="37"/>
      <c r="B8" s="37"/>
      <c r="C8" s="37"/>
      <c r="D8" s="37"/>
      <c r="F8" s="38"/>
      <c r="G8" s="38"/>
      <c r="H8" s="38"/>
      <c r="J8" s="39"/>
      <c r="K8" s="39"/>
      <c r="L8" s="39"/>
      <c r="N8" s="40"/>
      <c r="O8" s="40"/>
      <c r="P8" s="40"/>
      <c r="R8" s="30" t="s">
        <v>163</v>
      </c>
      <c r="S8" s="33" t="n">
        <f aca="false">'Resumo por Disciplina'!D9</f>
        <v>13681.4592</v>
      </c>
    </row>
    <row r="9" customFormat="false" ht="15" hidden="false" customHeight="false" outlineLevel="0" collapsed="false">
      <c r="R9" s="30" t="s">
        <v>179</v>
      </c>
      <c r="S9" s="33" t="n">
        <f aca="false">'Resumo por Disciplina'!D10</f>
        <v>10636.92</v>
      </c>
    </row>
    <row r="10" customFormat="false" ht="15" hidden="false" customHeight="true" outlineLevel="0" collapsed="false">
      <c r="A10" s="41" t="s">
        <v>334</v>
      </c>
      <c r="B10" s="41"/>
      <c r="C10" s="41"/>
      <c r="D10" s="41"/>
      <c r="F10" s="41" t="s">
        <v>335</v>
      </c>
      <c r="G10" s="41"/>
      <c r="H10" s="41"/>
      <c r="J10" s="42" t="s">
        <v>336</v>
      </c>
      <c r="K10" s="42"/>
      <c r="L10" s="42"/>
      <c r="N10" s="42" t="s">
        <v>337</v>
      </c>
      <c r="O10" s="42"/>
      <c r="P10" s="42"/>
      <c r="R10" s="30" t="s">
        <v>205</v>
      </c>
      <c r="S10" s="33" t="n">
        <f aca="false">'Resumo por Disciplina'!D11</f>
        <v>7048.6</v>
      </c>
    </row>
    <row r="11" customFormat="false" ht="15" hidden="false" customHeight="false" outlineLevel="0" collapsed="false">
      <c r="A11" s="41"/>
      <c r="B11" s="41"/>
      <c r="C11" s="41"/>
      <c r="D11" s="41"/>
      <c r="F11" s="41"/>
      <c r="G11" s="41"/>
      <c r="H11" s="41"/>
      <c r="J11" s="42"/>
      <c r="K11" s="42"/>
      <c r="L11" s="42"/>
      <c r="N11" s="42"/>
      <c r="O11" s="42"/>
      <c r="P11" s="42"/>
      <c r="R11" s="30" t="s">
        <v>227</v>
      </c>
      <c r="S11" s="33" t="n">
        <f aca="false">'Resumo por Disciplina'!D12</f>
        <v>1980</v>
      </c>
    </row>
    <row r="12" customFormat="false" ht="15" hidden="false" customHeight="false" outlineLevel="0" collapsed="false">
      <c r="A12" s="43" t="n">
        <f aca="false">4</f>
        <v>4</v>
      </c>
      <c r="B12" s="43"/>
      <c r="C12" s="43"/>
      <c r="D12" s="43"/>
      <c r="F12" s="44" t="n">
        <f aca="false">5</f>
        <v>5</v>
      </c>
      <c r="G12" s="44"/>
      <c r="H12" s="44"/>
      <c r="J12" s="45" t="n">
        <f aca="false">8</f>
        <v>8</v>
      </c>
      <c r="K12" s="45"/>
      <c r="L12" s="45"/>
      <c r="N12" s="46" t="n">
        <f aca="false">1</f>
        <v>1</v>
      </c>
      <c r="O12" s="46"/>
      <c r="P12" s="46"/>
    </row>
    <row r="13" customFormat="false" ht="15" hidden="false" customHeight="false" outlineLevel="0" collapsed="false">
      <c r="A13" s="43"/>
      <c r="B13" s="43"/>
      <c r="C13" s="43"/>
      <c r="D13" s="43"/>
      <c r="F13" s="44"/>
      <c r="G13" s="44"/>
      <c r="H13" s="44"/>
      <c r="J13" s="45"/>
      <c r="K13" s="45"/>
      <c r="L13" s="45"/>
      <c r="N13" s="46"/>
      <c r="O13" s="46"/>
      <c r="P13" s="46"/>
    </row>
    <row r="15" customFormat="false" ht="15" hidden="false" customHeight="false" outlineLevel="0" collapsed="false">
      <c r="A15" s="47" t="s">
        <v>338</v>
      </c>
      <c r="B15" s="47"/>
      <c r="C15" s="47"/>
      <c r="D15" s="47"/>
      <c r="E15" s="47"/>
      <c r="F15" s="47"/>
      <c r="G15" s="47"/>
      <c r="H15" s="47"/>
      <c r="J15" s="47" t="s">
        <v>339</v>
      </c>
      <c r="K15" s="47"/>
      <c r="L15" s="47"/>
      <c r="M15" s="47"/>
      <c r="N15" s="47"/>
      <c r="O15" s="47"/>
      <c r="P15" s="47"/>
    </row>
    <row r="34" customFormat="false" ht="15" hidden="false" customHeight="false" outlineLevel="0" collapsed="false">
      <c r="A34" s="47" t="s">
        <v>340</v>
      </c>
      <c r="B34" s="47"/>
      <c r="C34" s="47"/>
      <c r="D34" s="47"/>
      <c r="E34" s="47"/>
      <c r="F34" s="47"/>
      <c r="G34" s="47"/>
      <c r="H34" s="47"/>
      <c r="I34" s="47"/>
      <c r="J34" s="47"/>
      <c r="K34" s="47"/>
      <c r="L34" s="47"/>
      <c r="M34" s="47"/>
      <c r="N34" s="47"/>
      <c r="O34" s="47"/>
      <c r="P34" s="47"/>
    </row>
    <row r="35" customFormat="false" ht="24" hidden="false" customHeight="true" outlineLevel="0" collapsed="false">
      <c r="A35" s="48" t="s">
        <v>341</v>
      </c>
      <c r="B35" s="48"/>
      <c r="C35" s="48"/>
      <c r="D35" s="48" t="s">
        <v>342</v>
      </c>
      <c r="E35" s="48"/>
      <c r="F35" s="48" t="s">
        <v>343</v>
      </c>
      <c r="G35" s="48"/>
      <c r="H35" s="48"/>
      <c r="I35" s="48" t="s">
        <v>344</v>
      </c>
      <c r="J35" s="48"/>
      <c r="K35" s="48"/>
      <c r="L35" s="48"/>
      <c r="M35" s="48"/>
      <c r="N35" s="48"/>
      <c r="O35" s="48"/>
      <c r="P35" s="48"/>
    </row>
    <row r="36" customFormat="false" ht="31.5" hidden="false" customHeight="true" outlineLevel="0" collapsed="false">
      <c r="A36" s="49" t="s">
        <v>345</v>
      </c>
      <c r="B36" s="49"/>
      <c r="C36" s="49"/>
      <c r="D36" s="50" t="s">
        <v>346</v>
      </c>
      <c r="E36" s="50"/>
      <c r="F36" s="51" t="s">
        <v>347</v>
      </c>
      <c r="G36" s="51"/>
      <c r="H36" s="51"/>
      <c r="I36" s="52" t="s">
        <v>348</v>
      </c>
      <c r="J36" s="52"/>
      <c r="K36" s="52"/>
      <c r="L36" s="52"/>
      <c r="M36" s="52"/>
      <c r="N36" s="52"/>
      <c r="O36" s="52"/>
      <c r="P36" s="52"/>
    </row>
    <row r="37" customFormat="false" ht="31.5" hidden="false" customHeight="true" outlineLevel="0" collapsed="false">
      <c r="A37" s="49" t="s">
        <v>349</v>
      </c>
      <c r="B37" s="49"/>
      <c r="C37" s="49"/>
      <c r="D37" s="50" t="s">
        <v>350</v>
      </c>
      <c r="E37" s="50"/>
      <c r="F37" s="51" t="s">
        <v>351</v>
      </c>
      <c r="G37" s="51"/>
      <c r="H37" s="51"/>
      <c r="I37" s="52" t="s">
        <v>352</v>
      </c>
      <c r="J37" s="52"/>
      <c r="K37" s="52"/>
      <c r="L37" s="52"/>
      <c r="M37" s="52"/>
      <c r="N37" s="52"/>
      <c r="O37" s="52"/>
      <c r="P37" s="52"/>
    </row>
    <row r="38" customFormat="false" ht="31.5" hidden="false" customHeight="true" outlineLevel="0" collapsed="false">
      <c r="A38" s="49" t="s">
        <v>353</v>
      </c>
      <c r="B38" s="49"/>
      <c r="C38" s="49"/>
      <c r="D38" s="50" t="s">
        <v>354</v>
      </c>
      <c r="E38" s="50"/>
      <c r="F38" s="51" t="s">
        <v>355</v>
      </c>
      <c r="G38" s="51"/>
      <c r="H38" s="51"/>
      <c r="I38" s="52" t="s">
        <v>356</v>
      </c>
      <c r="J38" s="52"/>
      <c r="K38" s="52"/>
      <c r="L38" s="52"/>
      <c r="M38" s="52"/>
      <c r="N38" s="52"/>
      <c r="O38" s="52"/>
      <c r="P38" s="52"/>
    </row>
    <row r="39" customFormat="false" ht="31.5" hidden="false" customHeight="true" outlineLevel="0" collapsed="false">
      <c r="A39" s="49" t="s">
        <v>357</v>
      </c>
      <c r="B39" s="49"/>
      <c r="C39" s="49"/>
      <c r="D39" s="50" t="s">
        <v>358</v>
      </c>
      <c r="E39" s="50"/>
      <c r="F39" s="51" t="s">
        <v>359</v>
      </c>
      <c r="G39" s="51"/>
      <c r="H39" s="51"/>
      <c r="I39" s="52" t="s">
        <v>360</v>
      </c>
      <c r="J39" s="52"/>
      <c r="K39" s="52"/>
      <c r="L39" s="52"/>
      <c r="M39" s="52"/>
      <c r="N39" s="52"/>
      <c r="O39" s="52"/>
      <c r="P39" s="52"/>
    </row>
    <row r="40" customFormat="false" ht="31.5" hidden="false" customHeight="true" outlineLevel="0" collapsed="false">
      <c r="A40" s="49" t="s">
        <v>361</v>
      </c>
      <c r="B40" s="49"/>
      <c r="C40" s="49"/>
      <c r="D40" s="50" t="s">
        <v>362</v>
      </c>
      <c r="E40" s="50"/>
      <c r="F40" s="51" t="s">
        <v>363</v>
      </c>
      <c r="G40" s="51"/>
      <c r="H40" s="51"/>
      <c r="I40" s="52" t="s">
        <v>364</v>
      </c>
      <c r="J40" s="52"/>
      <c r="K40" s="52"/>
      <c r="L40" s="52"/>
      <c r="M40" s="52"/>
      <c r="N40" s="52"/>
      <c r="O40" s="52"/>
      <c r="P40" s="52"/>
    </row>
    <row r="41" customFormat="false" ht="31.5" hidden="false" customHeight="true" outlineLevel="0" collapsed="false">
      <c r="A41" s="49" t="s">
        <v>365</v>
      </c>
      <c r="B41" s="49"/>
      <c r="C41" s="49"/>
      <c r="D41" s="50" t="s">
        <v>366</v>
      </c>
      <c r="E41" s="50"/>
      <c r="F41" s="51" t="s">
        <v>367</v>
      </c>
      <c r="G41" s="51"/>
      <c r="H41" s="51"/>
      <c r="I41" s="52" t="s">
        <v>368</v>
      </c>
      <c r="J41" s="52"/>
      <c r="K41" s="52"/>
      <c r="L41" s="52"/>
      <c r="M41" s="52"/>
      <c r="N41" s="52"/>
      <c r="O41" s="52"/>
      <c r="P41" s="52"/>
    </row>
    <row r="42" customFormat="false" ht="31.5" hidden="false" customHeight="true" outlineLevel="0" collapsed="false">
      <c r="A42" s="49" t="s">
        <v>369</v>
      </c>
      <c r="B42" s="49"/>
      <c r="C42" s="49"/>
      <c r="D42" s="50" t="s">
        <v>370</v>
      </c>
      <c r="E42" s="50"/>
      <c r="F42" s="51" t="s">
        <v>371</v>
      </c>
      <c r="G42" s="51"/>
      <c r="H42" s="51"/>
      <c r="I42" s="52" t="s">
        <v>372</v>
      </c>
      <c r="J42" s="52"/>
      <c r="K42" s="52"/>
      <c r="L42" s="52"/>
      <c r="M42" s="52"/>
      <c r="N42" s="52"/>
      <c r="O42" s="52"/>
      <c r="P42" s="52"/>
    </row>
    <row r="43" customFormat="false" ht="31.5" hidden="false" customHeight="true" outlineLevel="0" collapsed="false">
      <c r="A43" s="49" t="s">
        <v>373</v>
      </c>
      <c r="B43" s="49"/>
      <c r="C43" s="49"/>
      <c r="D43" s="50" t="s">
        <v>374</v>
      </c>
      <c r="E43" s="50"/>
      <c r="F43" s="51" t="s">
        <v>375</v>
      </c>
      <c r="G43" s="51"/>
      <c r="H43" s="51"/>
      <c r="I43" s="52" t="s">
        <v>376</v>
      </c>
      <c r="J43" s="52"/>
      <c r="K43" s="52"/>
      <c r="L43" s="52"/>
      <c r="M43" s="52"/>
      <c r="N43" s="52"/>
      <c r="O43" s="52"/>
      <c r="P43" s="52"/>
    </row>
    <row r="45" customFormat="false" ht="15" hidden="false" customHeight="false" outlineLevel="0" collapsed="false">
      <c r="A45" s="47" t="s">
        <v>377</v>
      </c>
      <c r="B45" s="47"/>
      <c r="C45" s="47"/>
      <c r="D45" s="47"/>
      <c r="E45" s="47"/>
      <c r="F45" s="47"/>
      <c r="G45" s="47"/>
      <c r="H45" s="47"/>
      <c r="J45" s="47" t="s">
        <v>378</v>
      </c>
      <c r="K45" s="47"/>
      <c r="L45" s="47"/>
      <c r="M45" s="47"/>
      <c r="N45" s="47"/>
      <c r="O45" s="47"/>
      <c r="P45" s="47"/>
    </row>
    <row r="46" customFormat="false" ht="24" hidden="false" customHeight="true" outlineLevel="0" collapsed="false">
      <c r="A46" s="48" t="s">
        <v>33</v>
      </c>
      <c r="B46" s="48" t="s">
        <v>379</v>
      </c>
      <c r="C46" s="48"/>
      <c r="D46" s="48"/>
      <c r="E46" s="48" t="s">
        <v>34</v>
      </c>
      <c r="F46" s="48"/>
      <c r="G46" s="48" t="s">
        <v>380</v>
      </c>
      <c r="H46" s="48"/>
      <c r="J46" s="48" t="s">
        <v>18</v>
      </c>
      <c r="K46" s="48"/>
      <c r="L46" s="48"/>
      <c r="M46" s="48" t="s">
        <v>37</v>
      </c>
      <c r="N46" s="48"/>
      <c r="O46" s="48"/>
      <c r="P46" s="48"/>
    </row>
    <row r="47" customFormat="false" ht="24" hidden="false" customHeight="true" outlineLevel="0" collapsed="false">
      <c r="A47" s="52" t="str">
        <f aca="false">'Cotação de Materiais'!A31</f>
        <v>SEG-01</v>
      </c>
      <c r="B47" s="52" t="str">
        <f aca="false">'Cotação de Materiais'!C31</f>
        <v>Retardante de Chamas CKC-2020</v>
      </c>
      <c r="C47" s="52"/>
      <c r="D47" s="52"/>
      <c r="E47" s="52" t="str">
        <f aca="false">'Cotação de Materiais'!B31</f>
        <v>Segurança Contra Incêndio</v>
      </c>
      <c r="F47" s="52"/>
      <c r="G47" s="53" t="str">
        <f aca="false">"R$ "&amp;TEXT('Cotação de Materiais'!H31,"#,##0.00")</f>
        <v>R$ 8,760.00</v>
      </c>
      <c r="H47" s="53"/>
      <c r="J47" s="54" t="s">
        <v>24</v>
      </c>
      <c r="K47" s="54"/>
      <c r="L47" s="54"/>
      <c r="M47" s="55" t="n">
        <f aca="false">COUNTIF('Cotação de Materiais'!I4:I44,"PENDENTE")+COUNTIF('Mão de Obra e Serviços'!H4:H20,"PENDENTE")</f>
        <v>6</v>
      </c>
      <c r="N47" s="55"/>
      <c r="O47" s="55"/>
      <c r="P47" s="55"/>
    </row>
    <row r="48" customFormat="false" ht="24" hidden="false" customHeight="true" outlineLevel="0" collapsed="false">
      <c r="A48" s="52" t="str">
        <f aca="false">'Cotação de Materiais'!A4</f>
        <v>MAT-01</v>
      </c>
      <c r="B48" s="52" t="str">
        <f aca="false">'Cotação de Materiais'!C4</f>
        <v>Chapas de MDF Comum 18mm</v>
      </c>
      <c r="C48" s="52"/>
      <c r="D48" s="52"/>
      <c r="E48" s="52" t="str">
        <f aca="false">'Cotação de Materiais'!B4</f>
        <v>Marcenaria e Cenotecnia</v>
      </c>
      <c r="F48" s="52"/>
      <c r="G48" s="53" t="str">
        <f aca="false">"R$ "&amp;TEXT('Cotação de Materiais'!H4,"#,##0.00")</f>
        <v>R$ 15,607.36</v>
      </c>
      <c r="H48" s="53"/>
      <c r="J48" s="56" t="s">
        <v>28</v>
      </c>
      <c r="K48" s="56"/>
      <c r="L48" s="56"/>
      <c r="M48" s="57" t="n">
        <f aca="false">COUNTIF('Cotação de Materiais'!I4:I44,"FECHADO")+COUNTIF('Mão de Obra e Serviços'!H4:H20,"FECHADO")</f>
        <v>6</v>
      </c>
      <c r="N48" s="57"/>
      <c r="O48" s="57"/>
      <c r="P48" s="57"/>
    </row>
    <row r="49" customFormat="false" ht="24" hidden="false" customHeight="true" outlineLevel="0" collapsed="false">
      <c r="A49" s="52" t="str">
        <f aca="false">'Cotação de Materiais'!A25</f>
        <v>VID-01</v>
      </c>
      <c r="B49" s="52" t="str">
        <f aca="false">'Cotação de Materiais'!C25</f>
        <v>Vidro Laminado M01</v>
      </c>
      <c r="C49" s="52"/>
      <c r="D49" s="52"/>
      <c r="E49" s="52" t="str">
        <f aca="false">'Cotação de Materiais'!B25</f>
        <v>Vidros e Acrílicos</v>
      </c>
      <c r="F49" s="52"/>
      <c r="G49" s="53" t="str">
        <f aca="false">"R$ "&amp;TEXT('Cotação de Materiais'!H25,"#,##0.00")</f>
        <v>R$ 1,376.71</v>
      </c>
      <c r="H49" s="53"/>
      <c r="J49" s="58" t="s">
        <v>20</v>
      </c>
      <c r="K49" s="58"/>
      <c r="L49" s="58"/>
      <c r="M49" s="59" t="n">
        <f aca="false">COUNTIF('Cotação de Materiais'!I4:I44,"EXPLÍCITO")+COUNTIF('Mão de Obra e Serviços'!H4:H20,"EXPLÍCITO")</f>
        <v>28</v>
      </c>
      <c r="N49" s="59"/>
      <c r="O49" s="59"/>
      <c r="P49" s="59"/>
    </row>
    <row r="50" customFormat="false" ht="24" hidden="false" customHeight="true" outlineLevel="0" collapsed="false">
      <c r="A50" s="52" t="str">
        <f aca="false">'Cotação de Materiais'!A28</f>
        <v>CV-01</v>
      </c>
      <c r="B50" s="52" t="str">
        <f aca="false">'Cotação de Materiais'!C28</f>
        <v>Aplicação de Película Refl. Prata-Bronze 05</v>
      </c>
      <c r="C50" s="52"/>
      <c r="D50" s="52"/>
      <c r="E50" s="52" t="str">
        <f aca="false">'Cotação de Materiais'!B28</f>
        <v>Comunicação Visual</v>
      </c>
      <c r="F50" s="52"/>
      <c r="G50" s="53" t="str">
        <f aca="false">"R$ "&amp;TEXT('Cotação de Materiais'!H28,"#,##0.00")</f>
        <v>R$ 8,209.46</v>
      </c>
      <c r="H50" s="53"/>
      <c r="J50" s="60" t="s">
        <v>22</v>
      </c>
      <c r="K50" s="60"/>
      <c r="L50" s="60"/>
      <c r="M50" s="61" t="n">
        <f aca="false">COUNTIF('Cotação de Materiais'!I4:I44,"DERIVADO")+COUNTIF('Mão de Obra e Serviços'!H4:H20,"DERIVADO")</f>
        <v>11</v>
      </c>
      <c r="N50" s="61"/>
      <c r="O50" s="61"/>
      <c r="P50" s="61"/>
    </row>
    <row r="51" customFormat="false" ht="24" hidden="false" customHeight="true" outlineLevel="0" collapsed="false">
      <c r="A51" s="52" t="str">
        <f aca="false">'Cotação de Materiais'!A39</f>
        <v>FER-04</v>
      </c>
      <c r="B51" s="52" t="str">
        <f aca="false">'Cotação de Materiais'!C39</f>
        <v>Lastros de Estabilização</v>
      </c>
      <c r="C51" s="52"/>
      <c r="D51" s="52"/>
      <c r="E51" s="52" t="str">
        <f aca="false">'Cotação de Materiais'!B39</f>
        <v>Ferragens e Ancoragens</v>
      </c>
      <c r="F51" s="52"/>
      <c r="G51" s="53" t="str">
        <f aca="false">"R$ "&amp;TEXT('Cotação de Materiais'!H39,"#,##0.00")</f>
        <v>R$ 4,800.00</v>
      </c>
      <c r="H51" s="53"/>
      <c r="J51" s="62" t="s">
        <v>30</v>
      </c>
      <c r="K51" s="62"/>
      <c r="L51" s="62"/>
      <c r="M51" s="63" t="n">
        <f aca="false">COUNTIF('Cotação de Materiais'!I4:I44,"REFORMADO")+COUNTIF('Mão de Obra e Serviços'!H4:H20,"REFORMADO")</f>
        <v>5</v>
      </c>
      <c r="N51" s="63"/>
      <c r="O51" s="63"/>
      <c r="P51" s="63"/>
    </row>
    <row r="52" customFormat="false" ht="24" hidden="false" customHeight="true" outlineLevel="0" collapsed="false">
      <c r="A52" s="52" t="str">
        <f aca="false">'Cotação de Materiais'!A17</f>
        <v>ELE-04</v>
      </c>
      <c r="B52" s="52" t="str">
        <f aca="false">'Cotação de Materiais'!C17</f>
        <v>Cabos PP Antichama</v>
      </c>
      <c r="C52" s="52"/>
      <c r="D52" s="52"/>
      <c r="E52" s="52" t="str">
        <f aca="false">'Cotação de Materiais'!B17</f>
        <v>Elétrica e Iluminação</v>
      </c>
      <c r="F52" s="52"/>
      <c r="G52" s="53" t="str">
        <f aca="false">"R$ "&amp;TEXT('Cotação de Materiais'!H17,"#,##0.00")</f>
        <v>R$ 3,987.50</v>
      </c>
      <c r="H52" s="53"/>
    </row>
    <row r="53" customFormat="false" ht="36" hidden="false" customHeight="true" outlineLevel="0" collapsed="false">
      <c r="A53" s="52" t="str">
        <f aca="false">'Cotação de Materiais'!A24</f>
        <v>TIN-03</v>
      </c>
      <c r="B53" s="52" t="str">
        <f aca="false">'Cotação de Materiais'!C24</f>
        <v>Tinta Acrílica Branca</v>
      </c>
      <c r="C53" s="52"/>
      <c r="D53" s="52"/>
      <c r="E53" s="52" t="str">
        <f aca="false">'Cotação de Materiais'!B24</f>
        <v>Pintura e Acabamentos</v>
      </c>
      <c r="F53" s="52"/>
      <c r="G53" s="53" t="str">
        <f aca="false">"R$ "&amp;TEXT('Cotação de Materiais'!H24,"#,##0.00")</f>
        <v>R$ 3,695.52</v>
      </c>
      <c r="H53" s="53"/>
      <c r="J53" s="64" t="s">
        <v>381</v>
      </c>
      <c r="K53" s="64"/>
      <c r="L53" s="64"/>
      <c r="M53" s="64"/>
      <c r="N53" s="64"/>
      <c r="O53" s="64"/>
      <c r="P53" s="64"/>
    </row>
    <row r="54" customFormat="false" ht="36" hidden="false" customHeight="true" outlineLevel="0" collapsed="false">
      <c r="A54" s="52" t="str">
        <f aca="false">'Cotação de Materiais'!A29</f>
        <v>CV-02</v>
      </c>
      <c r="B54" s="52" t="str">
        <f aca="false">'Cotação de Materiais'!C29</f>
        <v>Remoção de Película Anterior</v>
      </c>
      <c r="C54" s="52"/>
      <c r="D54" s="52"/>
      <c r="E54" s="52" t="str">
        <f aca="false">'Cotação de Materiais'!B29</f>
        <v>Comunicação Visual</v>
      </c>
      <c r="F54" s="52"/>
      <c r="G54" s="53" t="str">
        <f aca="false">"R$ "&amp;TEXT('Cotação de Materiais'!H29,"#,##0.00")</f>
        <v>R$ 3,429.12</v>
      </c>
      <c r="H54" s="53"/>
      <c r="J54" s="64"/>
      <c r="K54" s="64"/>
      <c r="L54" s="64"/>
      <c r="M54" s="64"/>
      <c r="N54" s="64"/>
      <c r="O54" s="64"/>
      <c r="P54" s="64"/>
    </row>
    <row r="56" customFormat="false" ht="15" hidden="false" customHeight="true" outlineLevel="0" collapsed="false">
      <c r="A56" s="65" t="s">
        <v>382</v>
      </c>
      <c r="B56" s="65"/>
      <c r="C56" s="65"/>
      <c r="D56" s="65"/>
      <c r="E56" s="65"/>
      <c r="F56" s="65"/>
      <c r="G56" s="65"/>
      <c r="H56" s="65"/>
      <c r="I56" s="65"/>
      <c r="J56" s="65"/>
      <c r="K56" s="65"/>
      <c r="L56" s="65"/>
      <c r="M56" s="65"/>
      <c r="N56" s="65"/>
      <c r="O56" s="65"/>
      <c r="P56" s="65"/>
    </row>
    <row r="57" customFormat="false" ht="15" hidden="false" customHeight="false" outlineLevel="0" collapsed="false">
      <c r="A57" s="65"/>
      <c r="B57" s="65"/>
      <c r="C57" s="65"/>
      <c r="D57" s="65"/>
      <c r="E57" s="65"/>
      <c r="F57" s="65"/>
      <c r="G57" s="65"/>
      <c r="H57" s="65"/>
      <c r="I57" s="65"/>
      <c r="J57" s="65"/>
      <c r="K57" s="65"/>
      <c r="L57" s="65"/>
      <c r="M57" s="65"/>
      <c r="N57" s="65"/>
      <c r="O57" s="65"/>
      <c r="P57" s="65"/>
    </row>
  </sheetData>
  <mergeCells count="100">
    <mergeCell ref="A1:P2"/>
    <mergeCell ref="A3:P3"/>
    <mergeCell ref="A5:D6"/>
    <mergeCell ref="F5:H6"/>
    <mergeCell ref="J5:L6"/>
    <mergeCell ref="N5:P6"/>
    <mergeCell ref="A7:D8"/>
    <mergeCell ref="F7:H8"/>
    <mergeCell ref="J7:L8"/>
    <mergeCell ref="N7:P8"/>
    <mergeCell ref="A10:D11"/>
    <mergeCell ref="F10:H11"/>
    <mergeCell ref="J10:L11"/>
    <mergeCell ref="N10:P11"/>
    <mergeCell ref="A12:D13"/>
    <mergeCell ref="F12:H13"/>
    <mergeCell ref="J12:L13"/>
    <mergeCell ref="N12:P13"/>
    <mergeCell ref="A15:H15"/>
    <mergeCell ref="J15:P15"/>
    <mergeCell ref="A34:P34"/>
    <mergeCell ref="A35:C35"/>
    <mergeCell ref="D35:E35"/>
    <mergeCell ref="F35:H35"/>
    <mergeCell ref="I35:P35"/>
    <mergeCell ref="A36:C36"/>
    <mergeCell ref="D36:E36"/>
    <mergeCell ref="F36:H36"/>
    <mergeCell ref="I36:P36"/>
    <mergeCell ref="A37:C37"/>
    <mergeCell ref="D37:E37"/>
    <mergeCell ref="F37:H37"/>
    <mergeCell ref="I37:P37"/>
    <mergeCell ref="A38:C38"/>
    <mergeCell ref="D38:E38"/>
    <mergeCell ref="F38:H38"/>
    <mergeCell ref="I38:P38"/>
    <mergeCell ref="A39:C39"/>
    <mergeCell ref="D39:E39"/>
    <mergeCell ref="F39:H39"/>
    <mergeCell ref="I39:P39"/>
    <mergeCell ref="A40:C40"/>
    <mergeCell ref="D40:E40"/>
    <mergeCell ref="F40:H40"/>
    <mergeCell ref="I40:P40"/>
    <mergeCell ref="A41:C41"/>
    <mergeCell ref="D41:E41"/>
    <mergeCell ref="F41:H41"/>
    <mergeCell ref="I41:P41"/>
    <mergeCell ref="A42:C42"/>
    <mergeCell ref="D42:E42"/>
    <mergeCell ref="F42:H42"/>
    <mergeCell ref="I42:P42"/>
    <mergeCell ref="A43:C43"/>
    <mergeCell ref="D43:E43"/>
    <mergeCell ref="F43:H43"/>
    <mergeCell ref="I43:P43"/>
    <mergeCell ref="A45:H45"/>
    <mergeCell ref="J45:P45"/>
    <mergeCell ref="B46:D46"/>
    <mergeCell ref="E46:F46"/>
    <mergeCell ref="G46:H46"/>
    <mergeCell ref="J46:L46"/>
    <mergeCell ref="M46:P46"/>
    <mergeCell ref="B47:D47"/>
    <mergeCell ref="E47:F47"/>
    <mergeCell ref="G47:H47"/>
    <mergeCell ref="J47:L47"/>
    <mergeCell ref="M47:P47"/>
    <mergeCell ref="B48:D48"/>
    <mergeCell ref="E48:F48"/>
    <mergeCell ref="G48:H48"/>
    <mergeCell ref="J48:L48"/>
    <mergeCell ref="M48:P48"/>
    <mergeCell ref="B49:D49"/>
    <mergeCell ref="E49:F49"/>
    <mergeCell ref="G49:H49"/>
    <mergeCell ref="J49:L49"/>
    <mergeCell ref="M49:P49"/>
    <mergeCell ref="B50:D50"/>
    <mergeCell ref="E50:F50"/>
    <mergeCell ref="G50:H50"/>
    <mergeCell ref="J50:L50"/>
    <mergeCell ref="M50:P50"/>
    <mergeCell ref="B51:D51"/>
    <mergeCell ref="E51:F51"/>
    <mergeCell ref="G51:H51"/>
    <mergeCell ref="J51:L51"/>
    <mergeCell ref="M51:P51"/>
    <mergeCell ref="B52:D52"/>
    <mergeCell ref="E52:F52"/>
    <mergeCell ref="G52:H52"/>
    <mergeCell ref="B53:D53"/>
    <mergeCell ref="E53:F53"/>
    <mergeCell ref="G53:H53"/>
    <mergeCell ref="J53:P54"/>
    <mergeCell ref="B54:D54"/>
    <mergeCell ref="E54:F54"/>
    <mergeCell ref="G54:H54"/>
    <mergeCell ref="A56:P57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J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8"/>
    <col collapsed="false" customWidth="true" hidden="false" outlineLevel="0" max="4" min="3" style="0" width="12"/>
    <col collapsed="false" customWidth="true" hidden="false" outlineLevel="0" max="5" min="5" style="0" width="11"/>
    <col collapsed="false" customWidth="true" hidden="false" outlineLevel="0" max="6" min="6" style="0" width="28"/>
    <col collapsed="false" customWidth="true" hidden="false" outlineLevel="0" max="7" min="7" style="0" width="42"/>
    <col collapsed="false" customWidth="true" hidden="false" outlineLevel="0" max="36" min="8" style="0" width="4.14"/>
  </cols>
  <sheetData>
    <row r="1" customFormat="false" ht="15" hidden="false" customHeight="false" outlineLevel="0" collapsed="false">
      <c r="A1" s="66" t="s">
        <v>383</v>
      </c>
      <c r="B1" s="66"/>
      <c r="C1" s="66"/>
      <c r="D1" s="66"/>
      <c r="E1" s="66"/>
      <c r="F1" s="66"/>
      <c r="G1" s="66"/>
      <c r="H1" s="66"/>
      <c r="I1" s="66"/>
      <c r="J1" s="66"/>
      <c r="K1" s="66"/>
      <c r="L1" s="66"/>
      <c r="M1" s="66"/>
      <c r="N1" s="66"/>
      <c r="O1" s="66"/>
      <c r="P1" s="66"/>
      <c r="Q1" s="66"/>
      <c r="R1" s="66"/>
      <c r="S1" s="66"/>
      <c r="T1" s="66"/>
      <c r="U1" s="66"/>
      <c r="V1" s="66"/>
      <c r="W1" s="66"/>
      <c r="X1" s="66"/>
      <c r="Y1" s="66"/>
      <c r="Z1" s="66"/>
      <c r="AA1" s="66"/>
      <c r="AB1" s="66"/>
      <c r="AC1" s="66"/>
      <c r="AD1" s="66"/>
      <c r="AE1" s="66"/>
      <c r="AF1" s="66"/>
      <c r="AG1" s="66"/>
      <c r="AH1" s="66"/>
      <c r="AI1" s="66"/>
      <c r="AJ1" s="66"/>
    </row>
    <row r="2" customFormat="false" ht="15" hidden="false" customHeight="false" outlineLevel="0" collapsed="false">
      <c r="A2" s="66"/>
      <c r="B2" s="66"/>
      <c r="C2" s="66"/>
      <c r="D2" s="66"/>
      <c r="E2" s="66"/>
      <c r="F2" s="66"/>
      <c r="G2" s="66"/>
      <c r="H2" s="66"/>
      <c r="I2" s="66"/>
      <c r="J2" s="66"/>
      <c r="K2" s="66"/>
      <c r="L2" s="66"/>
      <c r="M2" s="66"/>
      <c r="N2" s="66"/>
      <c r="O2" s="66"/>
      <c r="P2" s="66"/>
      <c r="Q2" s="66"/>
      <c r="R2" s="66"/>
      <c r="S2" s="66"/>
      <c r="T2" s="66"/>
      <c r="U2" s="66"/>
      <c r="V2" s="66"/>
      <c r="W2" s="66"/>
      <c r="X2" s="66"/>
      <c r="Y2" s="66"/>
      <c r="Z2" s="66"/>
      <c r="AA2" s="66"/>
      <c r="AB2" s="66"/>
      <c r="AC2" s="66"/>
      <c r="AD2" s="66"/>
      <c r="AE2" s="66"/>
      <c r="AF2" s="66"/>
      <c r="AG2" s="66"/>
      <c r="AH2" s="66"/>
      <c r="AI2" s="66"/>
      <c r="AJ2" s="66"/>
    </row>
    <row r="3" customFormat="false" ht="15" hidden="false" customHeight="false" outlineLevel="0" collapsed="false">
      <c r="A3" s="67" t="s">
        <v>384</v>
      </c>
      <c r="B3" s="67"/>
      <c r="C3" s="67"/>
      <c r="D3" s="67"/>
      <c r="E3" s="67"/>
      <c r="F3" s="67"/>
      <c r="G3" s="67"/>
      <c r="H3" s="67"/>
      <c r="I3" s="67"/>
      <c r="J3" s="67"/>
      <c r="K3" s="67"/>
      <c r="L3" s="67"/>
      <c r="M3" s="67"/>
      <c r="N3" s="67"/>
      <c r="O3" s="67"/>
      <c r="P3" s="67"/>
      <c r="Q3" s="67"/>
      <c r="R3" s="67"/>
      <c r="S3" s="67"/>
      <c r="T3" s="67"/>
      <c r="U3" s="67"/>
      <c r="V3" s="67"/>
      <c r="W3" s="67"/>
      <c r="X3" s="67"/>
      <c r="Y3" s="67"/>
      <c r="Z3" s="67"/>
      <c r="AA3" s="67"/>
      <c r="AB3" s="67"/>
      <c r="AC3" s="67"/>
      <c r="AD3" s="67"/>
      <c r="AE3" s="67"/>
      <c r="AF3" s="67"/>
      <c r="AG3" s="67"/>
      <c r="AH3" s="67"/>
      <c r="AI3" s="67"/>
      <c r="AJ3" s="67"/>
    </row>
    <row r="5" customFormat="false" ht="15" hidden="false" customHeight="false" outlineLevel="0" collapsed="false">
      <c r="A5" s="68" t="s">
        <v>385</v>
      </c>
      <c r="B5" s="68" t="s">
        <v>341</v>
      </c>
      <c r="C5" s="68" t="s">
        <v>386</v>
      </c>
      <c r="D5" s="68" t="s">
        <v>387</v>
      </c>
      <c r="E5" s="68" t="s">
        <v>388</v>
      </c>
      <c r="F5" s="68" t="s">
        <v>389</v>
      </c>
      <c r="G5" s="68" t="s">
        <v>390</v>
      </c>
      <c r="H5" s="69" t="n">
        <v>46316</v>
      </c>
      <c r="I5" s="69" t="n">
        <v>46317</v>
      </c>
      <c r="J5" s="69" t="n">
        <v>46318</v>
      </c>
      <c r="K5" s="70" t="n">
        <v>46319</v>
      </c>
      <c r="L5" s="70" t="n">
        <v>46320</v>
      </c>
      <c r="M5" s="69" t="n">
        <v>46321</v>
      </c>
      <c r="N5" s="69" t="n">
        <v>46322</v>
      </c>
      <c r="O5" s="69" t="n">
        <v>46323</v>
      </c>
      <c r="P5" s="69" t="n">
        <v>46324</v>
      </c>
      <c r="Q5" s="69" t="n">
        <v>46325</v>
      </c>
      <c r="R5" s="70" t="n">
        <v>46326</v>
      </c>
      <c r="S5" s="70" t="n">
        <v>46327</v>
      </c>
      <c r="T5" s="69" t="n">
        <v>46328</v>
      </c>
      <c r="U5" s="69" t="n">
        <v>46329</v>
      </c>
      <c r="V5" s="69" t="n">
        <v>46330</v>
      </c>
      <c r="W5" s="69" t="n">
        <v>46331</v>
      </c>
      <c r="X5" s="69" t="n">
        <v>46332</v>
      </c>
      <c r="Y5" s="70" t="n">
        <v>46333</v>
      </c>
      <c r="Z5" s="70" t="n">
        <v>46334</v>
      </c>
      <c r="AA5" s="69" t="n">
        <v>46335</v>
      </c>
      <c r="AB5" s="69" t="n">
        <v>46336</v>
      </c>
      <c r="AC5" s="69" t="n">
        <v>46337</v>
      </c>
      <c r="AD5" s="69" t="n">
        <v>46338</v>
      </c>
      <c r="AE5" s="69" t="n">
        <v>46339</v>
      </c>
      <c r="AF5" s="70" t="n">
        <v>46340</v>
      </c>
      <c r="AG5" s="70" t="n">
        <v>46341</v>
      </c>
      <c r="AH5" s="69" t="n">
        <v>46342</v>
      </c>
      <c r="AI5" s="69" t="n">
        <v>46343</v>
      </c>
      <c r="AJ5" s="69" t="n">
        <v>46344</v>
      </c>
    </row>
    <row r="6" customFormat="false" ht="15" hidden="false" customHeight="false" outlineLevel="0" collapsed="false">
      <c r="H6" s="71" t="s">
        <v>391</v>
      </c>
      <c r="I6" s="71" t="s">
        <v>392</v>
      </c>
      <c r="J6" s="71" t="s">
        <v>393</v>
      </c>
      <c r="K6" s="72" t="s">
        <v>394</v>
      </c>
      <c r="L6" s="72" t="s">
        <v>395</v>
      </c>
      <c r="M6" s="71" t="s">
        <v>396</v>
      </c>
      <c r="N6" s="71" t="s">
        <v>397</v>
      </c>
      <c r="O6" s="71" t="s">
        <v>391</v>
      </c>
      <c r="P6" s="71" t="s">
        <v>392</v>
      </c>
      <c r="Q6" s="71" t="s">
        <v>393</v>
      </c>
      <c r="R6" s="72" t="s">
        <v>394</v>
      </c>
      <c r="S6" s="72" t="s">
        <v>395</v>
      </c>
      <c r="T6" s="71" t="s">
        <v>396</v>
      </c>
      <c r="U6" s="71" t="s">
        <v>397</v>
      </c>
      <c r="V6" s="71" t="s">
        <v>391</v>
      </c>
      <c r="W6" s="71" t="s">
        <v>392</v>
      </c>
      <c r="X6" s="71" t="s">
        <v>393</v>
      </c>
      <c r="Y6" s="72" t="s">
        <v>394</v>
      </c>
      <c r="Z6" s="72" t="s">
        <v>395</v>
      </c>
      <c r="AA6" s="71" t="s">
        <v>396</v>
      </c>
      <c r="AB6" s="71" t="s">
        <v>397</v>
      </c>
      <c r="AC6" s="71" t="s">
        <v>391</v>
      </c>
      <c r="AD6" s="71" t="s">
        <v>392</v>
      </c>
      <c r="AE6" s="71" t="s">
        <v>393</v>
      </c>
      <c r="AF6" s="72" t="s">
        <v>394</v>
      </c>
      <c r="AG6" s="72" t="s">
        <v>395</v>
      </c>
      <c r="AH6" s="71" t="s">
        <v>396</v>
      </c>
      <c r="AI6" s="71" t="s">
        <v>397</v>
      </c>
      <c r="AJ6" s="71" t="s">
        <v>391</v>
      </c>
    </row>
    <row r="7" customFormat="false" ht="33.75" hidden="false" customHeight="true" outlineLevel="0" collapsed="false">
      <c r="A7" s="52" t="s">
        <v>398</v>
      </c>
      <c r="B7" s="49" t="s">
        <v>399</v>
      </c>
      <c r="C7" s="73" t="n">
        <v>46316</v>
      </c>
      <c r="D7" s="73" t="n">
        <v>46322</v>
      </c>
      <c r="E7" s="52" t="s">
        <v>400</v>
      </c>
      <c r="F7" s="52" t="s">
        <v>347</v>
      </c>
      <c r="G7" s="52" t="s">
        <v>401</v>
      </c>
      <c r="H7" s="74" t="s">
        <v>402</v>
      </c>
      <c r="I7" s="74" t="s">
        <v>402</v>
      </c>
      <c r="J7" s="74" t="s">
        <v>402</v>
      </c>
      <c r="K7" s="75"/>
      <c r="L7" s="75"/>
      <c r="M7" s="74" t="s">
        <v>402</v>
      </c>
      <c r="N7" s="74" t="s">
        <v>402</v>
      </c>
      <c r="R7" s="75"/>
      <c r="S7" s="75"/>
      <c r="Y7" s="75"/>
      <c r="Z7" s="75"/>
      <c r="AF7" s="75"/>
      <c r="AG7" s="75"/>
    </row>
    <row r="8" customFormat="false" ht="33.75" hidden="false" customHeight="true" outlineLevel="0" collapsed="false">
      <c r="A8" s="52" t="s">
        <v>403</v>
      </c>
      <c r="B8" s="49" t="s">
        <v>404</v>
      </c>
      <c r="C8" s="73" t="n">
        <v>46323</v>
      </c>
      <c r="D8" s="73" t="n">
        <v>46325</v>
      </c>
      <c r="E8" s="52" t="s">
        <v>405</v>
      </c>
      <c r="F8" s="52" t="s">
        <v>406</v>
      </c>
      <c r="G8" s="52" t="s">
        <v>352</v>
      </c>
      <c r="K8" s="75"/>
      <c r="L8" s="75"/>
      <c r="O8" s="76" t="s">
        <v>402</v>
      </c>
      <c r="P8" s="76" t="s">
        <v>402</v>
      </c>
      <c r="Q8" s="76" t="s">
        <v>402</v>
      </c>
      <c r="R8" s="75"/>
      <c r="S8" s="75"/>
      <c r="Y8" s="75"/>
      <c r="Z8" s="75"/>
      <c r="AF8" s="75"/>
      <c r="AG8" s="75"/>
    </row>
    <row r="9" customFormat="false" ht="33.75" hidden="false" customHeight="true" outlineLevel="0" collapsed="false">
      <c r="A9" s="52" t="s">
        <v>407</v>
      </c>
      <c r="B9" s="49" t="s">
        <v>408</v>
      </c>
      <c r="C9" s="73" t="n">
        <v>46326</v>
      </c>
      <c r="D9" s="73" t="n">
        <v>46331</v>
      </c>
      <c r="E9" s="52" t="s">
        <v>409</v>
      </c>
      <c r="F9" s="52" t="s">
        <v>410</v>
      </c>
      <c r="G9" s="52" t="s">
        <v>356</v>
      </c>
      <c r="K9" s="75"/>
      <c r="L9" s="75"/>
      <c r="R9" s="76" t="s">
        <v>402</v>
      </c>
      <c r="S9" s="76" t="s">
        <v>402</v>
      </c>
      <c r="T9" s="76" t="s">
        <v>402</v>
      </c>
      <c r="U9" s="76" t="s">
        <v>402</v>
      </c>
      <c r="V9" s="76" t="s">
        <v>402</v>
      </c>
      <c r="W9" s="76" t="s">
        <v>402</v>
      </c>
      <c r="Y9" s="75"/>
      <c r="Z9" s="75"/>
      <c r="AF9" s="75"/>
      <c r="AG9" s="75"/>
    </row>
    <row r="10" customFormat="false" ht="33.75" hidden="false" customHeight="true" outlineLevel="0" collapsed="false">
      <c r="A10" s="52" t="s">
        <v>411</v>
      </c>
      <c r="B10" s="49" t="s">
        <v>412</v>
      </c>
      <c r="C10" s="73" t="n">
        <v>46332</v>
      </c>
      <c r="D10" s="73" t="n">
        <v>46336</v>
      </c>
      <c r="E10" s="52" t="s">
        <v>413</v>
      </c>
      <c r="F10" s="52" t="s">
        <v>414</v>
      </c>
      <c r="G10" s="52" t="s">
        <v>360</v>
      </c>
      <c r="K10" s="75"/>
      <c r="L10" s="75"/>
      <c r="R10" s="75"/>
      <c r="S10" s="75"/>
      <c r="X10" s="77" t="s">
        <v>402</v>
      </c>
      <c r="Y10" s="77" t="s">
        <v>402</v>
      </c>
      <c r="Z10" s="77" t="s">
        <v>402</v>
      </c>
      <c r="AA10" s="77" t="s">
        <v>402</v>
      </c>
      <c r="AB10" s="77" t="s">
        <v>402</v>
      </c>
      <c r="AF10" s="75"/>
      <c r="AG10" s="75"/>
    </row>
    <row r="11" customFormat="false" ht="33.75" hidden="false" customHeight="true" outlineLevel="0" collapsed="false">
      <c r="A11" s="52" t="s">
        <v>415</v>
      </c>
      <c r="B11" s="49" t="s">
        <v>416</v>
      </c>
      <c r="C11" s="73" t="n">
        <v>46337</v>
      </c>
      <c r="D11" s="73" t="n">
        <v>46339</v>
      </c>
      <c r="E11" s="52" t="s">
        <v>405</v>
      </c>
      <c r="F11" s="52" t="s">
        <v>417</v>
      </c>
      <c r="G11" s="52" t="s">
        <v>364</v>
      </c>
      <c r="K11" s="75"/>
      <c r="L11" s="75"/>
      <c r="R11" s="75"/>
      <c r="S11" s="75"/>
      <c r="Y11" s="75"/>
      <c r="Z11" s="75"/>
      <c r="AC11" s="78" t="s">
        <v>402</v>
      </c>
      <c r="AD11" s="78" t="s">
        <v>402</v>
      </c>
      <c r="AE11" s="78" t="s">
        <v>402</v>
      </c>
      <c r="AF11" s="75"/>
      <c r="AG11" s="75"/>
    </row>
    <row r="12" customFormat="false" ht="33.75" hidden="false" customHeight="true" outlineLevel="0" collapsed="false">
      <c r="A12" s="52" t="s">
        <v>418</v>
      </c>
      <c r="B12" s="49" t="s">
        <v>419</v>
      </c>
      <c r="C12" s="73" t="n">
        <v>46340</v>
      </c>
      <c r="D12" s="73" t="n">
        <v>46342</v>
      </c>
      <c r="E12" s="52" t="s">
        <v>405</v>
      </c>
      <c r="F12" s="52" t="s">
        <v>420</v>
      </c>
      <c r="G12" s="52" t="s">
        <v>421</v>
      </c>
      <c r="K12" s="75"/>
      <c r="L12" s="75"/>
      <c r="R12" s="75"/>
      <c r="S12" s="75"/>
      <c r="Y12" s="75"/>
      <c r="Z12" s="75"/>
      <c r="AF12" s="79" t="s">
        <v>402</v>
      </c>
      <c r="AG12" s="79" t="s">
        <v>402</v>
      </c>
      <c r="AH12" s="79" t="s">
        <v>402</v>
      </c>
    </row>
    <row r="13" customFormat="false" ht="33.75" hidden="false" customHeight="true" outlineLevel="0" collapsed="false">
      <c r="A13" s="52" t="s">
        <v>422</v>
      </c>
      <c r="B13" s="49" t="s">
        <v>423</v>
      </c>
      <c r="C13" s="73" t="n">
        <v>46343</v>
      </c>
      <c r="D13" s="73" t="n">
        <v>46343</v>
      </c>
      <c r="E13" s="52" t="s">
        <v>424</v>
      </c>
      <c r="F13" s="52" t="s">
        <v>425</v>
      </c>
      <c r="G13" s="52" t="s">
        <v>426</v>
      </c>
      <c r="K13" s="75"/>
      <c r="L13" s="75"/>
      <c r="R13" s="75"/>
      <c r="S13" s="75"/>
      <c r="Y13" s="75"/>
      <c r="Z13" s="75"/>
      <c r="AF13" s="75"/>
      <c r="AG13" s="75"/>
      <c r="AI13" s="80" t="s">
        <v>402</v>
      </c>
    </row>
    <row r="14" customFormat="false" ht="33.75" hidden="false" customHeight="true" outlineLevel="0" collapsed="false">
      <c r="A14" s="52" t="s">
        <v>427</v>
      </c>
      <c r="B14" s="49" t="s">
        <v>428</v>
      </c>
      <c r="C14" s="73" t="n">
        <v>46344</v>
      </c>
      <c r="D14" s="73" t="n">
        <v>46344</v>
      </c>
      <c r="E14" s="52" t="s">
        <v>429</v>
      </c>
      <c r="F14" s="52" t="s">
        <v>375</v>
      </c>
      <c r="G14" s="52" t="s">
        <v>430</v>
      </c>
      <c r="K14" s="75"/>
      <c r="L14" s="75"/>
      <c r="R14" s="75"/>
      <c r="S14" s="75"/>
      <c r="Y14" s="75"/>
      <c r="Z14" s="75"/>
      <c r="AF14" s="75"/>
      <c r="AG14" s="75"/>
      <c r="AJ14" s="81" t="s">
        <v>402</v>
      </c>
    </row>
    <row r="17" customFormat="false" ht="15" hidden="false" customHeight="false" outlineLevel="0" collapsed="false">
      <c r="A17" s="82" t="s">
        <v>431</v>
      </c>
      <c r="B17" s="82"/>
      <c r="C17" s="82"/>
      <c r="D17" s="82"/>
      <c r="E17" s="82"/>
      <c r="F17" s="82"/>
      <c r="G17" s="82"/>
    </row>
    <row r="18" customFormat="false" ht="24" hidden="false" customHeight="true" outlineLevel="0" collapsed="false">
      <c r="A18" s="48" t="s">
        <v>33</v>
      </c>
      <c r="B18" s="48" t="s">
        <v>432</v>
      </c>
      <c r="C18" s="48" t="s">
        <v>37</v>
      </c>
      <c r="D18" s="48" t="s">
        <v>38</v>
      </c>
      <c r="E18" s="48" t="s">
        <v>433</v>
      </c>
      <c r="F18" s="48" t="s">
        <v>380</v>
      </c>
      <c r="G18" s="48" t="s">
        <v>434</v>
      </c>
    </row>
    <row r="19" customFormat="false" ht="24" hidden="false" customHeight="true" outlineLevel="0" collapsed="false">
      <c r="A19" s="52" t="s">
        <v>271</v>
      </c>
      <c r="B19" s="52" t="s">
        <v>435</v>
      </c>
      <c r="C19" s="83" t="n">
        <f aca="false">'Mão de Obra e Serviços'!D5</f>
        <v>20</v>
      </c>
      <c r="D19" s="52" t="str">
        <f aca="false">'Mão de Obra e Serviços'!E5</f>
        <v>pessoa-dia</v>
      </c>
      <c r="E19" s="53" t="str">
        <f aca="false">"R$ "&amp;TEXT('Mão de Obra e Serviços'!F5,"#,##0.00")</f>
        <v>R$ 250.00</v>
      </c>
      <c r="F19" s="53" t="str">
        <f aca="false">"R$ "&amp;TEXT('Mão de Obra e Serviços'!G5,"#,##0.00")</f>
        <v>R$ 5,000.00</v>
      </c>
      <c r="G19" s="52" t="s">
        <v>436</v>
      </c>
    </row>
    <row r="20" customFormat="false" ht="24" hidden="false" customHeight="true" outlineLevel="0" collapsed="false">
      <c r="A20" s="52" t="s">
        <v>275</v>
      </c>
      <c r="B20" s="52" t="s">
        <v>437</v>
      </c>
      <c r="C20" s="83" t="n">
        <f aca="false">'Mão de Obra e Serviços'!D6</f>
        <v>160</v>
      </c>
      <c r="D20" s="52" t="str">
        <f aca="false">'Mão de Obra e Serviços'!E6</f>
        <v>pessoa-dia</v>
      </c>
      <c r="E20" s="53" t="str">
        <f aca="false">"R$ "&amp;TEXT('Mão de Obra e Serviços'!F6,"#,##0.00")</f>
        <v>R$ 270.00</v>
      </c>
      <c r="F20" s="53" t="str">
        <f aca="false">"R$ "&amp;TEXT('Mão de Obra e Serviços'!G6,"#,##0.00")</f>
        <v>R$ 43,200.00</v>
      </c>
      <c r="G20" s="52" t="s">
        <v>438</v>
      </c>
    </row>
    <row r="21" customFormat="false" ht="24" hidden="false" customHeight="true" outlineLevel="0" collapsed="false">
      <c r="A21" s="52" t="s">
        <v>278</v>
      </c>
      <c r="B21" s="52" t="s">
        <v>439</v>
      </c>
      <c r="C21" s="83" t="n">
        <f aca="false">'Mão de Obra e Serviços'!D7</f>
        <v>10</v>
      </c>
      <c r="D21" s="52" t="str">
        <f aca="false">'Mão de Obra e Serviços'!E7</f>
        <v>pessoa-dia</v>
      </c>
      <c r="E21" s="53" t="str">
        <f aca="false">"R$ "&amp;TEXT('Mão de Obra e Serviços'!F7,"#,##0.00")</f>
        <v>R$ 130.00</v>
      </c>
      <c r="F21" s="53" t="str">
        <f aca="false">"R$ "&amp;TEXT('Mão de Obra e Serviços'!G7,"#,##0.00")</f>
        <v>R$ 1,300.00</v>
      </c>
      <c r="G21" s="52" t="s">
        <v>440</v>
      </c>
    </row>
    <row r="22" customFormat="false" ht="24" hidden="false" customHeight="true" outlineLevel="0" collapsed="false">
      <c r="A22" s="52" t="s">
        <v>281</v>
      </c>
      <c r="B22" s="52" t="s">
        <v>441</v>
      </c>
      <c r="C22" s="83" t="n">
        <f aca="false">'Mão de Obra e Serviços'!D8</f>
        <v>9</v>
      </c>
      <c r="D22" s="52" t="str">
        <f aca="false">'Mão de Obra e Serviços'!E8</f>
        <v>pessoa-dia</v>
      </c>
      <c r="E22" s="53" t="str">
        <f aca="false">"R$ "&amp;TEXT('Mão de Obra e Serviços'!F8,"#,##0.00")</f>
        <v>R$ 100.00</v>
      </c>
      <c r="F22" s="53" t="str">
        <f aca="false">"R$ "&amp;TEXT('Mão de Obra e Serviços'!G8,"#,##0.00")</f>
        <v>R$ 900.00</v>
      </c>
      <c r="G22" s="52" t="s">
        <v>442</v>
      </c>
    </row>
    <row r="23" customFormat="false" ht="24" hidden="false" customHeight="true" outlineLevel="0" collapsed="false">
      <c r="A23" s="52" t="s">
        <v>284</v>
      </c>
      <c r="B23" s="52" t="s">
        <v>443</v>
      </c>
      <c r="C23" s="83" t="n">
        <f aca="false">'Mão de Obra e Serviços'!D9</f>
        <v>1</v>
      </c>
      <c r="D23" s="52" t="str">
        <f aca="false">'Mão de Obra e Serviços'!E9</f>
        <v>cj</v>
      </c>
      <c r="E23" s="53" t="str">
        <f aca="false">"R$ "&amp;TEXT('Mão de Obra e Serviços'!F9,"#,##0.00")</f>
        <v>R$ 5,000.00</v>
      </c>
      <c r="F23" s="53" t="str">
        <f aca="false">"R$ "&amp;TEXT('Mão de Obra e Serviços'!G9,"#,##0.00")</f>
        <v>R$ 5,000.00</v>
      </c>
      <c r="G23" s="52" t="s">
        <v>444</v>
      </c>
    </row>
    <row r="24" customFormat="false" ht="24" hidden="false" customHeight="true" outlineLevel="0" collapsed="false">
      <c r="A24" s="52" t="s">
        <v>287</v>
      </c>
      <c r="B24" s="52" t="s">
        <v>445</v>
      </c>
      <c r="C24" s="83" t="n">
        <f aca="false">'Mão de Obra e Serviços'!D10</f>
        <v>20</v>
      </c>
      <c r="D24" s="52" t="str">
        <f aca="false">'Mão de Obra e Serviços'!E10</f>
        <v>dia</v>
      </c>
      <c r="E24" s="53" t="str">
        <f aca="false">"R$ "&amp;TEXT('Mão de Obra e Serviços'!F10,"#,##0.00")</f>
        <v>R$ 300.00</v>
      </c>
      <c r="F24" s="53" t="str">
        <f aca="false">"R$ "&amp;TEXT('Mão de Obra e Serviços'!G10,"#,##0.00")</f>
        <v>R$ 6,000.00</v>
      </c>
      <c r="G24" s="52" t="s">
        <v>446</v>
      </c>
    </row>
    <row r="25" customFormat="false" ht="24" hidden="false" customHeight="true" outlineLevel="0" collapsed="false">
      <c r="A25" s="52" t="s">
        <v>291</v>
      </c>
      <c r="B25" s="52" t="s">
        <v>292</v>
      </c>
      <c r="C25" s="83" t="n">
        <f aca="false">'Mão de Obra e Serviços'!D11</f>
        <v>5</v>
      </c>
      <c r="D25" s="52" t="str">
        <f aca="false">'Mão de Obra e Serviços'!E11</f>
        <v>pessoa-dia</v>
      </c>
      <c r="E25" s="53" t="str">
        <f aca="false">"R$ "&amp;TEXT('Mão de Obra e Serviços'!F11,"#,##0.00")</f>
        <v>R$ 1.00</v>
      </c>
      <c r="F25" s="53" t="str">
        <f aca="false">"R$ "&amp;TEXT('Mão de Obra e Serviços'!G11,"#,##0.00")</f>
        <v>R$ 5.00</v>
      </c>
      <c r="G25" s="52" t="s">
        <v>447</v>
      </c>
    </row>
    <row r="26" customFormat="false" ht="24" hidden="false" customHeight="true" outlineLevel="0" collapsed="false">
      <c r="A26" s="52" t="s">
        <v>294</v>
      </c>
      <c r="B26" s="52" t="s">
        <v>448</v>
      </c>
      <c r="C26" s="83" t="n">
        <f aca="false">'Mão de Obra e Serviços'!D12</f>
        <v>6</v>
      </c>
      <c r="D26" s="52" t="str">
        <f aca="false">'Mão de Obra e Serviços'!E12</f>
        <v>pessoa-dia</v>
      </c>
      <c r="E26" s="53" t="str">
        <f aca="false">"R$ "&amp;TEXT('Mão de Obra e Serviços'!F12,"#,##0.00")</f>
        <v>R$ 250.00</v>
      </c>
      <c r="F26" s="53" t="str">
        <f aca="false">"R$ "&amp;TEXT('Mão de Obra e Serviços'!G12,"#,##0.00")</f>
        <v>R$ 1,500.00</v>
      </c>
      <c r="G26" s="52" t="s">
        <v>449</v>
      </c>
    </row>
    <row r="27" customFormat="false" ht="24" hidden="false" customHeight="true" outlineLevel="0" collapsed="false">
      <c r="A27" s="52" t="s">
        <v>297</v>
      </c>
      <c r="B27" s="52" t="s">
        <v>450</v>
      </c>
      <c r="C27" s="83" t="n">
        <f aca="false">'Mão de Obra e Serviços'!D13</f>
        <v>1</v>
      </c>
      <c r="D27" s="52" t="str">
        <f aca="false">'Mão de Obra e Serviços'!E13</f>
        <v>cj</v>
      </c>
      <c r="E27" s="53" t="str">
        <f aca="false">"R$ "&amp;TEXT('Mão de Obra e Serviços'!F13,"#,##0.00")</f>
        <v>R$ 7,000.00</v>
      </c>
      <c r="F27" s="53" t="str">
        <f aca="false">"R$ "&amp;TEXT('Mão de Obra e Serviços'!G13,"#,##0.00")</f>
        <v>R$ 7,000.00</v>
      </c>
      <c r="G27" s="52" t="s">
        <v>444</v>
      </c>
    </row>
    <row r="29" customFormat="false" ht="15" hidden="false" customHeight="true" outlineLevel="0" collapsed="false">
      <c r="A29" s="84" t="s">
        <v>451</v>
      </c>
      <c r="B29" s="84"/>
      <c r="C29" s="84"/>
      <c r="D29" s="84"/>
      <c r="E29" s="84"/>
      <c r="F29" s="84"/>
      <c r="G29" s="84"/>
    </row>
    <row r="30" customFormat="false" ht="15" hidden="false" customHeight="false" outlineLevel="0" collapsed="false">
      <c r="A30" s="84"/>
      <c r="B30" s="84"/>
      <c r="C30" s="84"/>
      <c r="D30" s="84"/>
      <c r="E30" s="84"/>
      <c r="F30" s="84"/>
      <c r="G30" s="84"/>
    </row>
    <row r="31" customFormat="false" ht="15" hidden="false" customHeight="false" outlineLevel="0" collapsed="false">
      <c r="A31" s="84"/>
      <c r="B31" s="84"/>
      <c r="C31" s="84"/>
      <c r="D31" s="84"/>
      <c r="E31" s="84"/>
      <c r="F31" s="84"/>
      <c r="G31" s="84"/>
    </row>
    <row r="33" customFormat="false" ht="15" hidden="false" customHeight="true" outlineLevel="0" collapsed="false">
      <c r="A33" s="65" t="s">
        <v>452</v>
      </c>
      <c r="B33" s="65"/>
      <c r="C33" s="65"/>
      <c r="D33" s="65"/>
      <c r="E33" s="65"/>
      <c r="F33" s="65"/>
      <c r="G33" s="65"/>
    </row>
    <row r="34" customFormat="false" ht="15" hidden="false" customHeight="false" outlineLevel="0" collapsed="false">
      <c r="A34" s="65"/>
      <c r="B34" s="65"/>
      <c r="C34" s="65"/>
      <c r="D34" s="65"/>
      <c r="E34" s="65"/>
      <c r="F34" s="65"/>
      <c r="G34" s="65"/>
    </row>
  </sheetData>
  <mergeCells count="5">
    <mergeCell ref="A1:AJ2"/>
    <mergeCell ref="A3:AJ3"/>
    <mergeCell ref="A17:G17"/>
    <mergeCell ref="A29:G31"/>
    <mergeCell ref="A33:G34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2026-09-24T16:49:22Z</dcterms:created>
  <dc:creator>openpyxl</dc:creator>
  <dc:description/>
  <dc:language>en-US</dc:language>
  <cp:lastModifiedBy/>
  <dcterms:modified xsi:type="dcterms:W3CDTF">2026-09-24T16:49:27Z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